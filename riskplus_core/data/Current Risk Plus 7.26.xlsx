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9.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drawings/drawing8.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charts/chart14.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5.xml" ContentType="application/vnd.openxmlformats-officedocument.drawingml.chart+xml"/>
  <Override PartName="/xl/theme/themeOverride1.xml" ContentType="application/vnd.openxmlformats-officedocument.themeOverride+xml"/>
  <Override PartName="/xl/charts/chart16.xml" ContentType="application/vnd.openxmlformats-officedocument.drawingml.chart+xml"/>
  <Override PartName="/xl/theme/themeOverride2.xml" ContentType="application/vnd.openxmlformats-officedocument.themeOverride+xml"/>
  <Override PartName="/xl/charts/chart17.xml" ContentType="application/vnd.openxmlformats-officedocument.drawingml.chart+xml"/>
  <Override PartName="/xl/theme/themeOverride3.xml" ContentType="application/vnd.openxmlformats-officedocument.themeOverride+xml"/>
  <Override PartName="/xl/charts/chart18.xml" ContentType="application/vnd.openxmlformats-officedocument.drawingml.chart+xml"/>
  <Override PartName="/xl/theme/themeOverride4.xml" ContentType="application/vnd.openxmlformats-officedocument.themeOverride+xml"/>
  <Override PartName="/xl/charts/chart19.xml" ContentType="application/vnd.openxmlformats-officedocument.drawingml.chart+xml"/>
  <Override PartName="/xl/theme/themeOverride5.xml" ContentType="application/vnd.openxmlformats-officedocument.themeOverride+xml"/>
  <Override PartName="/xl/charts/chart20.xml" ContentType="application/vnd.openxmlformats-officedocument.drawingml.chart+xml"/>
  <Override PartName="/xl/theme/themeOverride6.xml" ContentType="application/vnd.openxmlformats-officedocument.themeOverride+xml"/>
  <Override PartName="/xl/charts/chart21.xml" ContentType="application/vnd.openxmlformats-officedocument.drawingml.chart+xml"/>
  <Override PartName="/xl/theme/themeOverride7.xml" ContentType="application/vnd.openxmlformats-officedocument.themeOverride+xml"/>
  <Override PartName="/xl/charts/chart22.xml" ContentType="application/vnd.openxmlformats-officedocument.drawingml.chart+xml"/>
  <Override PartName="/xl/theme/themeOverride8.xml" ContentType="application/vnd.openxmlformats-officedocument.themeOverride+xml"/>
  <Override PartName="/xl/charts/chart23.xml" ContentType="application/vnd.openxmlformats-officedocument.drawingml.chart+xml"/>
  <Override PartName="/xl/theme/themeOverride9.xml" ContentType="application/vnd.openxmlformats-officedocument.themeOverride+xml"/>
  <Override PartName="/xl/charts/chart24.xml" ContentType="application/vnd.openxmlformats-officedocument.drawingml.chart+xml"/>
  <Override PartName="/xl/theme/themeOverride10.xml" ContentType="application/vnd.openxmlformats-officedocument.themeOverride+xml"/>
  <Override PartName="/xl/charts/chart25.xml" ContentType="application/vnd.openxmlformats-officedocument.drawingml.chart+xml"/>
  <Override PartName="/xl/theme/themeOverride11.xml" ContentType="application/vnd.openxmlformats-officedocument.themeOverrid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C:\Users\Logan.Hash\Downloads\"/>
    </mc:Choice>
  </mc:AlternateContent>
  <xr:revisionPtr revIDLastSave="0" documentId="8_{9C8BD17E-120D-4153-97A7-3B2EC924A6DE}" xr6:coauthVersionLast="47" xr6:coauthVersionMax="47" xr10:uidLastSave="{00000000-0000-0000-0000-000000000000}"/>
  <bookViews>
    <workbookView xWindow="-120" yWindow="-120" windowWidth="38640" windowHeight="21120" tabRatio="947" xr2:uid="{00000000-000D-0000-FFFF-FFFF00000000}"/>
  </bookViews>
  <sheets>
    <sheet name="INDEX" sheetId="33" r:id="rId1"/>
    <sheet name="Histogram" sheetId="42" state="hidden" r:id="rId2"/>
    <sheet name="SUMMARY" sheetId="1" r:id="rId3"/>
    <sheet name="SUMMARY_DATA" sheetId="40" state="hidden" r:id="rId4"/>
    <sheet name="HISTORICAL RISK" sheetId="22" r:id="rId5"/>
    <sheet name="SIMULATED RISK" sheetId="37" r:id="rId6"/>
    <sheet name="RISK BUDGETING (ETL)" sheetId="23" r:id="rId7"/>
    <sheet name="RB_ETL" sheetId="46" state="hidden" r:id="rId8"/>
    <sheet name="RISK BUDGETING (StDev)" sheetId="36" r:id="rId9"/>
    <sheet name="RB_STDEV" sheetId="47" state="hidden" r:id="rId10"/>
    <sheet name="FACTOR CONTRIBUTION" sheetId="24" r:id="rId11"/>
    <sheet name="FCTR_DATA" sheetId="45" state="hidden" r:id="rId12"/>
    <sheet name="EXPOSURE BY FACTOR BUCKET" sheetId="48" r:id="rId13"/>
    <sheet name="PORTFOLIO STRESS TEST" sheetId="32" r:id="rId14"/>
    <sheet name="ONE FACTOR REGRESSION" sheetId="16" state="hidden" r:id="rId15"/>
    <sheet name="PORTFOLIO_STRESS_TEST_LOSS_GAIN" sheetId="39" state="hidden" r:id="rId16"/>
    <sheet name="SCENARIOS_ORDERED_BY_PF_VALUE" sheetId="43" state="hidden" r:id="rId17"/>
    <sheet name="BOTTOM 10 MANAGERS" sheetId="51" r:id="rId18"/>
    <sheet name="BOTTOM 10 MANAGERS_OLD" sheetId="50" state="hidden" r:id="rId19"/>
    <sheet name="STRESSED FACTOR VALUES" sheetId="27" r:id="rId20"/>
    <sheet name="FACTOR ANALYSIS" sheetId="28" r:id="rId21"/>
    <sheet name="Sheet1" sheetId="52" state="hidden" r:id="rId22"/>
    <sheet name="ASSET CORRELATIONS" sheetId="26" r:id="rId23"/>
    <sheet name="FACTOR CORRELATIONS" sheetId="35" r:id="rId24"/>
    <sheet name="TIME SERIES" sheetId="31" r:id="rId25"/>
    <sheet name="GLOSSARY" sheetId="34" r:id="rId26"/>
    <sheet name="STYLES" sheetId="44" state="hidden" r:id="rId27"/>
    <sheet name="BottomManagersPerScenario_Data" sheetId="49" state="hidden" r:id="rId28"/>
  </sheets>
  <definedNames>
    <definedName name="LEFTVARBLUE" localSheetId="1">Histogram!$B$4</definedName>
    <definedName name="rightVARBlue" localSheetId="1">Histogram!$B$6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 i="1" l="1"/>
  <c r="F40" i="1"/>
  <c r="F39" i="1"/>
  <c r="F38" i="1"/>
  <c r="F37" i="1"/>
  <c r="F36" i="1"/>
  <c r="F35" i="1"/>
  <c r="F34" i="1"/>
  <c r="F33" i="1"/>
  <c r="F32" i="1"/>
  <c r="F31" i="1"/>
  <c r="O41" i="1"/>
  <c r="O40" i="1"/>
  <c r="O39" i="1"/>
  <c r="O38" i="1"/>
  <c r="O37" i="1"/>
  <c r="O36" i="1"/>
  <c r="O35" i="1"/>
  <c r="O34" i="1"/>
  <c r="O33" i="1"/>
  <c r="O32" i="1"/>
  <c r="I41" i="1"/>
  <c r="I40" i="1"/>
  <c r="I39" i="1"/>
  <c r="I38" i="1"/>
  <c r="I37" i="1"/>
  <c r="I36" i="1"/>
  <c r="I35" i="1"/>
  <c r="I34" i="1"/>
  <c r="I33" i="1"/>
  <c r="I32" i="1"/>
  <c r="O31" i="1"/>
  <c r="I31" i="1"/>
  <c r="AI10" i="22" l="1"/>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I52" i="22"/>
  <c r="AI53" i="22"/>
  <c r="AI54" i="22"/>
  <c r="AI55" i="22"/>
  <c r="AI56" i="22"/>
  <c r="AI57" i="22"/>
  <c r="AI58" i="22"/>
  <c r="AI59" i="22"/>
  <c r="AI60" i="22"/>
  <c r="AI61" i="22"/>
  <c r="AI62" i="22"/>
  <c r="AI63" i="22"/>
  <c r="AI64" i="22"/>
  <c r="AI65" i="22"/>
  <c r="AI66" i="22"/>
  <c r="AI67" i="22"/>
  <c r="AI68" i="22"/>
  <c r="AI69" i="22"/>
  <c r="AI70" i="22"/>
  <c r="AI71" i="22"/>
  <c r="AI72" i="22"/>
  <c r="AI73" i="22"/>
  <c r="AI74" i="22"/>
  <c r="AI75" i="22"/>
  <c r="AI76" i="22"/>
  <c r="AI77" i="22"/>
  <c r="AI78" i="22"/>
  <c r="AI79" i="22"/>
  <c r="AI80" i="22"/>
  <c r="AI81" i="22"/>
  <c r="AI82" i="22"/>
  <c r="AI83" i="22"/>
  <c r="AI9" i="22"/>
  <c r="AG10" i="22"/>
  <c r="AG11" i="22"/>
  <c r="AG12" i="22"/>
  <c r="AG13" i="22"/>
  <c r="AG14" i="22"/>
  <c r="AG15" i="22"/>
  <c r="AG16" i="22"/>
  <c r="AG17" i="22"/>
  <c r="AG18" i="22"/>
  <c r="AG19" i="22"/>
  <c r="AG20" i="22"/>
  <c r="AG21" i="22"/>
  <c r="AG22" i="22"/>
  <c r="AG23" i="22"/>
  <c r="AG24" i="22"/>
  <c r="AG25" i="22"/>
  <c r="AG26" i="22"/>
  <c r="AG27" i="22"/>
  <c r="AG28" i="22"/>
  <c r="AG29" i="22"/>
  <c r="AG30" i="22"/>
  <c r="AG31" i="22"/>
  <c r="AG32" i="22"/>
  <c r="AG33" i="22"/>
  <c r="AG34" i="22"/>
  <c r="AG35" i="22"/>
  <c r="AG36" i="22"/>
  <c r="AG37" i="22"/>
  <c r="AG38" i="22"/>
  <c r="AG39" i="22"/>
  <c r="AG40" i="22"/>
  <c r="AG41" i="22"/>
  <c r="AG42" i="22"/>
  <c r="AG43" i="22"/>
  <c r="AG44" i="22"/>
  <c r="AG45" i="22"/>
  <c r="AG46" i="22"/>
  <c r="AG47" i="22"/>
  <c r="AG48" i="22"/>
  <c r="AG49" i="22"/>
  <c r="AG50" i="22"/>
  <c r="AG51" i="22"/>
  <c r="AG52" i="22"/>
  <c r="AG53" i="22"/>
  <c r="AG54" i="22"/>
  <c r="AG55" i="22"/>
  <c r="AG56" i="22"/>
  <c r="AG57" i="22"/>
  <c r="AG58" i="22"/>
  <c r="AG59" i="22"/>
  <c r="AG60" i="22"/>
  <c r="AG61" i="22"/>
  <c r="AG62" i="22"/>
  <c r="AG63" i="22"/>
  <c r="AG64" i="22"/>
  <c r="AG65" i="22"/>
  <c r="AG66" i="22"/>
  <c r="AG67" i="22"/>
  <c r="AG68" i="22"/>
  <c r="AG69" i="22"/>
  <c r="AG70" i="22"/>
  <c r="AG71" i="22"/>
  <c r="AG72" i="22"/>
  <c r="AG73" i="22"/>
  <c r="AG74" i="22"/>
  <c r="AG75" i="22"/>
  <c r="AG76" i="22"/>
  <c r="AG77" i="22"/>
  <c r="AG78" i="22"/>
  <c r="AG79" i="22"/>
  <c r="AG80" i="22"/>
  <c r="AG81" i="22"/>
  <c r="AG82" i="22"/>
  <c r="AG83" i="22"/>
  <c r="AG9" i="22"/>
  <c r="AF9" i="1" l="1"/>
  <c r="B6" i="42" s="1"/>
  <c r="AD9" i="1" l="1"/>
  <c r="B4" i="42" s="1"/>
  <c r="D99" i="51" l="1"/>
  <c r="D100" i="51"/>
  <c r="D101" i="51"/>
  <c r="D102" i="51"/>
  <c r="D103" i="51"/>
  <c r="D104" i="51"/>
  <c r="D105" i="51"/>
  <c r="D106" i="51"/>
  <c r="D107" i="51"/>
  <c r="D98" i="51"/>
  <c r="A99" i="51"/>
  <c r="A100" i="51"/>
  <c r="A101" i="51"/>
  <c r="A102" i="51"/>
  <c r="A103" i="51"/>
  <c r="A104" i="51"/>
  <c r="A105" i="51"/>
  <c r="A106" i="51"/>
  <c r="A107" i="51"/>
  <c r="A98" i="51"/>
  <c r="K84" i="51"/>
  <c r="K85" i="51"/>
  <c r="K86" i="51"/>
  <c r="K87" i="51"/>
  <c r="K88" i="51"/>
  <c r="K89" i="51"/>
  <c r="K90" i="51"/>
  <c r="K91" i="51"/>
  <c r="K92" i="51"/>
  <c r="K83" i="51"/>
  <c r="H84" i="51"/>
  <c r="H85" i="51"/>
  <c r="H86" i="51"/>
  <c r="H87" i="51"/>
  <c r="H88" i="51"/>
  <c r="H89" i="51"/>
  <c r="H90" i="51"/>
  <c r="H91" i="51"/>
  <c r="H92" i="51"/>
  <c r="H83" i="51"/>
  <c r="D84" i="51"/>
  <c r="D85" i="51"/>
  <c r="D86" i="51"/>
  <c r="D87" i="51"/>
  <c r="D88" i="51"/>
  <c r="D89" i="51"/>
  <c r="D90" i="51"/>
  <c r="D91" i="51"/>
  <c r="D92" i="51"/>
  <c r="D83" i="51"/>
  <c r="A84" i="51"/>
  <c r="A85" i="51"/>
  <c r="A86" i="51"/>
  <c r="A87" i="51"/>
  <c r="A88" i="51"/>
  <c r="A89" i="51"/>
  <c r="A90" i="51"/>
  <c r="A91" i="51"/>
  <c r="A92" i="51"/>
  <c r="A83" i="51"/>
  <c r="K70" i="51"/>
  <c r="K71" i="51"/>
  <c r="K72" i="51"/>
  <c r="K73" i="51"/>
  <c r="K74" i="51"/>
  <c r="K75" i="51"/>
  <c r="K76" i="51"/>
  <c r="K77" i="51"/>
  <c r="K78" i="51"/>
  <c r="K69" i="51"/>
  <c r="H70" i="51"/>
  <c r="H71" i="51"/>
  <c r="H72" i="51"/>
  <c r="H73" i="51"/>
  <c r="H74" i="51"/>
  <c r="H75" i="51"/>
  <c r="H76" i="51"/>
  <c r="H77" i="51"/>
  <c r="H78" i="51"/>
  <c r="H69" i="51"/>
  <c r="D70" i="51"/>
  <c r="D71" i="51"/>
  <c r="D72" i="51"/>
  <c r="D73" i="51"/>
  <c r="D74" i="51"/>
  <c r="D75" i="51"/>
  <c r="D76" i="51"/>
  <c r="D77" i="51"/>
  <c r="D78" i="51"/>
  <c r="D69" i="51"/>
  <c r="A70" i="51"/>
  <c r="A71" i="51"/>
  <c r="A72" i="51"/>
  <c r="A73" i="51"/>
  <c r="A74" i="51"/>
  <c r="A75" i="51"/>
  <c r="A76" i="51"/>
  <c r="A77" i="51"/>
  <c r="A78" i="51"/>
  <c r="A69" i="51"/>
  <c r="K38" i="51"/>
  <c r="K39" i="51"/>
  <c r="K40" i="51"/>
  <c r="K41" i="51"/>
  <c r="K42" i="51"/>
  <c r="K43" i="51"/>
  <c r="K44" i="51"/>
  <c r="K45" i="51"/>
  <c r="K46" i="51"/>
  <c r="K37" i="51"/>
  <c r="H38" i="51"/>
  <c r="H39" i="51"/>
  <c r="H40" i="51"/>
  <c r="H41" i="51"/>
  <c r="H42" i="51"/>
  <c r="H43" i="51"/>
  <c r="H44" i="51"/>
  <c r="H45" i="51"/>
  <c r="H46" i="51"/>
  <c r="H37" i="51"/>
  <c r="D38" i="51"/>
  <c r="D39" i="51"/>
  <c r="D40" i="51"/>
  <c r="D41" i="51"/>
  <c r="D42" i="51"/>
  <c r="D43" i="51"/>
  <c r="D44" i="51"/>
  <c r="D45" i="51"/>
  <c r="D46" i="51"/>
  <c r="D37" i="51"/>
  <c r="A38" i="51"/>
  <c r="A39" i="51"/>
  <c r="A40" i="51"/>
  <c r="A41" i="51"/>
  <c r="A42" i="51"/>
  <c r="A43" i="51"/>
  <c r="A44" i="51"/>
  <c r="A45" i="51"/>
  <c r="A46" i="51"/>
  <c r="A37" i="51"/>
  <c r="K23" i="51"/>
  <c r="K24" i="51"/>
  <c r="K25" i="51"/>
  <c r="K26" i="51"/>
  <c r="K27" i="51"/>
  <c r="K28" i="51"/>
  <c r="K29" i="51"/>
  <c r="K30" i="51"/>
  <c r="K31" i="51"/>
  <c r="K22" i="51"/>
  <c r="H23" i="51"/>
  <c r="H24" i="51"/>
  <c r="H25" i="51"/>
  <c r="H26" i="51"/>
  <c r="H27" i="51"/>
  <c r="H28" i="51"/>
  <c r="H29" i="51"/>
  <c r="H30" i="51"/>
  <c r="H31" i="51"/>
  <c r="H22" i="51"/>
  <c r="D23" i="51"/>
  <c r="D24" i="51"/>
  <c r="D25" i="51"/>
  <c r="D26" i="51"/>
  <c r="D27" i="51"/>
  <c r="D28" i="51"/>
  <c r="D29" i="51"/>
  <c r="D30" i="51"/>
  <c r="D31" i="51"/>
  <c r="D22" i="51"/>
  <c r="A23" i="51"/>
  <c r="A24" i="51"/>
  <c r="A25" i="51"/>
  <c r="A26" i="51"/>
  <c r="A27" i="51"/>
  <c r="A28" i="51"/>
  <c r="A29" i="51"/>
  <c r="A30" i="51"/>
  <c r="A31" i="51"/>
  <c r="A22" i="51"/>
  <c r="K9" i="51"/>
  <c r="K10" i="51"/>
  <c r="K11" i="51"/>
  <c r="K12" i="51"/>
  <c r="K13" i="51"/>
  <c r="K14" i="51"/>
  <c r="K15" i="51"/>
  <c r="K16" i="51"/>
  <c r="K17" i="51"/>
  <c r="H9" i="51"/>
  <c r="H10" i="51"/>
  <c r="H11" i="51"/>
  <c r="H12" i="51"/>
  <c r="H13" i="51"/>
  <c r="H14" i="51"/>
  <c r="H15" i="51"/>
  <c r="H16" i="51"/>
  <c r="H17" i="51"/>
  <c r="K8" i="51"/>
  <c r="H8" i="51"/>
  <c r="D9" i="51"/>
  <c r="D10" i="51"/>
  <c r="D11" i="51"/>
  <c r="D12" i="51"/>
  <c r="D13" i="51"/>
  <c r="D14" i="51"/>
  <c r="D15" i="51"/>
  <c r="D16" i="51"/>
  <c r="D17" i="51"/>
  <c r="D8" i="51"/>
  <c r="A9" i="51"/>
  <c r="A10" i="51"/>
  <c r="A11" i="51"/>
  <c r="A12" i="51"/>
  <c r="A13" i="51"/>
  <c r="A14" i="51"/>
  <c r="A15" i="51"/>
  <c r="A16" i="51"/>
  <c r="A17" i="51"/>
  <c r="A8" i="51"/>
  <c r="A96" i="51"/>
  <c r="H81" i="51"/>
  <c r="A81" i="51"/>
  <c r="H67" i="51"/>
  <c r="A67" i="51"/>
  <c r="H35" i="51"/>
  <c r="A35" i="51"/>
  <c r="H20" i="51"/>
  <c r="A20" i="51"/>
  <c r="H6" i="51"/>
  <c r="A6" i="51"/>
  <c r="A96" i="50" l="1"/>
  <c r="H81" i="50"/>
  <c r="A81" i="50"/>
  <c r="H67" i="50"/>
  <c r="A67" i="50"/>
  <c r="H35" i="50"/>
  <c r="A35" i="50"/>
  <c r="A20" i="50"/>
  <c r="A6" i="50"/>
  <c r="H6" i="50"/>
  <c r="H20" i="50"/>
  <c r="N75" i="32" l="1"/>
  <c r="N76" i="32"/>
  <c r="N77" i="32"/>
  <c r="N78" i="32"/>
  <c r="N79" i="32"/>
  <c r="N80" i="32"/>
  <c r="N81" i="32"/>
  <c r="N82" i="32"/>
  <c r="N83" i="32"/>
  <c r="P83" i="36"/>
  <c r="P82" i="36"/>
  <c r="P81" i="36"/>
  <c r="P80" i="36"/>
  <c r="P79" i="36"/>
  <c r="P78" i="36"/>
  <c r="P77" i="36"/>
  <c r="P76" i="36"/>
  <c r="P75" i="36"/>
  <c r="P83" i="23"/>
  <c r="P82" i="23"/>
  <c r="P81" i="23"/>
  <c r="P80" i="23"/>
  <c r="P79" i="23"/>
  <c r="P78" i="23"/>
  <c r="P77" i="23"/>
  <c r="P76" i="23"/>
  <c r="P75" i="23"/>
  <c r="N74" i="32" l="1"/>
  <c r="N73" i="32"/>
  <c r="N72" i="32"/>
  <c r="N71" i="32"/>
  <c r="N70" i="32"/>
  <c r="N69" i="32"/>
  <c r="P74" i="36"/>
  <c r="P73" i="36"/>
  <c r="P72" i="36"/>
  <c r="P71" i="36"/>
  <c r="P70" i="36"/>
  <c r="P69" i="36"/>
  <c r="P68" i="36"/>
  <c r="P67" i="36"/>
  <c r="P66" i="36"/>
  <c r="P65" i="36"/>
  <c r="P64" i="36"/>
  <c r="P63" i="36"/>
  <c r="P62" i="36"/>
  <c r="P61" i="36"/>
  <c r="P60" i="36"/>
  <c r="P59" i="36"/>
  <c r="P58" i="36"/>
  <c r="P57" i="36"/>
  <c r="P56" i="36"/>
  <c r="P55" i="36"/>
  <c r="P54" i="36"/>
  <c r="P53" i="36"/>
  <c r="P52" i="36"/>
  <c r="P51" i="36"/>
  <c r="P50" i="36"/>
  <c r="P49" i="36"/>
  <c r="P48" i="36"/>
  <c r="P47" i="36"/>
  <c r="P46" i="36"/>
  <c r="P45" i="36"/>
  <c r="P44" i="36"/>
  <c r="P43" i="36"/>
  <c r="P42" i="36"/>
  <c r="P41" i="36"/>
  <c r="P40" i="36"/>
  <c r="P39" i="36"/>
  <c r="P38" i="36"/>
  <c r="P74" i="23"/>
  <c r="P73" i="23"/>
  <c r="P72" i="23"/>
  <c r="P71" i="23"/>
  <c r="P70" i="23"/>
  <c r="P69" i="23"/>
  <c r="P68" i="23"/>
  <c r="P67" i="23"/>
  <c r="P66" i="23"/>
  <c r="P65" i="23"/>
  <c r="P64" i="23"/>
  <c r="P63" i="23"/>
  <c r="P62" i="23"/>
  <c r="P61" i="23"/>
  <c r="P60" i="23"/>
  <c r="P59" i="23"/>
  <c r="P58" i="23"/>
  <c r="P57" i="23"/>
  <c r="P56" i="23"/>
  <c r="P55" i="23"/>
  <c r="P54" i="23"/>
  <c r="P53" i="23"/>
  <c r="P52" i="23"/>
  <c r="P51" i="23"/>
  <c r="P50" i="23"/>
  <c r="P49" i="23"/>
  <c r="P48" i="23"/>
  <c r="P47" i="23"/>
  <c r="P46" i="23"/>
  <c r="P45" i="23"/>
  <c r="P44" i="23"/>
  <c r="P43" i="23"/>
  <c r="P42" i="23"/>
  <c r="P41" i="23"/>
  <c r="P40" i="23"/>
  <c r="P39" i="23"/>
  <c r="P38" i="23"/>
  <c r="N68" i="32" l="1"/>
  <c r="N67" i="32"/>
  <c r="N66" i="32"/>
  <c r="N65" i="32"/>
  <c r="N64" i="32"/>
  <c r="N63" i="32"/>
  <c r="N62" i="32"/>
  <c r="N61" i="32"/>
  <c r="N60" i="32"/>
  <c r="N59" i="32"/>
  <c r="N58" i="32"/>
  <c r="N57" i="32"/>
  <c r="N56" i="32"/>
  <c r="N55" i="32"/>
  <c r="N54" i="32"/>
  <c r="N53" i="32"/>
  <c r="N52" i="32"/>
  <c r="N51" i="32"/>
  <c r="N50" i="32"/>
  <c r="N49" i="32"/>
  <c r="N48" i="32"/>
  <c r="N47" i="32"/>
  <c r="N46" i="32"/>
  <c r="N45" i="32"/>
  <c r="N44" i="32"/>
  <c r="N43" i="32"/>
  <c r="N42" i="32"/>
  <c r="N16" i="32" l="1"/>
  <c r="N17" i="32"/>
  <c r="N18" i="32"/>
  <c r="N19" i="32"/>
  <c r="N20" i="32"/>
  <c r="N21" i="32"/>
  <c r="N22" i="32"/>
  <c r="N23" i="32"/>
  <c r="N24" i="32"/>
  <c r="N25" i="32"/>
  <c r="N26" i="32"/>
  <c r="N27" i="32"/>
  <c r="N28" i="32"/>
  <c r="N29" i="32"/>
  <c r="N30" i="32"/>
  <c r="N31" i="32"/>
  <c r="N32" i="32"/>
  <c r="N33" i="32"/>
  <c r="N34" i="32"/>
  <c r="N35" i="32"/>
  <c r="N36" i="32"/>
  <c r="N37" i="32"/>
  <c r="N38" i="32"/>
  <c r="N39" i="32"/>
  <c r="N40" i="32"/>
  <c r="N41" i="32"/>
  <c r="N15" i="32"/>
  <c r="P37" i="36" l="1"/>
  <c r="P36" i="36"/>
  <c r="P35" i="36"/>
  <c r="P34" i="36"/>
  <c r="P33" i="36"/>
  <c r="P32" i="36"/>
  <c r="P31" i="36"/>
  <c r="P30" i="36"/>
  <c r="P29" i="36"/>
  <c r="P28" i="36"/>
  <c r="P27" i="36"/>
  <c r="P26" i="36"/>
  <c r="P25" i="36"/>
  <c r="P24" i="36"/>
  <c r="P23" i="36"/>
  <c r="P22" i="36"/>
  <c r="P21" i="36"/>
  <c r="P20" i="36"/>
  <c r="P19" i="36"/>
  <c r="P18" i="36"/>
  <c r="P17" i="36"/>
  <c r="P16" i="36"/>
  <c r="P15" i="36"/>
  <c r="P14" i="36"/>
  <c r="P13" i="36"/>
  <c r="P12" i="36"/>
  <c r="P11" i="36"/>
  <c r="P37" i="23"/>
  <c r="P36" i="23"/>
  <c r="P35" i="23"/>
  <c r="P34" i="23"/>
  <c r="P33" i="23"/>
  <c r="P32" i="23"/>
  <c r="P31" i="23"/>
  <c r="P30" i="23"/>
  <c r="P29" i="23"/>
  <c r="P28" i="23"/>
  <c r="P27" i="23"/>
  <c r="P26" i="23"/>
  <c r="P25" i="23"/>
  <c r="P24" i="23"/>
  <c r="P23" i="23"/>
  <c r="P22" i="23"/>
  <c r="P21" i="23"/>
  <c r="P20" i="23"/>
  <c r="P19" i="23"/>
  <c r="P18" i="23"/>
  <c r="P17" i="23"/>
  <c r="P16" i="23"/>
  <c r="P15" i="23"/>
  <c r="P14" i="23"/>
  <c r="P13" i="23"/>
  <c r="P12" i="23"/>
  <c r="P11" i="23"/>
  <c r="H4" i="46" l="1" a="1"/>
  <c r="H4" i="46" s="1"/>
  <c r="H8" i="46" a="1"/>
  <c r="H8" i="46" s="1"/>
  <c r="H12" i="46" a="1"/>
  <c r="H12" i="46" s="1"/>
  <c r="H16" i="46" a="1"/>
  <c r="H16" i="46" s="1"/>
  <c r="H20" i="46" a="1"/>
  <c r="H20" i="46" s="1"/>
  <c r="H24" i="46" a="1"/>
  <c r="H24" i="46" s="1"/>
  <c r="H28" i="46" a="1"/>
  <c r="H28" i="46" s="1"/>
  <c r="H32" i="46" a="1"/>
  <c r="H32" i="46" s="1"/>
  <c r="H36" i="46" a="1"/>
  <c r="H36" i="46" s="1"/>
  <c r="H40" i="46" a="1"/>
  <c r="H40" i="46" s="1"/>
  <c r="H44" i="46" a="1"/>
  <c r="H44" i="46" s="1"/>
  <c r="H48" i="46" a="1"/>
  <c r="H48" i="46" s="1"/>
  <c r="H52" i="46" a="1"/>
  <c r="H52" i="46" s="1"/>
  <c r="H56" i="46" a="1"/>
  <c r="H56" i="46" s="1"/>
  <c r="H60" i="46" a="1"/>
  <c r="H60" i="46" s="1"/>
  <c r="H64" i="46" a="1"/>
  <c r="H64" i="46" s="1"/>
  <c r="H68" i="46" a="1"/>
  <c r="H68" i="46" s="1"/>
  <c r="H72" i="46" a="1"/>
  <c r="H72" i="46" s="1"/>
  <c r="H76" i="46" a="1"/>
  <c r="H76" i="46" s="1"/>
  <c r="H80" i="46" a="1"/>
  <c r="H80" i="46" s="1"/>
  <c r="H84" i="46" a="1"/>
  <c r="H84" i="46" s="1"/>
  <c r="H88" i="46" a="1"/>
  <c r="H88" i="46" s="1"/>
  <c r="H92" i="46" a="1"/>
  <c r="H92" i="46" s="1"/>
  <c r="H96" i="46" a="1"/>
  <c r="H96" i="46" s="1"/>
  <c r="H100" i="46" a="1"/>
  <c r="H100" i="46" s="1"/>
  <c r="H3" i="46" a="1"/>
  <c r="H3" i="46" s="1"/>
  <c r="A7" i="46" a="1"/>
  <c r="A7" i="46" s="1"/>
  <c r="A11" i="46" a="1"/>
  <c r="A11" i="46" s="1"/>
  <c r="A15" i="46" a="1"/>
  <c r="A15" i="46" s="1"/>
  <c r="A19" i="46" a="1"/>
  <c r="A19" i="46" s="1"/>
  <c r="A23" i="46" a="1"/>
  <c r="A23" i="46" s="1"/>
  <c r="A27" i="46" a="1"/>
  <c r="A27" i="46" s="1"/>
  <c r="A31" i="46" a="1"/>
  <c r="A31" i="46" s="1"/>
  <c r="H14" i="46" a="1"/>
  <c r="H14" i="46" s="1"/>
  <c r="H26" i="46" a="1"/>
  <c r="H26" i="46" s="1"/>
  <c r="H38" i="46" a="1"/>
  <c r="H38" i="46" s="1"/>
  <c r="H50" i="46" a="1"/>
  <c r="H50" i="46" s="1"/>
  <c r="H62" i="46" a="1"/>
  <c r="H62" i="46" s="1"/>
  <c r="H74" i="46" a="1"/>
  <c r="H74" i="46" s="1"/>
  <c r="H86" i="46" a="1"/>
  <c r="H86" i="46" s="1"/>
  <c r="H98" i="46" a="1"/>
  <c r="H98" i="46" s="1"/>
  <c r="A9" i="46" a="1"/>
  <c r="A9" i="46" s="1"/>
  <c r="A21" i="46" a="1"/>
  <c r="A21" i="46" s="1"/>
  <c r="A33" i="46" a="1"/>
  <c r="A33" i="46" s="1"/>
  <c r="H5" i="46" a="1"/>
  <c r="H5" i="46" s="1"/>
  <c r="H9" i="46" a="1"/>
  <c r="H9" i="46" s="1"/>
  <c r="H13" i="46" a="1"/>
  <c r="H13" i="46" s="1"/>
  <c r="H17" i="46" a="1"/>
  <c r="H17" i="46" s="1"/>
  <c r="H21" i="46" a="1"/>
  <c r="H21" i="46" s="1"/>
  <c r="H25" i="46" a="1"/>
  <c r="H25" i="46" s="1"/>
  <c r="H29" i="46" a="1"/>
  <c r="H29" i="46" s="1"/>
  <c r="H33" i="46" a="1"/>
  <c r="H33" i="46" s="1"/>
  <c r="H37" i="46" a="1"/>
  <c r="H37" i="46" s="1"/>
  <c r="H41" i="46" a="1"/>
  <c r="H41" i="46" s="1"/>
  <c r="H45" i="46" a="1"/>
  <c r="H45" i="46" s="1"/>
  <c r="H49" i="46" a="1"/>
  <c r="H49" i="46" s="1"/>
  <c r="H53" i="46" a="1"/>
  <c r="H53" i="46" s="1"/>
  <c r="H57" i="46" a="1"/>
  <c r="H57" i="46" s="1"/>
  <c r="H61" i="46" a="1"/>
  <c r="H61" i="46" s="1"/>
  <c r="H65" i="46" a="1"/>
  <c r="H65" i="46" s="1"/>
  <c r="H69" i="46" a="1"/>
  <c r="H69" i="46" s="1"/>
  <c r="H73" i="46" a="1"/>
  <c r="H73" i="46" s="1"/>
  <c r="H77" i="46" a="1"/>
  <c r="H77" i="46" s="1"/>
  <c r="H81" i="46" a="1"/>
  <c r="H81" i="46" s="1"/>
  <c r="H85" i="46" a="1"/>
  <c r="H85" i="46" s="1"/>
  <c r="H89" i="46" a="1"/>
  <c r="H89" i="46" s="1"/>
  <c r="H93" i="46" a="1"/>
  <c r="H93" i="46" s="1"/>
  <c r="H97" i="46" a="1"/>
  <c r="H97" i="46" s="1"/>
  <c r="H101" i="46" a="1"/>
  <c r="H101" i="46" s="1"/>
  <c r="A4" i="46" a="1"/>
  <c r="A4" i="46" s="1"/>
  <c r="A8" i="46" a="1"/>
  <c r="A8" i="46" s="1"/>
  <c r="A12" i="46" a="1"/>
  <c r="A12" i="46" s="1"/>
  <c r="A16" i="46" a="1"/>
  <c r="A16" i="46" s="1"/>
  <c r="A20" i="46" a="1"/>
  <c r="A20" i="46" s="1"/>
  <c r="A24" i="46" a="1"/>
  <c r="A24" i="46" s="1"/>
  <c r="A28" i="46" a="1"/>
  <c r="A28" i="46" s="1"/>
  <c r="A32" i="46" a="1"/>
  <c r="A32" i="46" s="1"/>
  <c r="H6" i="46" a="1"/>
  <c r="H6" i="46" s="1"/>
  <c r="H18" i="46" a="1"/>
  <c r="H18" i="46" s="1"/>
  <c r="H30" i="46" a="1"/>
  <c r="H30" i="46" s="1"/>
  <c r="H42" i="46" a="1"/>
  <c r="H42" i="46" s="1"/>
  <c r="H54" i="46" a="1"/>
  <c r="H54" i="46" s="1"/>
  <c r="H66" i="46" a="1"/>
  <c r="H66" i="46" s="1"/>
  <c r="H78" i="46" a="1"/>
  <c r="H78" i="46" s="1"/>
  <c r="H90" i="46" a="1"/>
  <c r="H90" i="46" s="1"/>
  <c r="H102" i="46" a="1"/>
  <c r="H102" i="46" s="1"/>
  <c r="A13" i="46" a="1"/>
  <c r="A13" i="46" s="1"/>
  <c r="A25" i="46" a="1"/>
  <c r="A25" i="46" s="1"/>
  <c r="H7" i="46" a="1"/>
  <c r="H7" i="46" s="1"/>
  <c r="H11" i="46" a="1"/>
  <c r="H11" i="46" s="1"/>
  <c r="H15" i="46" a="1"/>
  <c r="H15" i="46" s="1"/>
  <c r="H19" i="46" a="1"/>
  <c r="H19" i="46" s="1"/>
  <c r="H23" i="46" a="1"/>
  <c r="H23" i="46" s="1"/>
  <c r="H27" i="46" a="1"/>
  <c r="H27" i="46" s="1"/>
  <c r="H31" i="46" a="1"/>
  <c r="H31" i="46" s="1"/>
  <c r="H35" i="46" a="1"/>
  <c r="H35" i="46" s="1"/>
  <c r="H39" i="46" a="1"/>
  <c r="H39" i="46" s="1"/>
  <c r="H43" i="46" a="1"/>
  <c r="H43" i="46" s="1"/>
  <c r="H47" i="46" a="1"/>
  <c r="H47" i="46" s="1"/>
  <c r="H51" i="46" a="1"/>
  <c r="H51" i="46" s="1"/>
  <c r="H55" i="46" a="1"/>
  <c r="H55" i="46" s="1"/>
  <c r="H59" i="46" a="1"/>
  <c r="H59" i="46" s="1"/>
  <c r="H63" i="46" a="1"/>
  <c r="H63" i="46" s="1"/>
  <c r="H67" i="46" a="1"/>
  <c r="H67" i="46" s="1"/>
  <c r="H71" i="46" a="1"/>
  <c r="H71" i="46" s="1"/>
  <c r="H75" i="46" a="1"/>
  <c r="H75" i="46" s="1"/>
  <c r="H79" i="46" a="1"/>
  <c r="H79" i="46" s="1"/>
  <c r="H83" i="46" a="1"/>
  <c r="H83" i="46" s="1"/>
  <c r="H87" i="46" a="1"/>
  <c r="H87" i="46" s="1"/>
  <c r="H91" i="46" a="1"/>
  <c r="H91" i="46" s="1"/>
  <c r="H95" i="46" a="1"/>
  <c r="H95" i="46" s="1"/>
  <c r="H99" i="46" a="1"/>
  <c r="H99" i="46" s="1"/>
  <c r="H103" i="46" a="1"/>
  <c r="H103" i="46" s="1"/>
  <c r="A6" i="46" a="1"/>
  <c r="A6" i="46" s="1"/>
  <c r="A10" i="46" a="1"/>
  <c r="A10" i="46" s="1"/>
  <c r="A14" i="46" a="1"/>
  <c r="A14" i="46" s="1"/>
  <c r="A18" i="46" a="1"/>
  <c r="A18" i="46" s="1"/>
  <c r="A22" i="46" a="1"/>
  <c r="A22" i="46" s="1"/>
  <c r="A26" i="46" a="1"/>
  <c r="A26" i="46" s="1"/>
  <c r="A30" i="46" a="1"/>
  <c r="A30" i="46" s="1"/>
  <c r="A3" i="46" a="1"/>
  <c r="A3" i="46" s="1"/>
  <c r="H10" i="46" a="1"/>
  <c r="H10" i="46" s="1"/>
  <c r="H22" i="46" a="1"/>
  <c r="H22" i="46" s="1"/>
  <c r="H34" i="46" a="1"/>
  <c r="H34" i="46" s="1"/>
  <c r="H46" i="46" a="1"/>
  <c r="H46" i="46" s="1"/>
  <c r="H58" i="46" a="1"/>
  <c r="H58" i="46" s="1"/>
  <c r="H70" i="46" a="1"/>
  <c r="H70" i="46" s="1"/>
  <c r="H82" i="46" a="1"/>
  <c r="H82" i="46" s="1"/>
  <c r="H94" i="46" a="1"/>
  <c r="H94" i="46" s="1"/>
  <c r="A5" i="46" a="1"/>
  <c r="A5" i="46" s="1"/>
  <c r="A17" i="46" a="1"/>
  <c r="A17" i="46" s="1"/>
  <c r="A29" i="46" a="1"/>
  <c r="A29" i="46" s="1"/>
  <c r="H4" i="47" a="1"/>
  <c r="H4" i="47" s="1"/>
  <c r="H7" i="47" a="1"/>
  <c r="H7" i="47" s="1"/>
  <c r="H10" i="47" a="1"/>
  <c r="H10" i="47" s="1"/>
  <c r="H17" i="47" a="1"/>
  <c r="H17" i="47" s="1"/>
  <c r="H21" i="47" a="1"/>
  <c r="H21" i="47" s="1"/>
  <c r="H24" i="47" a="1"/>
  <c r="H24" i="47" s="1"/>
  <c r="H28" i="47" a="1"/>
  <c r="H28" i="47" s="1"/>
  <c r="H31" i="47" a="1"/>
  <c r="H31" i="47" s="1"/>
  <c r="H35" i="47" a="1"/>
  <c r="H35" i="47" s="1"/>
  <c r="H38" i="47" a="1"/>
  <c r="H38" i="47" s="1"/>
  <c r="H42" i="47" a="1"/>
  <c r="H42" i="47" s="1"/>
  <c r="H49" i="47" a="1"/>
  <c r="H49" i="47" s="1"/>
  <c r="H53" i="47" a="1"/>
  <c r="H53" i="47" s="1"/>
  <c r="H56" i="47" a="1"/>
  <c r="H56" i="47" s="1"/>
  <c r="H60" i="47" a="1"/>
  <c r="H60" i="47" s="1"/>
  <c r="H63" i="47" a="1"/>
  <c r="H63" i="47" s="1"/>
  <c r="H67" i="47" a="1"/>
  <c r="H67" i="47" s="1"/>
  <c r="H70" i="47" a="1"/>
  <c r="H70" i="47" s="1"/>
  <c r="H74" i="47" a="1"/>
  <c r="H74" i="47" s="1"/>
  <c r="H81" i="47" a="1"/>
  <c r="H81" i="47" s="1"/>
  <c r="H85" i="47" a="1"/>
  <c r="H85" i="47" s="1"/>
  <c r="H88" i="47" a="1"/>
  <c r="H88" i="47" s="1"/>
  <c r="H92" i="47" a="1"/>
  <c r="H92" i="47" s="1"/>
  <c r="H95" i="47" a="1"/>
  <c r="H95" i="47" s="1"/>
  <c r="H99" i="47" a="1"/>
  <c r="H99" i="47" s="1"/>
  <c r="H102" i="47" a="1"/>
  <c r="H102" i="47" s="1"/>
  <c r="A5" i="47" a="1"/>
  <c r="A5" i="47" s="1"/>
  <c r="A9" i="47" a="1"/>
  <c r="A9" i="47" s="1"/>
  <c r="A12" i="47" a="1"/>
  <c r="A12" i="47" s="1"/>
  <c r="A16" i="47" a="1"/>
  <c r="A16" i="47" s="1"/>
  <c r="A23" i="47" a="1"/>
  <c r="A23" i="47" s="1"/>
  <c r="A27" i="47" a="1"/>
  <c r="A27" i="47" s="1"/>
  <c r="A30" i="47" a="1"/>
  <c r="A30" i="47" s="1"/>
  <c r="A32" i="47" a="1"/>
  <c r="A32" i="47" s="1"/>
  <c r="H5" i="47" a="1"/>
  <c r="H5" i="47" s="1"/>
  <c r="H8" i="47" a="1"/>
  <c r="H8" i="47" s="1"/>
  <c r="H11" i="47" a="1"/>
  <c r="H11" i="47" s="1"/>
  <c r="H14" i="47" a="1"/>
  <c r="H14" i="47" s="1"/>
  <c r="H18" i="47" a="1"/>
  <c r="H18" i="47" s="1"/>
  <c r="H25" i="47" a="1"/>
  <c r="H25" i="47" s="1"/>
  <c r="H29" i="47" a="1"/>
  <c r="H29" i="47" s="1"/>
  <c r="H32" i="47" a="1"/>
  <c r="H32" i="47" s="1"/>
  <c r="H36" i="47" a="1"/>
  <c r="H36" i="47" s="1"/>
  <c r="H39" i="47" a="1"/>
  <c r="H39" i="47" s="1"/>
  <c r="H43" i="47" a="1"/>
  <c r="H43" i="47" s="1"/>
  <c r="H46" i="47" a="1"/>
  <c r="H46" i="47" s="1"/>
  <c r="H50" i="47" a="1"/>
  <c r="H50" i="47" s="1"/>
  <c r="H57" i="47" a="1"/>
  <c r="H57" i="47" s="1"/>
  <c r="H61" i="47" a="1"/>
  <c r="H61" i="47" s="1"/>
  <c r="H64" i="47" a="1"/>
  <c r="H64" i="47" s="1"/>
  <c r="H68" i="47" a="1"/>
  <c r="H68" i="47" s="1"/>
  <c r="H71" i="47" a="1"/>
  <c r="H71" i="47" s="1"/>
  <c r="H75" i="47" a="1"/>
  <c r="H75" i="47" s="1"/>
  <c r="H78" i="47" a="1"/>
  <c r="H78" i="47" s="1"/>
  <c r="H82" i="47" a="1"/>
  <c r="H82" i="47" s="1"/>
  <c r="H89" i="47" a="1"/>
  <c r="H89" i="47" s="1"/>
  <c r="H93" i="47" a="1"/>
  <c r="H93" i="47" s="1"/>
  <c r="H96" i="47" a="1"/>
  <c r="H96" i="47" s="1"/>
  <c r="H100" i="47" a="1"/>
  <c r="H100" i="47" s="1"/>
  <c r="H103" i="47" a="1"/>
  <c r="H103" i="47" s="1"/>
  <c r="A6" i="47" a="1"/>
  <c r="A6" i="47" s="1"/>
  <c r="A10" i="47" a="1"/>
  <c r="A10" i="47" s="1"/>
  <c r="A13" i="47" a="1"/>
  <c r="A13" i="47" s="1"/>
  <c r="A17" i="47" a="1"/>
  <c r="A17" i="47" s="1"/>
  <c r="A20" i="47" a="1"/>
  <c r="A20" i="47" s="1"/>
  <c r="A24" i="47" a="1"/>
  <c r="A24" i="47" s="1"/>
  <c r="A31" i="47" a="1"/>
  <c r="A31" i="47" s="1"/>
  <c r="H9" i="47" a="1"/>
  <c r="H9" i="47" s="1"/>
  <c r="H12" i="47" a="1"/>
  <c r="H12" i="47" s="1"/>
  <c r="H15" i="47" a="1"/>
  <c r="H15" i="47" s="1"/>
  <c r="H19" i="47" a="1"/>
  <c r="H19" i="47" s="1"/>
  <c r="H22" i="47" a="1"/>
  <c r="H22" i="47" s="1"/>
  <c r="H26" i="47" a="1"/>
  <c r="H26" i="47" s="1"/>
  <c r="H33" i="47" a="1"/>
  <c r="H33" i="47" s="1"/>
  <c r="H37" i="47" a="1"/>
  <c r="H37" i="47" s="1"/>
  <c r="H40" i="47" a="1"/>
  <c r="H40" i="47" s="1"/>
  <c r="H44" i="47" a="1"/>
  <c r="H44" i="47" s="1"/>
  <c r="H47" i="47" a="1"/>
  <c r="H47" i="47" s="1"/>
  <c r="H51" i="47" a="1"/>
  <c r="H51" i="47" s="1"/>
  <c r="H54" i="47" a="1"/>
  <c r="H54" i="47" s="1"/>
  <c r="H58" i="47" a="1"/>
  <c r="H58" i="47" s="1"/>
  <c r="H65" i="47" a="1"/>
  <c r="H65" i="47" s="1"/>
  <c r="H69" i="47" a="1"/>
  <c r="H69" i="47" s="1"/>
  <c r="H72" i="47" a="1"/>
  <c r="H72" i="47" s="1"/>
  <c r="H76" i="47" a="1"/>
  <c r="H76" i="47" s="1"/>
  <c r="H79" i="47" a="1"/>
  <c r="H79" i="47" s="1"/>
  <c r="H83" i="47" a="1"/>
  <c r="H83" i="47" s="1"/>
  <c r="H86" i="47" a="1"/>
  <c r="H86" i="47" s="1"/>
  <c r="H90" i="47" a="1"/>
  <c r="H90" i="47" s="1"/>
  <c r="H97" i="47" a="1"/>
  <c r="H97" i="47" s="1"/>
  <c r="H101" i="47" a="1"/>
  <c r="H101" i="47" s="1"/>
  <c r="H3" i="47" a="1"/>
  <c r="H3" i="47" s="1"/>
  <c r="A7" i="47" a="1"/>
  <c r="A7" i="47" s="1"/>
  <c r="A11" i="47" a="1"/>
  <c r="A11" i="47" s="1"/>
  <c r="A14" i="47" a="1"/>
  <c r="A14" i="47" s="1"/>
  <c r="A18" i="47" a="1"/>
  <c r="A18" i="47" s="1"/>
  <c r="A21" i="47" a="1"/>
  <c r="A21" i="47" s="1"/>
  <c r="A25" i="47" a="1"/>
  <c r="A25" i="47" s="1"/>
  <c r="A28" i="47" a="1"/>
  <c r="A28" i="47" s="1"/>
  <c r="H6" i="47" a="1"/>
  <c r="H6" i="47" s="1"/>
  <c r="H13" i="47" a="1"/>
  <c r="H13" i="47" s="1"/>
  <c r="H16" i="47" a="1"/>
  <c r="H16" i="47" s="1"/>
  <c r="H20" i="47" a="1"/>
  <c r="H20" i="47" s="1"/>
  <c r="H23" i="47" a="1"/>
  <c r="H23" i="47" s="1"/>
  <c r="H27" i="47" a="1"/>
  <c r="H27" i="47" s="1"/>
  <c r="H30" i="47" a="1"/>
  <c r="H30" i="47" s="1"/>
  <c r="H34" i="47" a="1"/>
  <c r="H34" i="47" s="1"/>
  <c r="H41" i="47" a="1"/>
  <c r="H41" i="47" s="1"/>
  <c r="H45" i="47" a="1"/>
  <c r="H45" i="47" s="1"/>
  <c r="H48" i="47" a="1"/>
  <c r="H48" i="47" s="1"/>
  <c r="H52" i="47" a="1"/>
  <c r="H52" i="47" s="1"/>
  <c r="H55" i="47" a="1"/>
  <c r="H55" i="47" s="1"/>
  <c r="H59" i="47" a="1"/>
  <c r="H59" i="47" s="1"/>
  <c r="H62" i="47" a="1"/>
  <c r="H62" i="47" s="1"/>
  <c r="H66" i="47" a="1"/>
  <c r="H66" i="47" s="1"/>
  <c r="H73" i="47" a="1"/>
  <c r="H73" i="47" s="1"/>
  <c r="H77" i="47" a="1"/>
  <c r="H77" i="47" s="1"/>
  <c r="H80" i="47" a="1"/>
  <c r="H80" i="47" s="1"/>
  <c r="H84" i="47" a="1"/>
  <c r="H84" i="47" s="1"/>
  <c r="H87" i="47" a="1"/>
  <c r="H87" i="47" s="1"/>
  <c r="H91" i="47" a="1"/>
  <c r="H91" i="47" s="1"/>
  <c r="H94" i="47" a="1"/>
  <c r="H94" i="47" s="1"/>
  <c r="H98" i="47" a="1"/>
  <c r="H98" i="47" s="1"/>
  <c r="A4" i="47" a="1"/>
  <c r="A4" i="47" s="1"/>
  <c r="A8" i="47" a="1"/>
  <c r="A8" i="47" s="1"/>
  <c r="A15" i="47" a="1"/>
  <c r="A15" i="47" s="1"/>
  <c r="A19" i="47" a="1"/>
  <c r="A19" i="47" s="1"/>
  <c r="A22" i="47" a="1"/>
  <c r="A22" i="47" s="1"/>
  <c r="A26" i="47" a="1"/>
  <c r="A26" i="47" s="1"/>
  <c r="A29" i="47" a="1"/>
  <c r="A29" i="47" s="1"/>
  <c r="A33" i="47" a="1"/>
  <c r="A33" i="47" s="1"/>
  <c r="A3" i="47" a="1"/>
  <c r="A3" i="47" s="1"/>
  <c r="H25" i="33"/>
  <c r="B2" i="42" l="1"/>
  <c r="A41" i="1" l="1"/>
  <c r="A40" i="1"/>
  <c r="A39" i="1"/>
  <c r="A38" i="1"/>
  <c r="A37" i="1"/>
  <c r="A36" i="1"/>
  <c r="A35" i="1"/>
  <c r="A34" i="1"/>
  <c r="A33" i="1"/>
  <c r="A32" i="1"/>
  <c r="A31" i="1"/>
  <c r="AF13" i="1" l="1"/>
  <c r="AD10" i="24" s="1"/>
  <c r="W13" i="1"/>
  <c r="AB10" i="24" s="1"/>
  <c r="W24" i="1" l="1"/>
  <c r="AB11" i="24" s="1"/>
  <c r="AF24" i="1"/>
  <c r="AD11" i="24" l="1"/>
  <c r="AH9" i="1" l="1"/>
  <c r="Y2" i="42"/>
  <c r="AB9" i="1"/>
  <c r="Y9" i="1"/>
  <c r="W9" i="1"/>
  <c r="B8" i="42" s="1"/>
  <c r="Z2" i="42" s="1"/>
  <c r="U9" i="1"/>
  <c r="S9" i="1"/>
  <c r="T63" i="1"/>
  <c r="T62" i="1"/>
  <c r="T61" i="1"/>
  <c r="T60" i="1"/>
  <c r="AE63" i="1"/>
  <c r="AE62" i="1"/>
  <c r="AE61" i="1"/>
  <c r="AE60" i="1"/>
  <c r="AE53" i="1"/>
  <c r="AE52" i="1"/>
  <c r="AE51" i="1"/>
  <c r="AE50" i="1"/>
  <c r="T53" i="1"/>
  <c r="T52" i="1"/>
  <c r="T51" i="1"/>
  <c r="T50" i="1"/>
  <c r="AE59" i="1"/>
  <c r="AC60" i="1"/>
  <c r="AC61" i="1"/>
  <c r="AC62" i="1"/>
  <c r="AC63" i="1"/>
  <c r="AC59" i="1"/>
  <c r="AA60" i="1"/>
  <c r="AA61" i="1"/>
  <c r="AA62" i="1"/>
  <c r="AA63" i="1"/>
  <c r="AA59" i="1"/>
  <c r="T59" i="1"/>
  <c r="R60" i="1"/>
  <c r="R61" i="1"/>
  <c r="R62" i="1"/>
  <c r="R63" i="1"/>
  <c r="R59" i="1"/>
  <c r="P60" i="1"/>
  <c r="P61" i="1"/>
  <c r="P62" i="1"/>
  <c r="P63" i="1"/>
  <c r="P59" i="1"/>
  <c r="N60" i="1"/>
  <c r="N61" i="1"/>
  <c r="N62" i="1"/>
  <c r="N63" i="1"/>
  <c r="N59" i="1"/>
  <c r="J60" i="1"/>
  <c r="J61" i="1"/>
  <c r="J62" i="1"/>
  <c r="J63" i="1"/>
  <c r="J59" i="1"/>
  <c r="A60" i="1"/>
  <c r="A61" i="1"/>
  <c r="A62" i="1"/>
  <c r="A63" i="1"/>
  <c r="A59" i="1"/>
  <c r="AE49" i="1"/>
  <c r="AC50" i="1"/>
  <c r="AC51" i="1"/>
  <c r="AC52" i="1"/>
  <c r="AC53" i="1"/>
  <c r="AC49" i="1"/>
  <c r="AA50" i="1"/>
  <c r="AA51" i="1"/>
  <c r="AA52" i="1"/>
  <c r="AA53" i="1"/>
  <c r="AA49" i="1"/>
  <c r="T49" i="1"/>
  <c r="R50" i="1"/>
  <c r="R51" i="1"/>
  <c r="R52" i="1"/>
  <c r="R53" i="1"/>
  <c r="R49" i="1"/>
  <c r="P50" i="1"/>
  <c r="P51" i="1"/>
  <c r="P52" i="1"/>
  <c r="P53" i="1"/>
  <c r="P49" i="1"/>
  <c r="N50" i="1"/>
  <c r="N51" i="1"/>
  <c r="N52" i="1"/>
  <c r="N53" i="1"/>
  <c r="N49" i="1"/>
  <c r="J50" i="1"/>
  <c r="J51" i="1"/>
  <c r="J52" i="1"/>
  <c r="J53" i="1"/>
  <c r="J49" i="1"/>
  <c r="A50" i="1"/>
  <c r="A51" i="1"/>
  <c r="A52" i="1"/>
  <c r="A53" i="1"/>
  <c r="A49" i="1"/>
  <c r="X103" i="42" l="1"/>
  <c r="V103" i="42"/>
  <c r="X2" i="42"/>
  <c r="AB3" i="42"/>
  <c r="AB4" i="42"/>
  <c r="AB5" i="42"/>
  <c r="AB6" i="42"/>
  <c r="AB7" i="42"/>
  <c r="AB8" i="42"/>
  <c r="AB9" i="42"/>
  <c r="AB10" i="42"/>
  <c r="AB11" i="42"/>
  <c r="AB12" i="42"/>
  <c r="AB13" i="42"/>
  <c r="AB14" i="42"/>
  <c r="AB15" i="42"/>
  <c r="AB16" i="42"/>
  <c r="AB17" i="42"/>
  <c r="AB18" i="42"/>
  <c r="AB19" i="42"/>
  <c r="AB20" i="42"/>
  <c r="AB21" i="42"/>
  <c r="AB22" i="42"/>
  <c r="AB23" i="42"/>
  <c r="AB24" i="42"/>
  <c r="AB25" i="42"/>
  <c r="AB26" i="42"/>
  <c r="AB27" i="42"/>
  <c r="AB28" i="42"/>
  <c r="AB29" i="42"/>
  <c r="AB30" i="42"/>
  <c r="AB31" i="42"/>
  <c r="AB32" i="42"/>
  <c r="AB33" i="42"/>
  <c r="AB34" i="42"/>
  <c r="AB35" i="42"/>
  <c r="AB36" i="42"/>
  <c r="AB37" i="42"/>
  <c r="AB38" i="42"/>
  <c r="AB39" i="42"/>
  <c r="AB40" i="42"/>
  <c r="AB41" i="42"/>
  <c r="AB42" i="42"/>
  <c r="AB43" i="42"/>
  <c r="AB44" i="42"/>
  <c r="AB45" i="42"/>
  <c r="AB46" i="42"/>
  <c r="AB47" i="42"/>
  <c r="AB48" i="42"/>
  <c r="AB49" i="42"/>
  <c r="AB50" i="42"/>
  <c r="AB51" i="42"/>
  <c r="AB52" i="42"/>
  <c r="AB53" i="42"/>
  <c r="AB54" i="42"/>
  <c r="AB55" i="42"/>
  <c r="AB56" i="42"/>
  <c r="AB57" i="42"/>
  <c r="AB58" i="42"/>
  <c r="AB59" i="42"/>
  <c r="AB60" i="42"/>
  <c r="AB61" i="42"/>
  <c r="AB62" i="42"/>
  <c r="AB63" i="42"/>
  <c r="AB64" i="42"/>
  <c r="AB65" i="42"/>
  <c r="AB66" i="42"/>
  <c r="AB67" i="42"/>
  <c r="AB68" i="42"/>
  <c r="AB69" i="42"/>
  <c r="AB70" i="42"/>
  <c r="AB71" i="42"/>
  <c r="AB72" i="42"/>
  <c r="AB73" i="42"/>
  <c r="AB74" i="42"/>
  <c r="AB75" i="42"/>
  <c r="AB76" i="42"/>
  <c r="AB77" i="42"/>
  <c r="AB78" i="42"/>
  <c r="AB79" i="42"/>
  <c r="AB80" i="42"/>
  <c r="AB81" i="42"/>
  <c r="AB82" i="42"/>
  <c r="AB83" i="42"/>
  <c r="AB84" i="42"/>
  <c r="AB85" i="42"/>
  <c r="AB86" i="42"/>
  <c r="AB87" i="42"/>
  <c r="AB88" i="42"/>
  <c r="AB89" i="42"/>
  <c r="AB90" i="42"/>
  <c r="AB91" i="42"/>
  <c r="AB92" i="42"/>
  <c r="AB93" i="42"/>
  <c r="AB94" i="42"/>
  <c r="AB95" i="42"/>
  <c r="AB96" i="42"/>
  <c r="AB97" i="42"/>
  <c r="AB98" i="42"/>
  <c r="AB99" i="42"/>
  <c r="AB100" i="42"/>
  <c r="AB101" i="42"/>
  <c r="AB103" i="42"/>
  <c r="AB102" i="42"/>
  <c r="Y3" i="42"/>
  <c r="Y4" i="42"/>
  <c r="Y5" i="42"/>
  <c r="Y6" i="42"/>
  <c r="Y7" i="42"/>
  <c r="Y8" i="42"/>
  <c r="Y9" i="42"/>
  <c r="Y11" i="42"/>
  <c r="Y10" i="42"/>
  <c r="Y12" i="42"/>
  <c r="Y13" i="42"/>
  <c r="Y14" i="42"/>
  <c r="Y15" i="42"/>
  <c r="Y16" i="42"/>
  <c r="Y17" i="42"/>
  <c r="Y18" i="42"/>
  <c r="Y19" i="42"/>
  <c r="Y20" i="42"/>
  <c r="Y21" i="42"/>
  <c r="Y22" i="42"/>
  <c r="Y23" i="42"/>
  <c r="Y24" i="42"/>
  <c r="Y25" i="42"/>
  <c r="Y26" i="42"/>
  <c r="Y27" i="42"/>
  <c r="Y28" i="42"/>
  <c r="Y29" i="42"/>
  <c r="Y30" i="42"/>
  <c r="Y31" i="42"/>
  <c r="Y32" i="42"/>
  <c r="Y33" i="42"/>
  <c r="Y34" i="42"/>
  <c r="Y35" i="42"/>
  <c r="Y36" i="42"/>
  <c r="Y37" i="42"/>
  <c r="Y38" i="42"/>
  <c r="Y39" i="42"/>
  <c r="Y40" i="42"/>
  <c r="Y41" i="42"/>
  <c r="Y42" i="42"/>
  <c r="Y43" i="42"/>
  <c r="Y44" i="42"/>
  <c r="Y45" i="42"/>
  <c r="Y46" i="42"/>
  <c r="Y47" i="42"/>
  <c r="Y48" i="42"/>
  <c r="Y49" i="42"/>
  <c r="Y50" i="42"/>
  <c r="Y51" i="42"/>
  <c r="Y52" i="42"/>
  <c r="Y53" i="42"/>
  <c r="Y54" i="42"/>
  <c r="Y55" i="42"/>
  <c r="Y56" i="42"/>
  <c r="Y57" i="42"/>
  <c r="Y58" i="42"/>
  <c r="Y59" i="42"/>
  <c r="Y60" i="42"/>
  <c r="Y61" i="42"/>
  <c r="Y62" i="42"/>
  <c r="Y63" i="42"/>
  <c r="Y64" i="42"/>
  <c r="Y65" i="42"/>
  <c r="Y66" i="42"/>
  <c r="Y67" i="42"/>
  <c r="Y68" i="42"/>
  <c r="Y69" i="42"/>
  <c r="Y70" i="42"/>
  <c r="Y71" i="42"/>
  <c r="Y72" i="42"/>
  <c r="Y73" i="42"/>
  <c r="Y74" i="42"/>
  <c r="Y75" i="42"/>
  <c r="Y77" i="42"/>
  <c r="Y78" i="42"/>
  <c r="Y79" i="42"/>
  <c r="Y80" i="42"/>
  <c r="Y81" i="42"/>
  <c r="Y82" i="42"/>
  <c r="Y83" i="42"/>
  <c r="Y84" i="42"/>
  <c r="Y85" i="42"/>
  <c r="Y86" i="42"/>
  <c r="Y87" i="42"/>
  <c r="Y88" i="42"/>
  <c r="Y89" i="42"/>
  <c r="Y90" i="42"/>
  <c r="Y91" i="42"/>
  <c r="Y92" i="42"/>
  <c r="Y93" i="42"/>
  <c r="Y94" i="42"/>
  <c r="Y95" i="42"/>
  <c r="Y96" i="42"/>
  <c r="Y97" i="42"/>
  <c r="Y98" i="42"/>
  <c r="Y99" i="42"/>
  <c r="Y100" i="42"/>
  <c r="Y101" i="42"/>
  <c r="Y102" i="42"/>
  <c r="Y103" i="42"/>
  <c r="Y76" i="42"/>
  <c r="X3" i="42"/>
  <c r="V3" i="42"/>
  <c r="X4" i="42"/>
  <c r="V4" i="42"/>
  <c r="X5" i="42"/>
  <c r="V5" i="42"/>
  <c r="V6" i="42"/>
  <c r="X6" i="42"/>
  <c r="X7" i="42"/>
  <c r="V7" i="42"/>
  <c r="V8" i="42"/>
  <c r="X8" i="42"/>
  <c r="V9" i="42"/>
  <c r="X9" i="42"/>
  <c r="X10" i="42"/>
  <c r="V10" i="42"/>
  <c r="X11" i="42"/>
  <c r="V11" i="42"/>
  <c r="X12" i="42"/>
  <c r="V12" i="42"/>
  <c r="X13" i="42"/>
  <c r="V13" i="42"/>
  <c r="V14" i="42"/>
  <c r="X14" i="42"/>
  <c r="X15" i="42"/>
  <c r="V15" i="42"/>
  <c r="X16" i="42"/>
  <c r="V16" i="42"/>
  <c r="X17" i="42"/>
  <c r="V17" i="42"/>
  <c r="X18" i="42"/>
  <c r="V18" i="42"/>
  <c r="X19" i="42"/>
  <c r="V19" i="42"/>
  <c r="X20" i="42"/>
  <c r="V20" i="42"/>
  <c r="V21" i="42"/>
  <c r="X21" i="42"/>
  <c r="X22" i="42"/>
  <c r="V22" i="42"/>
  <c r="V23" i="42"/>
  <c r="X23" i="42"/>
  <c r="X24" i="42"/>
  <c r="V24" i="42"/>
  <c r="X25" i="42"/>
  <c r="V25" i="42"/>
  <c r="X26" i="42"/>
  <c r="V26" i="42"/>
  <c r="X27" i="42"/>
  <c r="V27" i="42"/>
  <c r="X28" i="42"/>
  <c r="V28" i="42"/>
  <c r="V29" i="42"/>
  <c r="X30" i="42"/>
  <c r="V30" i="42"/>
  <c r="X31" i="42"/>
  <c r="V31" i="42"/>
  <c r="X32" i="42"/>
  <c r="V32" i="42"/>
  <c r="X33" i="42"/>
  <c r="V33" i="42"/>
  <c r="X34" i="42"/>
  <c r="V34" i="42"/>
  <c r="X35" i="42"/>
  <c r="V35" i="42"/>
  <c r="X36" i="42"/>
  <c r="V36" i="42"/>
  <c r="X37" i="42"/>
  <c r="V37" i="42"/>
  <c r="X38" i="42"/>
  <c r="V38" i="42"/>
  <c r="X39" i="42"/>
  <c r="V39" i="42"/>
  <c r="X40" i="42"/>
  <c r="V40" i="42"/>
  <c r="X41" i="42"/>
  <c r="V41" i="42"/>
  <c r="X42" i="42"/>
  <c r="V42" i="42"/>
  <c r="X43" i="42"/>
  <c r="V43" i="42"/>
  <c r="V44" i="42"/>
  <c r="X44" i="42"/>
  <c r="X45" i="42"/>
  <c r="V45" i="42"/>
  <c r="X46" i="42"/>
  <c r="V46" i="42"/>
  <c r="X47" i="42"/>
  <c r="V47" i="42"/>
  <c r="V48" i="42"/>
  <c r="X48" i="42"/>
  <c r="X49" i="42"/>
  <c r="V49" i="42"/>
  <c r="X50" i="42"/>
  <c r="V50" i="42"/>
  <c r="X51" i="42"/>
  <c r="V51" i="42"/>
  <c r="V52" i="42"/>
  <c r="X52" i="42"/>
  <c r="X53" i="42"/>
  <c r="V53" i="42"/>
  <c r="X54" i="42"/>
  <c r="V54" i="42"/>
  <c r="X55" i="42"/>
  <c r="V55" i="42"/>
  <c r="X56" i="42"/>
  <c r="V56" i="42"/>
  <c r="X57" i="42"/>
  <c r="V57" i="42"/>
  <c r="V58" i="42"/>
  <c r="X58" i="42"/>
  <c r="X59" i="42"/>
  <c r="V59" i="42"/>
  <c r="X60" i="42"/>
  <c r="V60" i="42"/>
  <c r="X61" i="42"/>
  <c r="V61" i="42"/>
  <c r="X62" i="42"/>
  <c r="V62" i="42"/>
  <c r="X63" i="42"/>
  <c r="V63" i="42"/>
  <c r="X64" i="42"/>
  <c r="V64" i="42"/>
  <c r="X65" i="42"/>
  <c r="V65" i="42"/>
  <c r="X66" i="42"/>
  <c r="V66" i="42"/>
  <c r="V67" i="42"/>
  <c r="X67" i="42"/>
  <c r="V68" i="42"/>
  <c r="X68" i="42"/>
  <c r="X69" i="42"/>
  <c r="V69" i="42"/>
  <c r="X70" i="42"/>
  <c r="V70" i="42"/>
  <c r="V71" i="42"/>
  <c r="X71" i="42"/>
  <c r="V72" i="42"/>
  <c r="X72" i="42"/>
  <c r="X73" i="42"/>
  <c r="V73" i="42"/>
  <c r="X74" i="42"/>
  <c r="V74" i="42"/>
  <c r="X75" i="42"/>
  <c r="V75" i="42"/>
  <c r="X76" i="42"/>
  <c r="V76" i="42"/>
  <c r="X77" i="42"/>
  <c r="V77" i="42"/>
  <c r="X78" i="42"/>
  <c r="V78" i="42"/>
  <c r="X79" i="42"/>
  <c r="V79" i="42"/>
  <c r="X80" i="42"/>
  <c r="V80" i="42"/>
  <c r="V81" i="42"/>
  <c r="X81" i="42"/>
  <c r="V82" i="42"/>
  <c r="X82" i="42"/>
  <c r="V83" i="42"/>
  <c r="X83" i="42"/>
  <c r="V84" i="42"/>
  <c r="X84" i="42"/>
  <c r="V85" i="42"/>
  <c r="X85" i="42"/>
  <c r="X86" i="42"/>
  <c r="V86" i="42"/>
  <c r="X87" i="42"/>
  <c r="V87" i="42"/>
  <c r="X88" i="42"/>
  <c r="V88" i="42"/>
  <c r="X89" i="42"/>
  <c r="V89" i="42"/>
  <c r="V90" i="42"/>
  <c r="X90" i="42"/>
  <c r="V91" i="42"/>
  <c r="X91" i="42"/>
  <c r="X92" i="42"/>
  <c r="V92" i="42"/>
  <c r="V93" i="42"/>
  <c r="X93" i="42"/>
  <c r="X94" i="42"/>
  <c r="V94" i="42"/>
  <c r="X95" i="42"/>
  <c r="V95" i="42"/>
  <c r="X96" i="42"/>
  <c r="V96" i="42"/>
  <c r="X97" i="42"/>
  <c r="V97" i="42"/>
  <c r="V98" i="42"/>
  <c r="X98" i="42"/>
  <c r="X99" i="42"/>
  <c r="V99" i="42"/>
  <c r="V100" i="42"/>
  <c r="X100" i="42"/>
  <c r="V101" i="42"/>
  <c r="X101" i="42"/>
  <c r="V102" i="42"/>
  <c r="X102" i="42"/>
  <c r="X29" i="42"/>
  <c r="Z3" i="42"/>
  <c r="Z4" i="42"/>
  <c r="Z5" i="42"/>
  <c r="Z6" i="42"/>
  <c r="Z7" i="42"/>
  <c r="Z8" i="42"/>
  <c r="Z9" i="42"/>
  <c r="Z10" i="42"/>
  <c r="Z11" i="42"/>
  <c r="Z12" i="42"/>
  <c r="Z13" i="42"/>
  <c r="Z14" i="42"/>
  <c r="Z15" i="42"/>
  <c r="Z16" i="42"/>
  <c r="Z17" i="42"/>
  <c r="Z18" i="42"/>
  <c r="Z19" i="42"/>
  <c r="Z20" i="42"/>
  <c r="Z21" i="42"/>
  <c r="Z22" i="42"/>
  <c r="Z23" i="42"/>
  <c r="Z24" i="42"/>
  <c r="Z25" i="42"/>
  <c r="Z26" i="42"/>
  <c r="Z27" i="42"/>
  <c r="Z28" i="42"/>
  <c r="Z29" i="42"/>
  <c r="Z30" i="42"/>
  <c r="Z31" i="42"/>
  <c r="Z32" i="42"/>
  <c r="Z33" i="42"/>
  <c r="Z34" i="42"/>
  <c r="Z35" i="42"/>
  <c r="Z36" i="42"/>
  <c r="Z37" i="42"/>
  <c r="Z38" i="42"/>
  <c r="Z39" i="42"/>
  <c r="Z40" i="42"/>
  <c r="Z41" i="42"/>
  <c r="Z42" i="42"/>
  <c r="Z43" i="42"/>
  <c r="Z44" i="42"/>
  <c r="Z45" i="42"/>
  <c r="Z46" i="42"/>
  <c r="Z47" i="42"/>
  <c r="Z48" i="42"/>
  <c r="Z49" i="42"/>
  <c r="Z50" i="42"/>
  <c r="Z51" i="42"/>
  <c r="Z53" i="42"/>
  <c r="Z54" i="42"/>
  <c r="Z55" i="42"/>
  <c r="Z56" i="42"/>
  <c r="Z57" i="42"/>
  <c r="Z58" i="42"/>
  <c r="Z59" i="42"/>
  <c r="Z60" i="42"/>
  <c r="Z61" i="42"/>
  <c r="Z62" i="42"/>
  <c r="Z63" i="42"/>
  <c r="Z64" i="42"/>
  <c r="Z65" i="42"/>
  <c r="Z66" i="42"/>
  <c r="Z67" i="42"/>
  <c r="Z68" i="42"/>
  <c r="Z69" i="42"/>
  <c r="Z70" i="42"/>
  <c r="Z71" i="42"/>
  <c r="Z72" i="42"/>
  <c r="Z73" i="42"/>
  <c r="Z74" i="42"/>
  <c r="Z75" i="42"/>
  <c r="Z76" i="42"/>
  <c r="Z77" i="42"/>
  <c r="Z78" i="42"/>
  <c r="Z79" i="42"/>
  <c r="Z80" i="42"/>
  <c r="Z81" i="42"/>
  <c r="Z82" i="42"/>
  <c r="Z83" i="42"/>
  <c r="Z84" i="42"/>
  <c r="Z85" i="42"/>
  <c r="Z86" i="42"/>
  <c r="Z87" i="42"/>
  <c r="Z88" i="42"/>
  <c r="Z89" i="42"/>
  <c r="Z90" i="42"/>
  <c r="Z91" i="42"/>
  <c r="Z92" i="42"/>
  <c r="Z93" i="42"/>
  <c r="Z94" i="42"/>
  <c r="Z95" i="42"/>
  <c r="Z96" i="42"/>
  <c r="Z97" i="42"/>
  <c r="Z98" i="42"/>
  <c r="Z99" i="42"/>
  <c r="Z100" i="42"/>
  <c r="Z101" i="42"/>
  <c r="Z102" i="42"/>
  <c r="Z103" i="42"/>
  <c r="Z52" i="42"/>
  <c r="J65" i="1"/>
  <c r="T65" i="1"/>
  <c r="J55" i="1"/>
  <c r="P55" i="1"/>
  <c r="R55" i="1"/>
  <c r="P65" i="1"/>
  <c r="R65" i="1"/>
  <c r="T55" i="1"/>
  <c r="Q6" i="39" l="1"/>
  <c r="A10" i="32" s="1"/>
  <c r="A6" i="39"/>
  <c r="G10" i="32" s="1"/>
  <c r="X8" i="39" l="1"/>
  <c r="A11" i="32" s="1"/>
  <c r="I8" i="39"/>
  <c r="F11" i="32" s="1"/>
  <c r="X6" i="39"/>
  <c r="I6" i="39"/>
  <c r="N65" i="1" l="1"/>
  <c r="N55" i="1"/>
</calcChain>
</file>

<file path=xl/sharedStrings.xml><?xml version="1.0" encoding="utf-8"?>
<sst xmlns="http://schemas.openxmlformats.org/spreadsheetml/2006/main" count="2185" uniqueCount="539">
  <si>
    <t>VaR</t>
  </si>
  <si>
    <t>ETL</t>
  </si>
  <si>
    <t>ETR</t>
  </si>
  <si>
    <t>Weight</t>
  </si>
  <si>
    <t>Highest Gain Scenario(Amount)</t>
  </si>
  <si>
    <t>STRESS TEST SCENARIOS</t>
  </si>
  <si>
    <t>Disclaimer:</t>
  </si>
  <si>
    <r>
      <t>HISTOGRAM</t>
    </r>
    <r>
      <rPr>
        <sz val="11"/>
        <rFont val="Calibri"/>
        <family val="2"/>
        <scheme val="minor"/>
      </rPr>
      <t xml:space="preserve"> 
(</t>
    </r>
    <r>
      <rPr>
        <b/>
        <sz val="11"/>
        <color theme="3" tint="0.39997558519241921"/>
        <rFont val="Calibri"/>
        <family val="2"/>
        <scheme val="minor"/>
      </rPr>
      <t>BLUE</t>
    </r>
    <r>
      <rPr>
        <sz val="11"/>
        <color theme="1"/>
        <rFont val="Calibri"/>
        <family val="2"/>
        <charset val="204"/>
        <scheme val="minor"/>
      </rPr>
      <t xml:space="preserve"> bars)</t>
    </r>
  </si>
  <si>
    <t>RETURNS</t>
  </si>
  <si>
    <t>X-AXIS</t>
  </si>
  <si>
    <t>#SIMULATIONS per BIN</t>
  </si>
  <si>
    <t>#TAIL SIMULATIONS per BIN</t>
  </si>
  <si>
    <r>
      <t xml:space="preserve">Tooltips </t>
    </r>
    <r>
      <rPr>
        <b/>
        <sz val="11"/>
        <color theme="3" tint="0.39997558519241921"/>
        <rFont val="Calibri"/>
        <family val="2"/>
        <scheme val="minor"/>
      </rPr>
      <t>BLUE</t>
    </r>
  </si>
  <si>
    <t>BLUE</t>
  </si>
  <si>
    <r>
      <rPr>
        <b/>
        <i/>
        <sz val="11"/>
        <color theme="1"/>
        <rFont val="Calibri"/>
        <family val="2"/>
        <scheme val="minor"/>
      </rPr>
      <t>Left -tail VAR</t>
    </r>
    <r>
      <rPr>
        <i/>
        <sz val="11"/>
        <color theme="1"/>
        <rFont val="Calibri"/>
        <family val="2"/>
        <scheme val="minor"/>
      </rPr>
      <t xml:space="preserve">
(as negative percentage)</t>
    </r>
  </si>
  <si>
    <r>
      <rPr>
        <b/>
        <i/>
        <sz val="11"/>
        <color theme="1"/>
        <rFont val="Calibri"/>
        <family val="2"/>
        <scheme val="minor"/>
      </rPr>
      <t>Right -tail VAR</t>
    </r>
    <r>
      <rPr>
        <i/>
        <sz val="11"/>
        <color theme="1"/>
        <rFont val="Calibri"/>
        <family val="2"/>
        <scheme val="minor"/>
      </rPr>
      <t xml:space="preserve">
(as positive percentage)</t>
    </r>
  </si>
  <si>
    <r>
      <rPr>
        <b/>
        <i/>
        <sz val="11"/>
        <color theme="1"/>
        <rFont val="Calibri"/>
        <family val="2"/>
        <scheme val="minor"/>
      </rPr>
      <t xml:space="preserve">Tooltip Name </t>
    </r>
    <r>
      <rPr>
        <i/>
        <sz val="11"/>
        <color theme="1"/>
        <rFont val="Calibri"/>
        <family val="2"/>
        <scheme val="minor"/>
      </rPr>
      <t xml:space="preserve">
for left-tail VAR</t>
    </r>
  </si>
  <si>
    <r>
      <rPr>
        <b/>
        <i/>
        <sz val="11"/>
        <color theme="1"/>
        <rFont val="Calibri"/>
        <family val="2"/>
        <scheme val="minor"/>
      </rPr>
      <t xml:space="preserve">Tooltip Name </t>
    </r>
    <r>
      <rPr>
        <i/>
        <sz val="11"/>
        <color theme="1"/>
        <rFont val="Calibri"/>
        <family val="2"/>
        <scheme val="minor"/>
      </rPr>
      <t xml:space="preserve">
for right-tail VAR</t>
    </r>
  </si>
  <si>
    <t>Mean</t>
  </si>
  <si>
    <t>Standard Deviation</t>
  </si>
  <si>
    <t>ONE FACTOR REGRESSION</t>
  </si>
  <si>
    <t>Value at Risk</t>
  </si>
  <si>
    <t>Expected Tail Loss</t>
  </si>
  <si>
    <t>Expected Tail Return</t>
  </si>
  <si>
    <t>Percent Contribution to Standard Deviation</t>
  </si>
  <si>
    <t>Marginal Contribution to Standard Deviation</t>
  </si>
  <si>
    <t>Percent Contribution to Expected Tail Loss</t>
  </si>
  <si>
    <t>Marginal Contribution to Expected Tail Loss</t>
  </si>
  <si>
    <t>Percent Contribution to Expected Tail Return</t>
  </si>
  <si>
    <t>Marginal Contribution to Expected Tail Return</t>
  </si>
  <si>
    <t>PC to Return</t>
  </si>
  <si>
    <t>If you wish to see this result, please specify One Factor Regression calculation.</t>
  </si>
  <si>
    <t>FACTOR MODEL</t>
  </si>
  <si>
    <t>STRESS TESTS</t>
  </si>
  <si>
    <t>DISTRIBUTION TYPE</t>
  </si>
  <si>
    <t>CORRELATIONS</t>
  </si>
  <si>
    <t>RFR (Annualized)</t>
  </si>
  <si>
    <t>BACKFILL</t>
  </si>
  <si>
    <t>PORTFOLIO VALUE</t>
  </si>
  <si>
    <t>PORTFOLIO</t>
  </si>
  <si>
    <t>CONFIDENCE LEVEL</t>
  </si>
  <si>
    <t>SIMULATIONS DISTRIBUTION CHART</t>
  </si>
  <si>
    <t>ETL 95</t>
  </si>
  <si>
    <t>ETR 95</t>
  </si>
  <si>
    <t>SYSTEMATIC RISK</t>
  </si>
  <si>
    <t>SPECIFIC RISK</t>
  </si>
  <si>
    <t>Portfolio 
Return</t>
  </si>
  <si>
    <t>TOTAL</t>
  </si>
  <si>
    <t>MARGINAL CONTRIBUTION (bps)</t>
  </si>
  <si>
    <t>PERCENTAGE CONTRIBUTION (%)</t>
  </si>
  <si>
    <t xml:space="preserve"> SIMULATED PORTFOLIO  RISK STATISTICS</t>
  </si>
  <si>
    <t>Skew</t>
  </si>
  <si>
    <t>Excess Kurtosis</t>
  </si>
  <si>
    <t>Sharpe</t>
  </si>
  <si>
    <t xml:space="preserve">STARR </t>
  </si>
  <si>
    <t xml:space="preserve">Rachev </t>
  </si>
  <si>
    <t xml:space="preserve">ETR (%) </t>
  </si>
  <si>
    <t xml:space="preserve">ETL (%) </t>
  </si>
  <si>
    <t xml:space="preserve">VaR(%) </t>
  </si>
  <si>
    <t>PC to ETL (%)</t>
  </si>
  <si>
    <t>HISTORICAL STATISTICS</t>
  </si>
  <si>
    <t>SIMULATED STATISTICS</t>
  </si>
  <si>
    <t>Implied Return (ETL)</t>
  </si>
  <si>
    <t>Difference</t>
  </si>
  <si>
    <t>MC to ETL (bps)</t>
  </si>
  <si>
    <t>Portfolio Exposure (%)</t>
  </si>
  <si>
    <t>PORTFOLIO VALUE STRESS TEST</t>
  </si>
  <si>
    <t>Highest Gain Scenario(%)</t>
  </si>
  <si>
    <t>First Date</t>
  </si>
  <si>
    <t>Last Date</t>
  </si>
  <si>
    <t>STRESSED FACTOR VALUES</t>
  </si>
  <si>
    <t>Robust Correlations</t>
  </si>
  <si>
    <t>FACTOR CORRELATIONS</t>
  </si>
  <si>
    <t>MULTIFACTOR REGRESSION</t>
  </si>
  <si>
    <t>p-value</t>
  </si>
  <si>
    <t>Residual Standard Error</t>
  </si>
  <si>
    <t>BETA</t>
  </si>
  <si>
    <t>P-VALUE</t>
  </si>
  <si>
    <t>Date</t>
  </si>
  <si>
    <t>Name</t>
  </si>
  <si>
    <t>Backfill/Infill Instruments</t>
  </si>
  <si>
    <t>Beta</t>
  </si>
  <si>
    <t>Intercept</t>
  </si>
  <si>
    <t>Observations</t>
  </si>
  <si>
    <t>Backfill/Infill Method</t>
  </si>
  <si>
    <t>Coeff</t>
  </si>
  <si>
    <t>t-stat</t>
  </si>
  <si>
    <t>Only results for backfilled/infilled funds are displayed.</t>
  </si>
  <si>
    <t>If the p-value and t-statistic columns in the Beta section appear empty, it is due to non-positive degrees of freedom. Please, adjust your backfill/infill settings.</t>
  </si>
  <si>
    <t>FUND CORRELATIONS</t>
  </si>
  <si>
    <t>WORKSHEET</t>
  </si>
  <si>
    <t>DESCRIPTION</t>
  </si>
  <si>
    <t>SUMMARY</t>
  </si>
  <si>
    <t>FACTOR CONTRIBUTION</t>
  </si>
  <si>
    <t>PORTFOLIO STRESS TEST</t>
  </si>
  <si>
    <t>FACTOR ANALYSIS</t>
  </si>
  <si>
    <t>TIME SERIES</t>
  </si>
  <si>
    <t>HISTORICAL DATA AND BACKFILL/INFILL INFORMATION</t>
  </si>
  <si>
    <t>FACTOR RETURNS UNDER THE SCENARIO STRESS ANALYSIS</t>
  </si>
  <si>
    <t>SELECTED MULTI-FACTOR SCENARIO STRESS ANALYSIS</t>
  </si>
  <si>
    <t>DETAILED RISK DRIVER ANALYSIS</t>
  </si>
  <si>
    <t xml:space="preserve">PC to StDev
</t>
  </si>
  <si>
    <t xml:space="preserve">PC to Return
</t>
  </si>
  <si>
    <t xml:space="preserve">MC to StDev 
</t>
  </si>
  <si>
    <t>BACKFILL INFORMATION</t>
  </si>
  <si>
    <t>Skewness</t>
  </si>
  <si>
    <t>Sharpe Ratio</t>
  </si>
  <si>
    <t>STARR Ratio</t>
  </si>
  <si>
    <t>Rachev Ratio</t>
  </si>
  <si>
    <t>PC to ETR (%)</t>
  </si>
  <si>
    <t>MC to ETR (bps)</t>
  </si>
  <si>
    <t>Portfolio Exposure</t>
  </si>
  <si>
    <t>Percentage Contribution to Risk (PCTR) by Factor Bucket shows how a given factor bucket contributes to the overall risk of the portfolio.</t>
  </si>
  <si>
    <t>Percentage Contribution to Risk (PCTR) shows how a given factor contributes to the overall risk of the portfolio. For a long-only portfolio risk is reduced by decreasing the exposure to factors  that have PCTR lower than the factor exposure and increasing those with PCTR higher than its exposure.</t>
  </si>
  <si>
    <t>This table shows you the historical and backfilled data of the funds in your portfolio.</t>
  </si>
  <si>
    <t>Implied Return (IR) is the required return of the asset to justify its contribution to the portfolio risk assuming that the current portfolio has optimal performance ratio. To improve the risk-adjusted performance of the portfolio one should consider increasing the weights of the assets with IRs lower that the expected returns of those assets and lowering those with IRs higher than their expected retuns.</t>
  </si>
  <si>
    <t>The Stepwise Selection Method runs a stepwise regression (forward and backward). The process automatically selects a subset of factors in your model for each fund that provides the highest explanatory power with respect to the funds in your portfolio with the smallest number of factors permissible.</t>
  </si>
  <si>
    <t>Backfilling has to be used when you have missing data, short return histories or when your instruments’ time series do not have the same starting point.</t>
  </si>
  <si>
    <t>Comparison with robust correlation over the selected time window. Robust correlation method computes the covariance matrix with the assumption that there may be outlier data points in the data that are not representative for future behavior.</t>
  </si>
  <si>
    <t>TRADITIONAL</t>
  </si>
  <si>
    <t>TAIL MEASURES</t>
  </si>
  <si>
    <t>MC to ETL</t>
  </si>
  <si>
    <t>MC to ETR</t>
  </si>
  <si>
    <t>Factor 
MC to ETL</t>
  </si>
  <si>
    <t>Factor 
MC to StDev</t>
  </si>
  <si>
    <t>StDev</t>
  </si>
  <si>
    <t>TIME WINDOW</t>
  </si>
  <si>
    <t>Factor MC to StDev (bps)</t>
  </si>
  <si>
    <t>Factor PC to StDev (%)</t>
  </si>
  <si>
    <t>Factor PC to ETL (%)</t>
  </si>
  <si>
    <t>CALCULATION SETTINGS</t>
  </si>
  <si>
    <t>PC to StDev (%)</t>
  </si>
  <si>
    <t>MC to StDev (bps)</t>
  </si>
  <si>
    <t>Ann. StDev</t>
  </si>
  <si>
    <t>FACTOR CONTRIBUTION BY FACTOR</t>
  </si>
  <si>
    <t>FACTOR CONTRIBUTION BY FACTOR BUCKET</t>
  </si>
  <si>
    <t>TOP LOSER BY STRESS SCENARIO</t>
  </si>
  <si>
    <r>
      <t>R</t>
    </r>
    <r>
      <rPr>
        <b/>
        <vertAlign val="superscript"/>
        <sz val="9"/>
        <color theme="1"/>
        <rFont val="Calibri"/>
        <family val="2"/>
        <scheme val="minor"/>
      </rPr>
      <t>2</t>
    </r>
  </si>
  <si>
    <r>
      <t>R</t>
    </r>
    <r>
      <rPr>
        <vertAlign val="superscript"/>
        <sz val="8"/>
        <rFont val="Calibri"/>
        <family val="2"/>
        <scheme val="minor"/>
      </rPr>
      <t>2</t>
    </r>
  </si>
  <si>
    <r>
      <t>Adj R</t>
    </r>
    <r>
      <rPr>
        <vertAlign val="superscript"/>
        <sz val="8"/>
        <rFont val="Calibri"/>
        <family val="2"/>
        <scheme val="minor"/>
      </rPr>
      <t>2</t>
    </r>
  </si>
  <si>
    <t>Return per unit of risk, where risk is defined as standard deviation</t>
  </si>
  <si>
    <t>Return per unit of risk, where risk is defined as expected tail loss</t>
  </si>
  <si>
    <t>Tail return per unit of tail risk, where tail return is defined as expected tail return (ETR) and tail loss is defined as expected tail loss (ETL)</t>
  </si>
  <si>
    <t>Factor MC to ETL (bps)</t>
  </si>
  <si>
    <t>Factor Percent Contribution to Standard Deviation</t>
  </si>
  <si>
    <t>Factor Marginal Contribution to Standard Deviation</t>
  </si>
  <si>
    <t>Factor Percent Contribution to Expected Tail Loss</t>
  </si>
  <si>
    <t>Factor Marginal Contribution to Expected Tail Loss</t>
  </si>
  <si>
    <t>The volatility of the portfolio returns around the mean. It represents a symmetric risk measure, i.e. recognizing both upside and downside deviations from the mean and capturing the central risk only.</t>
  </si>
  <si>
    <t>The degree of asymmetry of a distribution around its mean. Positive skewness indicates a distribution with an asymmetric tail extending toward more positive values. Negative skewness indicates a distribution with an asymmetric tail extending toward more negative values.</t>
  </si>
  <si>
    <t>The degree to which a distribution is more or less peaked than a normal distribution. Positive kurtosis indicates a relatively peaked distribution. Negative kurtosis indicates a relatively flat distribution</t>
  </si>
  <si>
    <t>The fraction of total portfolio expected mean return contributed by each risk driver.</t>
  </si>
  <si>
    <t>The average (expected) loss beyond Value-at-Risk (VaR). It can be interpreted as the expected shortfall given that the VaR threshold has been exceeded. It is a risk measure focusing on downside only</t>
  </si>
  <si>
    <t>The highest possible loss over a certain period of time with a given level of confidence</t>
  </si>
  <si>
    <t>The upside potential of a portfolio or asset. It is conceptually similar to ETL but applies to gains rather than losses, i.e. ETR measure the average gain should the positive VaR be exceeded</t>
  </si>
  <si>
    <t>The fraction of total portfolio volatility contributed by each market index</t>
  </si>
  <si>
    <t>Portfolio volatility sensitivity to a small change in the exposure to each market index</t>
  </si>
  <si>
    <t>The fraction of total portfolio expected tail loss contributed by each market index</t>
  </si>
  <si>
    <t>Portfolio expected tail loss sensitivity to a small change in the exposure to each market index</t>
  </si>
  <si>
    <t>RISK MEASURES</t>
  </si>
  <si>
    <t>RETURN MEASURES</t>
  </si>
  <si>
    <t>RISK ADJUSTED MEASURES</t>
  </si>
  <si>
    <t>PERCENTAGE AND MARGINAL CONTRIBUTION</t>
  </si>
  <si>
    <t>OTHER STATISTICS</t>
  </si>
  <si>
    <t>Factor PC to StDev</t>
  </si>
  <si>
    <t>TOTAL SYSTEMATIC RISK</t>
  </si>
  <si>
    <t>Factor PC to ETL</t>
  </si>
  <si>
    <t>SCENARIOS BY PORTFOLIO IMPACT</t>
  </si>
  <si>
    <t>DETAILED SIMULATED RISK STATISTICS</t>
  </si>
  <si>
    <t>RISK BUDGETING (ETL)</t>
  </si>
  <si>
    <t>RISK BUDGETING (StDev)</t>
  </si>
  <si>
    <t>Implied Return (StDev)</t>
  </si>
  <si>
    <t>DETAILED HISTORICAL  STATISTICS</t>
  </si>
  <si>
    <t>MC to StDev</t>
  </si>
  <si>
    <r>
      <t xml:space="preserve">PC to ETR (%) </t>
    </r>
    <r>
      <rPr>
        <sz val="11"/>
        <color theme="3" tint="0.39997558519241921"/>
        <rFont val="Calibri"/>
        <family val="2"/>
        <scheme val="minor"/>
      </rPr>
      <t>•</t>
    </r>
  </si>
  <si>
    <r>
      <t xml:space="preserve">PC to ETL  </t>
    </r>
    <r>
      <rPr>
        <sz val="11"/>
        <color theme="5" tint="0.39997558519241921"/>
        <rFont val="Calibri"/>
        <family val="2"/>
        <scheme val="minor"/>
      </rPr>
      <t>•</t>
    </r>
  </si>
  <si>
    <r>
      <t xml:space="preserve">PC to ETR </t>
    </r>
    <r>
      <rPr>
        <sz val="8"/>
        <color theme="3" tint="0.39997558519241921"/>
        <rFont val="Calibri"/>
        <family val="2"/>
        <scheme val="minor"/>
      </rPr>
      <t xml:space="preserve"> </t>
    </r>
    <r>
      <rPr>
        <sz val="11"/>
        <color theme="4" tint="-0.249977111117893"/>
        <rFont val="Calibri"/>
        <family val="2"/>
        <scheme val="minor"/>
      </rPr>
      <t>•</t>
    </r>
  </si>
  <si>
    <r>
      <t xml:space="preserve">MC to ETL </t>
    </r>
    <r>
      <rPr>
        <sz val="11"/>
        <color theme="5" tint="0.39997558519241921"/>
        <rFont val="Calibri"/>
        <family val="2"/>
        <scheme val="minor"/>
      </rPr>
      <t>•</t>
    </r>
  </si>
  <si>
    <r>
      <t xml:space="preserve">MC to ETR </t>
    </r>
    <r>
      <rPr>
        <sz val="11"/>
        <color theme="3" tint="-0.249977111117893"/>
        <rFont val="Calibri"/>
        <family val="2"/>
        <scheme val="minor"/>
      </rPr>
      <t>•</t>
    </r>
  </si>
  <si>
    <r>
      <t xml:space="preserve">PC to ETL (%) </t>
    </r>
    <r>
      <rPr>
        <sz val="11"/>
        <color theme="5" tint="0.39997558519241921"/>
        <rFont val="Calibri"/>
        <family val="2"/>
      </rPr>
      <t>•</t>
    </r>
  </si>
  <si>
    <t>RISK BUDGETING ANALYSIS, BASED ON TAIL RISK</t>
  </si>
  <si>
    <t>RISK BUDGETING ANALYSIS, BASED ON TRADITIONAL RISK</t>
  </si>
  <si>
    <t>HISTORICAL RISK</t>
  </si>
  <si>
    <t>SIMULATED RISK</t>
  </si>
  <si>
    <t>DETAILED HISTORICAL STATISTICS</t>
  </si>
  <si>
    <t>DETAILED SIMULATED STATISTICS</t>
  </si>
  <si>
    <t>GLOSSARY</t>
  </si>
  <si>
    <t>Portfolio Composition</t>
  </si>
  <si>
    <t>TOP 10 FACTORS BY SYSTEMATIC RISK (STDEV)</t>
  </si>
  <si>
    <t>TOP 10 FACTORS BY SYSTEMATIC RISK (ETL)</t>
  </si>
  <si>
    <t>Mean Return (%)</t>
  </si>
  <si>
    <t>Upside Volatility</t>
  </si>
  <si>
    <t>Max Drawdown (%)</t>
  </si>
  <si>
    <t>Downside Volatility</t>
  </si>
  <si>
    <t>Total Winning Periods</t>
  </si>
  <si>
    <t>Total Losing Periods</t>
  </si>
  <si>
    <t>PORTFOLIO RISK SNAPSHOT</t>
  </si>
  <si>
    <t>STRESS TEST SNAPSHOT</t>
  </si>
  <si>
    <t>PORTFOLIO RISK CONTRIBUTION SNAPSHOT</t>
  </si>
  <si>
    <t>HIGHLIGHTS</t>
  </si>
  <si>
    <t>PREDEFINED SCENARIO</t>
  </si>
  <si>
    <t>Contribution Total Loss/Gain</t>
  </si>
  <si>
    <t>TOP 5 HIGHEST LOSS STRESS TEST SCENARIOS</t>
  </si>
  <si>
    <t>TOP 5 HIGHEST GAIN STRESS TEST SCENARIOS</t>
  </si>
  <si>
    <t>Highest Loss Scenario (%)</t>
  </si>
  <si>
    <t>Highest Loss Scenario (Amount)</t>
  </si>
  <si>
    <t>Highest Gain Scenario (%)</t>
  </si>
  <si>
    <t>TOP 5 RISK CONTRIBUTORS - POSITIONS</t>
  </si>
  <si>
    <t>TOP 5 RISK DIVERSIFIERS - POSITIONS</t>
  </si>
  <si>
    <t>UP-RIGHT - SIMULATED PORTFOLIO  RISK STATISTICS</t>
  </si>
  <si>
    <r>
      <rPr>
        <b/>
        <i/>
        <sz val="11"/>
        <color theme="1"/>
        <rFont val="Calibri"/>
        <family val="2"/>
        <scheme val="minor"/>
      </rPr>
      <t>Present Value</t>
    </r>
    <r>
      <rPr>
        <i/>
        <sz val="11"/>
        <color theme="1"/>
        <rFont val="Calibri"/>
        <family val="2"/>
        <scheme val="minor"/>
      </rPr>
      <t xml:space="preserve"> 
(as of Evaluation Date)</t>
    </r>
  </si>
  <si>
    <r>
      <rPr>
        <b/>
        <i/>
        <sz val="11"/>
        <color theme="1"/>
        <rFont val="Calibri"/>
        <family val="2"/>
        <scheme val="minor"/>
      </rPr>
      <t>Mean</t>
    </r>
    <r>
      <rPr>
        <i/>
        <sz val="11"/>
        <color theme="1"/>
        <rFont val="Calibri"/>
        <family val="2"/>
        <scheme val="minor"/>
      </rPr>
      <t xml:space="preserve">
(as positive percentage)</t>
    </r>
  </si>
  <si>
    <t>VAR at 95%,</t>
  </si>
  <si>
    <t>VAR at 5%,</t>
  </si>
  <si>
    <t>Mean,</t>
  </si>
  <si>
    <t>Simulations</t>
  </si>
  <si>
    <t>Factor Risk</t>
  </si>
  <si>
    <t>hd</t>
  </si>
  <si>
    <t>backfill</t>
  </si>
  <si>
    <t>artificial</t>
  </si>
  <si>
    <t>date</t>
  </si>
  <si>
    <t>&amp;sub&amp; portfolio</t>
  </si>
  <si>
    <t>highlight if Robust - Classical &gt; 0.3</t>
  </si>
  <si>
    <t>conditional factor</t>
  </si>
  <si>
    <t>The table shows the return of each factor under each of the stress scenarios. The stress test scenarios are ordered by most negative impact on the portfolio value.</t>
  </si>
  <si>
    <t>Weight (%)</t>
  </si>
  <si>
    <t>&amp;sub&amp; number 0.01</t>
  </si>
  <si>
    <t>&amp;sub&amp; number 0.001</t>
  </si>
  <si>
    <t>Asset Return</t>
  </si>
  <si>
    <t>ASSET CORRELATIONS</t>
  </si>
  <si>
    <t>ASSET CLASSICAL VS ROBUST CORRELATIONS</t>
  </si>
  <si>
    <t>FACTOR CLASSICAL VS ROBUST CORRELATIONS</t>
  </si>
  <si>
    <t>GLOSSARY OF THE USED STATISTICS</t>
  </si>
  <si>
    <t>NUMBER OF ASSETS</t>
  </si>
  <si>
    <t>Ex-post (Historical) information about the assets in the portfolio</t>
  </si>
  <si>
    <t>Ex-ante (Simulated) statistics for portfolio and assets</t>
  </si>
  <si>
    <t>The Stepwise Selection Method runs a stepwise regression (forward and backward). The process automatically selects a subset of factors in your model for each asset that provides the highest explanatory power with respect to the assets in your portfolio with the smallest number of factors permissible.</t>
  </si>
  <si>
    <t>TOP 5 CONTRIBUTORS BY MARGINAL CONTRIBUTION TO ETL</t>
  </si>
  <si>
    <t>TOP 5 DIVERSIFIERS BY MARGINAL CONTRIBUTION TO ETL</t>
  </si>
  <si>
    <t>VaR 95</t>
  </si>
  <si>
    <t>VaR 5</t>
  </si>
  <si>
    <t>FACTOR CONTRIBUTION TO RISK; SYSTEMATIC VS. SPECIFIC FACTOR RISK</t>
  </si>
  <si>
    <t>Ann. Mean</t>
  </si>
  <si>
    <t>The average of the simulated returns of the asset/strategy</t>
  </si>
  <si>
    <t>The fraction of total portfolio volatility contributed by each asset/strategy</t>
  </si>
  <si>
    <t>Portfolio volatility sensitivity to a small change in the weight of each asset</t>
  </si>
  <si>
    <t>The fraction of total portfolio expected tail loss contributed by each asset/strategy</t>
  </si>
  <si>
    <t>Portfolio expected tail loss sensitivity to a small change in the weight of each asset</t>
  </si>
  <si>
    <t>The fraction of total portfolio expected tail return contributed by each asset/strategy</t>
  </si>
  <si>
    <t>Portfolio expected tail return sensitivity to a small change in the weight of each asset</t>
  </si>
  <si>
    <t>The weighted sum of asset betas to each market index</t>
  </si>
  <si>
    <t xml:space="preserve"> The return an asset must deliver in order to justify the amount of tail risk it contributes to the overall portfolio</t>
  </si>
  <si>
    <t xml:space="preserve"> The return an asset must deliver in order to justify the amount of volatility it contributes to the overall portfolio</t>
  </si>
  <si>
    <t>The volatility of the positive returns of the asset</t>
  </si>
  <si>
    <t>The volatility of the negative returns of the asset</t>
  </si>
  <si>
    <t>Max Drawdown</t>
  </si>
  <si>
    <t>Encompasses both the period from the asset's peak to the asset's valley (length), and the time from the asset's valley to a new asset high (recovery).</t>
  </si>
  <si>
    <t>Impl.Return</t>
  </si>
  <si>
    <t>Portfolio/Groups</t>
  </si>
  <si>
    <t>Assets</t>
  </si>
  <si>
    <t>Diff</t>
  </si>
  <si>
    <t>diff</t>
  </si>
  <si>
    <r>
      <rPr>
        <sz val="14"/>
        <color theme="5"/>
        <rFont val="Calibri"/>
        <family val="2"/>
        <scheme val="minor"/>
      </rPr>
      <t>•</t>
    </r>
    <r>
      <rPr>
        <sz val="7"/>
        <rFont val="Calibri"/>
        <family val="2"/>
        <scheme val="minor"/>
      </rPr>
      <t xml:space="preserve"> Mean Return (%)</t>
    </r>
  </si>
  <si>
    <r>
      <rPr>
        <sz val="14"/>
        <color theme="4"/>
        <rFont val="Calibri"/>
        <family val="2"/>
        <scheme val="minor"/>
      </rPr>
      <t>•</t>
    </r>
    <r>
      <rPr>
        <sz val="7"/>
        <rFont val="Calibri"/>
        <family val="2"/>
        <scheme val="minor"/>
      </rPr>
      <t xml:space="preserve"> Implied Return (ETL)</t>
    </r>
  </si>
  <si>
    <r>
      <rPr>
        <sz val="14"/>
        <color theme="4"/>
        <rFont val="Calibri"/>
        <family val="2"/>
        <scheme val="minor"/>
      </rPr>
      <t>•</t>
    </r>
    <r>
      <rPr>
        <sz val="6.5"/>
        <rFont val="Calibri"/>
        <family val="2"/>
        <scheme val="minor"/>
      </rPr>
      <t xml:space="preserve"> Implied Return (St.Dev.)     </t>
    </r>
    <r>
      <rPr>
        <sz val="14"/>
        <color theme="5"/>
        <rFont val="Calibri"/>
        <family val="2"/>
        <scheme val="minor"/>
      </rPr>
      <t>•</t>
    </r>
    <r>
      <rPr>
        <sz val="6.5"/>
        <rFont val="Calibri"/>
        <family val="2"/>
        <scheme val="minor"/>
      </rPr>
      <t xml:space="preserve"> Mean Return (%)</t>
    </r>
  </si>
  <si>
    <t>DETAILED EXPOSURE BY FACTOR BUCKET</t>
  </si>
  <si>
    <t>The sensitivity of each position toward the respective market segment</t>
  </si>
  <si>
    <t>%rhNode</t>
  </si>
  <si>
    <t>EXPOSURE BY FACTOR BUCKET</t>
  </si>
  <si>
    <t>asset</t>
  </si>
  <si>
    <t>value</t>
  </si>
  <si>
    <t>scenarios</t>
  </si>
  <si>
    <t>CURRENCY</t>
  </si>
  <si>
    <t>Ann.Mean</t>
  </si>
  <si>
    <r>
      <t xml:space="preserve">Factor PC to StDev (%) </t>
    </r>
    <r>
      <rPr>
        <sz val="8"/>
        <color theme="4"/>
        <rFont val="Calibri"/>
        <family val="2"/>
        <scheme val="minor"/>
      </rPr>
      <t>•</t>
    </r>
  </si>
  <si>
    <r>
      <t xml:space="preserve">Factor PC to ETL (%) </t>
    </r>
    <r>
      <rPr>
        <sz val="8"/>
        <color theme="5"/>
        <rFont val="Calibri"/>
        <family val="2"/>
        <scheme val="minor"/>
      </rPr>
      <t>•</t>
    </r>
  </si>
  <si>
    <t>HISTORICAL RETURNS</t>
  </si>
  <si>
    <t>EVERYTHING IMPORTANT AT A GLANCE</t>
  </si>
  <si>
    <t>DETAILED EXPOSURES FROM FACTOR BUCKETS</t>
  </si>
  <si>
    <t>Percent Contribution to Return</t>
  </si>
  <si>
    <t>STARR</t>
  </si>
  <si>
    <t>Rachev</t>
  </si>
  <si>
    <t>ANALYSIS PERIOD</t>
  </si>
  <si>
    <t>Stress testing provides intuitive first glance assessment of the possible losses to portfolio value under different extreme scenarios and facilitates the understanding of more advanced risk statistics. It provides indication how the current level of portfolio risk, measured by VaR and ETL  stands among historically observed extremes. The stress test scenarios are ordered by most negative impact on the portfolio value.</t>
  </si>
  <si>
    <t>37</t>
  </si>
  <si>
    <t>No</t>
  </si>
  <si>
    <t>Template General Factor Model</t>
  </si>
  <si>
    <t>Asymmetric Student-t</t>
  </si>
  <si>
    <t>EWMA</t>
  </si>
  <si>
    <t>11</t>
  </si>
  <si>
    <t>07/31/2019 - 04/30/2026</t>
  </si>
  <si>
    <t>81</t>
  </si>
  <si>
    <t>95</t>
  </si>
  <si>
    <t>USD</t>
  </si>
  <si>
    <t/>
  </si>
  <si>
    <t>ML Global High Yield - AAA Spread USD</t>
  </si>
  <si>
    <t>MSCI Small Minus Large World USD</t>
  </si>
  <si>
    <t>MSCI The World USD</t>
  </si>
  <si>
    <t>ML Global Govt Bond II USD</t>
  </si>
  <si>
    <t>CBOE Volatility Index as Difference USD</t>
  </si>
  <si>
    <t>US Treasury 10Yr - 2Yr Spread USD</t>
  </si>
  <si>
    <t>MSCI Value Minus Growth World USD</t>
  </si>
  <si>
    <t>Trade Weighted Exchange Index: Broad</t>
  </si>
  <si>
    <t>S&amp;P GSCI Index</t>
  </si>
  <si>
    <t>Silver Point Capital: Silver Point Distressed Opportunity Institutional Partners + Silver Point HF</t>
  </si>
  <si>
    <t>LibreMax Partners LP: LibreMax Partners LP</t>
  </si>
  <si>
    <t>PIMCO: PIMCO Commodity Alpha Fund</t>
  </si>
  <si>
    <t>Graham Absolute Return Ltd: Graham Absolute Return Ltd</t>
  </si>
  <si>
    <t>Saba: CEF1 MN - 2.75x</t>
  </si>
  <si>
    <t>DYAL: DYAL II - Aksia</t>
  </si>
  <si>
    <t>LibreMax CLO: LibreMax CLO</t>
  </si>
  <si>
    <t>DE Shaw Composite Fund LLC: DE Shaw Composite Fund LLC</t>
  </si>
  <si>
    <t>Brevan Howard MB Macro Fund: Brevan Howard MB Macro Fund with proforma</t>
  </si>
  <si>
    <t>Ares: Ares Pathfinder II</t>
  </si>
  <si>
    <t>00000MP87KPZC-3AM47H-TTQARV</t>
  </si>
  <si>
    <t>Multi Strategy</t>
  </si>
  <si>
    <t>Relative Value</t>
  </si>
  <si>
    <t>Global Macro</t>
  </si>
  <si>
    <t>Dockside</t>
  </si>
  <si>
    <t>Equity Long Short</t>
  </si>
  <si>
    <t>Credit</t>
  </si>
  <si>
    <t>Specialty Finance</t>
  </si>
  <si>
    <t>Coinvests</t>
  </si>
  <si>
    <t>12267: Trexquant Onshore Fund LP</t>
  </si>
  <si>
    <t>Aquatic: Aquatic - Nautilus CFM (Net)</t>
  </si>
  <si>
    <t>Bayview Asset Management: MSR Fund</t>
  </si>
  <si>
    <t>Benefit Street Partners: Benefit Street Partners Origination Fund (CCFLX)</t>
  </si>
  <si>
    <t>BlackRock: GAO</t>
  </si>
  <si>
    <t>Blackstone: Badgerstone Access</t>
  </si>
  <si>
    <t>Blue Owl: Blue Owl Funding Partners (CCLFX)</t>
  </si>
  <si>
    <t>Brevan Howard Coinvests (Aksia): Brevan Howard Special Opportunities SPC</t>
  </si>
  <si>
    <t>D. E. Shaw: Cogence</t>
  </si>
  <si>
    <t>Dockside: I-94 Minus Standalones</t>
  </si>
  <si>
    <t>Dorsal Capital Partners LP: Dorsal Capital Partners LP</t>
  </si>
  <si>
    <t>Elliott Associates LP: Elliott Associates LP</t>
  </si>
  <si>
    <t>Four World: FWGO</t>
  </si>
  <si>
    <t>Four World: FWGO Minority Descent</t>
  </si>
  <si>
    <t>HF: Current Coinvests (Excluding BH Coinvests)</t>
  </si>
  <si>
    <t>HF: Current Specialty Finance (Excluding Pathfinder)</t>
  </si>
  <si>
    <t>Holocene: Holocene Advisors Master</t>
  </si>
  <si>
    <t>Hudson Structured: HSCM w MFC</t>
  </si>
  <si>
    <t>King Street Capital LP: King Street Capital LP</t>
  </si>
  <si>
    <t>Mesarete: Prior TR+back with Pharo Macro+Mesarete Capital Fund</t>
  </si>
  <si>
    <t>PIMCO Global Credit Opportunity Onshore Fund LLC: PIMCO Global Credit Opportunity Onshore Fund LLC</t>
  </si>
  <si>
    <t>Reflow Full Track: ReFlow LO Excess Plus Market Neutral</t>
  </si>
  <si>
    <t>Rokos Global Macro Fund LP: Rokos Global Macro Fund LP</t>
  </si>
  <si>
    <t>Silver Point Capital Fund II LP: Silver Point Capital Fund II LP</t>
  </si>
  <si>
    <t>Taula: SWIB-DM Taula</t>
  </si>
  <si>
    <t>Voleon Composition Domestic Fund LP: Voleon Composition Domestic Fund LP</t>
  </si>
  <si>
    <t>Walleye: Walleye Opportunities Fund</t>
  </si>
  <si>
    <t>^REMOVE_PAGE</t>
  </si>
  <si>
    <t>Current 7.26</t>
  </si>
  <si>
    <t>Commodity Risk</t>
  </si>
  <si>
    <t>Equity Risk</t>
  </si>
  <si>
    <t>FX Risk</t>
  </si>
  <si>
    <t>Fixed Income Risk</t>
  </si>
  <si>
    <t>Interest Rate Risk</t>
  </si>
  <si>
    <t>Volatility Risk</t>
  </si>
  <si>
    <t>Specific Risk</t>
  </si>
  <si>
    <t>Total Systematic Risk</t>
  </si>
  <si>
    <t>Residual Risk</t>
  </si>
  <si>
    <t>Corporate Risk</t>
  </si>
  <si>
    <t>Sovereign Risk</t>
  </si>
  <si>
    <t>Commodity Risk Sensitivity</t>
  </si>
  <si>
    <t>Corporate Risk Sensitivity</t>
  </si>
  <si>
    <t>Equity Risk Sensitivity</t>
  </si>
  <si>
    <t>FX Risk Sensitivity</t>
  </si>
  <si>
    <t>Interest Rate Risk Sensitivity</t>
  </si>
  <si>
    <t>Sovereign Risk Sensitivity</t>
  </si>
  <si>
    <t>Volatility Risk Sensitivity</t>
  </si>
  <si>
    <t>Initial Value</t>
  </si>
  <si>
    <t>2008 Lehman Blow-Up</t>
  </si>
  <si>
    <t>2002 Market Downturn</t>
  </si>
  <si>
    <t>2001 WTC Attack</t>
  </si>
  <si>
    <t>1987 Black Monday</t>
  </si>
  <si>
    <t>1998 Russian Crisis</t>
  </si>
  <si>
    <t>2008 January Crisis</t>
  </si>
  <si>
    <t>2007 August Crisis</t>
  </si>
  <si>
    <t>2001 Nasdaq</t>
  </si>
  <si>
    <t>1997 - 1998 Asian Crisis</t>
  </si>
  <si>
    <t>1990 Kuwait Invasion</t>
  </si>
  <si>
    <t>2005 Katrina</t>
  </si>
  <si>
    <t>Strategy - Multi Strategy</t>
  </si>
  <si>
    <t>Strategy - Relative Value</t>
  </si>
  <si>
    <t>Strategy - Global Macro</t>
  </si>
  <si>
    <t>Strategy - Dockside</t>
  </si>
  <si>
    <t>Strategy - Equity Long Short</t>
  </si>
  <si>
    <t>Strategy - Credit</t>
  </si>
  <si>
    <t>Strategy - Specialty Finance</t>
  </si>
  <si>
    <t>Strategy - Coinvests</t>
  </si>
  <si>
    <t>Factor Name</t>
  </si>
  <si>
    <t>01/02/1990</t>
  </si>
  <si>
    <t>06/24/2026</t>
  </si>
  <si>
    <t>12/31/1985</t>
  </si>
  <si>
    <t>12/31/1997</t>
  </si>
  <si>
    <t>12/31/1998</t>
  </si>
  <si>
    <t>12/31/1969</t>
  </si>
  <si>
    <t>12/31/1974</t>
  </si>
  <si>
    <t>01/04/1995</t>
  </si>
  <si>
    <t>06/01/1976</t>
  </si>
  <si>
    <t xml:space="preserve">   @Intercept</t>
  </si>
  <si>
    <t xml:space="preserve">   CBOE Volatility Index as Difference USD</t>
  </si>
  <si>
    <t xml:space="preserve">   ML Global Govt Bond II USD</t>
  </si>
  <si>
    <t xml:space="preserve">   ML Global High Yield - AAA Spread USD</t>
  </si>
  <si>
    <t xml:space="preserve">   MSCI Small Minus Large World USD</t>
  </si>
  <si>
    <t xml:space="preserve">   MSCI The World USD</t>
  </si>
  <si>
    <t xml:space="preserve">   MSCI Value Minus Growth World USD</t>
  </si>
  <si>
    <t xml:space="preserve">   S&amp;P GSCI Index</t>
  </si>
  <si>
    <t xml:space="preserve">   Trade Weighted Exchange Index: Broad</t>
  </si>
  <si>
    <t xml:space="preserve">   US Treasury 10Yr - 2Yr Spread USD</t>
  </si>
  <si>
    <t>&gt;0.3: Difference between Robust and EWMA</t>
  </si>
  <si>
    <t>EWMA Correlations</t>
  </si>
  <si>
    <t>Fund 1</t>
  </si>
  <si>
    <t>Fund 2</t>
  </si>
  <si>
    <t>Fund 3</t>
  </si>
  <si>
    <t>Fund 4</t>
  </si>
  <si>
    <t>Fund 5</t>
  </si>
  <si>
    <t>Fund 6</t>
  </si>
  <si>
    <t>Fund 7</t>
  </si>
  <si>
    <t>Fund 8</t>
  </si>
  <si>
    <t>Fund 9</t>
  </si>
  <si>
    <t>Fund 10</t>
  </si>
  <si>
    <t>Fund 11</t>
  </si>
  <si>
    <t>Fund 12</t>
  </si>
  <si>
    <t>Fund 13</t>
  </si>
  <si>
    <t>Fund 14</t>
  </si>
  <si>
    <t>Fund 15</t>
  </si>
  <si>
    <t>Fund 16</t>
  </si>
  <si>
    <t>Fund 17</t>
  </si>
  <si>
    <t>Fund 18</t>
  </si>
  <si>
    <t>Fund 19</t>
  </si>
  <si>
    <t>Fund 20</t>
  </si>
  <si>
    <t>Fund 21</t>
  </si>
  <si>
    <t>Fund 22</t>
  </si>
  <si>
    <t>Fund 23</t>
  </si>
  <si>
    <t>Fund 24</t>
  </si>
  <si>
    <t>Fund 25</t>
  </si>
  <si>
    <t>Fund 26</t>
  </si>
  <si>
    <t>Fund 27</t>
  </si>
  <si>
    <t>Fund 28</t>
  </si>
  <si>
    <t>Fund 29</t>
  </si>
  <si>
    <t>Fund 30</t>
  </si>
  <si>
    <t>Fund 31</t>
  </si>
  <si>
    <t>Fund 32</t>
  </si>
  <si>
    <t>Fund 33</t>
  </si>
  <si>
    <t>Fund 34</t>
  </si>
  <si>
    <t>Fund 35</t>
  </si>
  <si>
    <t>Fund 36</t>
  </si>
  <si>
    <t>Fund 37</t>
  </si>
  <si>
    <t>Factor 1</t>
  </si>
  <si>
    <t>Factor 2</t>
  </si>
  <si>
    <t>Factor 3</t>
  </si>
  <si>
    <t>Factor 4</t>
  </si>
  <si>
    <t>Factor 5</t>
  </si>
  <si>
    <t>Factor 6</t>
  </si>
  <si>
    <t>Factor 7</t>
  </si>
  <si>
    <t>Factor 8</t>
  </si>
  <si>
    <t>Factor 9</t>
  </si>
  <si>
    <t>04/30/2026</t>
  </si>
  <si>
    <t>03/31/2026</t>
  </si>
  <si>
    <t>02/28/2026</t>
  </si>
  <si>
    <t>01/31/2026</t>
  </si>
  <si>
    <t>12/31/2025</t>
  </si>
  <si>
    <t>11/30/2025</t>
  </si>
  <si>
    <t>10/31/2025</t>
  </si>
  <si>
    <t>09/30/2025</t>
  </si>
  <si>
    <t>08/31/2025</t>
  </si>
  <si>
    <t>07/31/2025</t>
  </si>
  <si>
    <t>06/30/2025</t>
  </si>
  <si>
    <t>05/31/2025</t>
  </si>
  <si>
    <t>04/30/2025</t>
  </si>
  <si>
    <t>03/31/2025</t>
  </si>
  <si>
    <t>02/28/2025</t>
  </si>
  <si>
    <t>01/31/2025</t>
  </si>
  <si>
    <t>12/31/2024</t>
  </si>
  <si>
    <t>11/30/2024</t>
  </si>
  <si>
    <t>10/31/2024</t>
  </si>
  <si>
    <t>09/30/2024</t>
  </si>
  <si>
    <t>08/31/2024</t>
  </si>
  <si>
    <t>07/31/2024</t>
  </si>
  <si>
    <t>06/30/2024</t>
  </si>
  <si>
    <t>05/31/2024</t>
  </si>
  <si>
    <t>04/30/2024</t>
  </si>
  <si>
    <t>03/31/2024</t>
  </si>
  <si>
    <t>02/29/2024</t>
  </si>
  <si>
    <t>01/31/2024</t>
  </si>
  <si>
    <t>12/31/2023</t>
  </si>
  <si>
    <t>11/30/2023</t>
  </si>
  <si>
    <t>10/31/2023</t>
  </si>
  <si>
    <t>09/30/2023</t>
  </si>
  <si>
    <t>08/31/2023</t>
  </si>
  <si>
    <t>07/31/2023</t>
  </si>
  <si>
    <t>06/30/2023</t>
  </si>
  <si>
    <t>05/31/2023</t>
  </si>
  <si>
    <t>04/30/2023</t>
  </si>
  <si>
    <t>03/31/2023</t>
  </si>
  <si>
    <t>02/28/2023</t>
  </si>
  <si>
    <t>01/31/2023</t>
  </si>
  <si>
    <t>12/31/2022</t>
  </si>
  <si>
    <t>11/30/2022</t>
  </si>
  <si>
    <t>10/31/2022</t>
  </si>
  <si>
    <t>09/30/2022</t>
  </si>
  <si>
    <t>08/31/2022</t>
  </si>
  <si>
    <t>07/31/2022</t>
  </si>
  <si>
    <t>06/30/2022</t>
  </si>
  <si>
    <t>05/31/2022</t>
  </si>
  <si>
    <t>04/30/2022</t>
  </si>
  <si>
    <t>03/31/2022</t>
  </si>
  <si>
    <t>02/28/2022</t>
  </si>
  <si>
    <t>01/31/2022</t>
  </si>
  <si>
    <t>12/31/2021</t>
  </si>
  <si>
    <t>11/30/2021</t>
  </si>
  <si>
    <t>10/31/2021</t>
  </si>
  <si>
    <t>09/30/2021</t>
  </si>
  <si>
    <t>08/31/2021</t>
  </si>
  <si>
    <t>07/31/2021</t>
  </si>
  <si>
    <t>06/30/2021</t>
  </si>
  <si>
    <t>05/31/2021</t>
  </si>
  <si>
    <t>04/30/2021</t>
  </si>
  <si>
    <t>03/31/2021</t>
  </si>
  <si>
    <t>02/28/2021</t>
  </si>
  <si>
    <t>01/31/2021</t>
  </si>
  <si>
    <t>12/31/2020</t>
  </si>
  <si>
    <t>11/30/2020</t>
  </si>
  <si>
    <t>10/31/2020</t>
  </si>
  <si>
    <t>09/30/2020</t>
  </si>
  <si>
    <t>08/31/2020</t>
  </si>
  <si>
    <t>07/31/2020</t>
  </si>
  <si>
    <t>06/30/2020</t>
  </si>
  <si>
    <t>05/31/2020</t>
  </si>
  <si>
    <t>04/30/2020</t>
  </si>
  <si>
    <t>03/31/2020</t>
  </si>
  <si>
    <t>02/29/2020</t>
  </si>
  <si>
    <t>01/31/2020</t>
  </si>
  <si>
    <t>12/31/2019</t>
  </si>
  <si>
    <t>11/30/2019</t>
  </si>
  <si>
    <t>10/31/2019</t>
  </si>
  <si>
    <t>09/30/2019</t>
  </si>
  <si>
    <t>08/31/2019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</si>
</sst>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
    <numFmt numFmtId="166" formatCode="0.000"/>
    <numFmt numFmtId="167" formatCode="0.00000000000000%"/>
    <numFmt numFmtId="168" formatCode="0.000000000000000%"/>
  </numFmts>
  <fonts count="127"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name val="Arial"/>
      <family val="2"/>
    </font>
    <font>
      <sz val="8"/>
      <color theme="1" tint="0.34998626667073579"/>
      <name val="Arial"/>
      <family val="2"/>
    </font>
    <font>
      <sz val="8"/>
      <color theme="0" tint="-0.499984740745262"/>
      <name val="Arial"/>
      <family val="2"/>
    </font>
    <font>
      <b/>
      <sz val="8"/>
      <color theme="1"/>
      <name val="Arial"/>
      <family val="2"/>
    </font>
    <font>
      <sz val="8"/>
      <color theme="1"/>
      <name val="Arial"/>
      <family val="2"/>
    </font>
    <font>
      <sz val="8"/>
      <color theme="5" tint="-0.249977111117893"/>
      <name val="Arial"/>
      <family val="2"/>
    </font>
    <font>
      <sz val="7"/>
      <color theme="1" tint="0.499984740745262"/>
      <name val="Arial"/>
      <family val="2"/>
    </font>
    <font>
      <sz val="7"/>
      <color theme="1"/>
      <name val="Calibri"/>
      <family val="2"/>
      <scheme val="minor"/>
    </font>
    <font>
      <sz val="16"/>
      <color theme="1"/>
      <name val="Calibri"/>
      <family val="2"/>
      <charset val="204"/>
      <scheme val="minor"/>
    </font>
    <font>
      <sz val="10"/>
      <name val="Arial"/>
      <family val="2"/>
    </font>
    <font>
      <sz val="6"/>
      <color theme="1"/>
      <name val="Arial"/>
      <family val="2"/>
    </font>
    <font>
      <sz val="6"/>
      <name val="Arial"/>
      <family val="2"/>
    </font>
    <font>
      <b/>
      <sz val="11"/>
      <color theme="1"/>
      <name val="Calibri"/>
      <family val="2"/>
      <scheme val="minor"/>
    </font>
    <font>
      <sz val="11"/>
      <name val="Calibri"/>
      <family val="2"/>
      <scheme val="minor"/>
    </font>
    <font>
      <b/>
      <sz val="11"/>
      <color theme="3" tint="0.39997558519241921"/>
      <name val="Calibri"/>
      <family val="2"/>
      <scheme val="minor"/>
    </font>
    <font>
      <b/>
      <sz val="11"/>
      <name val="Calibri"/>
      <family val="2"/>
      <scheme val="minor"/>
    </font>
    <font>
      <i/>
      <sz val="11"/>
      <color theme="1"/>
      <name val="Calibri"/>
      <family val="2"/>
      <scheme val="minor"/>
    </font>
    <font>
      <b/>
      <i/>
      <sz val="11"/>
      <color theme="1"/>
      <name val="Calibri"/>
      <family val="2"/>
      <scheme val="minor"/>
    </font>
    <font>
      <sz val="11"/>
      <color theme="3" tint="0.39997558519241921"/>
      <name val="Calibri"/>
      <family val="2"/>
      <scheme val="minor"/>
    </font>
    <font>
      <sz val="11"/>
      <color theme="0" tint="-4.9989318521683403E-2"/>
      <name val="Calibri"/>
      <family val="2"/>
      <scheme val="minor"/>
    </font>
    <font>
      <sz val="9"/>
      <color theme="0"/>
      <name val="Calibri"/>
      <family val="2"/>
      <scheme val="minor"/>
    </font>
    <font>
      <sz val="16"/>
      <color theme="0"/>
      <name val="Cambria"/>
      <family val="1"/>
      <scheme val="major"/>
    </font>
    <font>
      <sz val="8"/>
      <color theme="1" tint="0.249977111117893"/>
      <name val="Arial"/>
      <family val="2"/>
    </font>
    <font>
      <u/>
      <sz val="10"/>
      <color indexed="12"/>
      <name val="Arial"/>
      <family val="2"/>
    </font>
    <font>
      <sz val="6"/>
      <color theme="0" tint="-0.499984740745262"/>
      <name val="Calibri"/>
      <family val="2"/>
      <scheme val="minor"/>
    </font>
    <font>
      <sz val="7"/>
      <name val="Calibri"/>
      <family val="2"/>
      <scheme val="minor"/>
    </font>
    <font>
      <sz val="7"/>
      <color theme="1" tint="0.14999847407452621"/>
      <name val="Arial Narrow"/>
      <family val="2"/>
    </font>
    <font>
      <sz val="8"/>
      <name val="Arial"/>
      <family val="2"/>
      <charset val="204"/>
    </font>
    <font>
      <sz val="6"/>
      <color theme="1" tint="0.14999847407452621"/>
      <name val="Arial Narrow"/>
      <family val="2"/>
    </font>
    <font>
      <sz val="7"/>
      <color theme="1" tint="0.34998626667073579"/>
      <name val="Calibri"/>
      <family val="2"/>
      <scheme val="minor"/>
    </font>
    <font>
      <sz val="11"/>
      <color theme="1"/>
      <name val="Calibri"/>
      <family val="2"/>
      <charset val="204"/>
      <scheme val="minor"/>
    </font>
    <font>
      <sz val="6"/>
      <color theme="1" tint="0.499984740745262"/>
      <name val="Calibri"/>
      <family val="2"/>
      <scheme val="minor"/>
    </font>
    <font>
      <sz val="6"/>
      <color theme="1" tint="0.499984740745262"/>
      <name val="Arial"/>
      <family val="2"/>
    </font>
    <font>
      <sz val="7"/>
      <color theme="1" tint="0.499984740745262"/>
      <name val="Calibri"/>
      <family val="2"/>
      <scheme val="minor"/>
    </font>
    <font>
      <sz val="7"/>
      <color theme="1" tint="0.34998626667073579"/>
      <name val="Arial"/>
      <family val="2"/>
    </font>
    <font>
      <sz val="8"/>
      <color theme="1" tint="0.34998626667073579"/>
      <name val="Calibri"/>
      <family val="2"/>
      <scheme val="minor"/>
    </font>
    <font>
      <u/>
      <sz val="11"/>
      <color theme="10"/>
      <name val="Calibri"/>
      <family val="2"/>
      <charset val="204"/>
      <scheme val="minor"/>
    </font>
    <font>
      <b/>
      <sz val="7"/>
      <color theme="1" tint="0.34998626667073579"/>
      <name val="Calibri"/>
      <family val="2"/>
      <scheme val="minor"/>
    </font>
    <font>
      <sz val="6"/>
      <name val="Calibri"/>
      <family val="2"/>
      <scheme val="minor"/>
    </font>
    <font>
      <sz val="7"/>
      <color theme="1" tint="0.14999847407452621"/>
      <name val="Calibri"/>
      <family val="2"/>
      <scheme val="minor"/>
    </font>
    <font>
      <b/>
      <sz val="7"/>
      <name val="Calibri"/>
      <family val="2"/>
      <scheme val="minor"/>
    </font>
    <font>
      <sz val="16"/>
      <color theme="1"/>
      <name val="Calibri"/>
      <family val="2"/>
      <scheme val="minor"/>
    </font>
    <font>
      <sz val="8"/>
      <color theme="5" tint="-0.249977111117893"/>
      <name val="Calibri"/>
      <family val="2"/>
      <scheme val="minor"/>
    </font>
    <font>
      <sz val="8"/>
      <color theme="1"/>
      <name val="Calibri"/>
      <family val="2"/>
      <scheme val="minor"/>
    </font>
    <font>
      <sz val="8"/>
      <name val="Calibri"/>
      <family val="2"/>
      <scheme val="minor"/>
    </font>
    <font>
      <sz val="6"/>
      <color theme="1" tint="0.14999847407452621"/>
      <name val="Calibri"/>
      <family val="2"/>
      <scheme val="minor"/>
    </font>
    <font>
      <sz val="8"/>
      <color rgb="FFFF0000"/>
      <name val="Calibri"/>
      <family val="2"/>
      <scheme val="minor"/>
    </font>
    <font>
      <sz val="7"/>
      <color rgb="FFFF0000"/>
      <name val="Calibri"/>
      <family val="2"/>
      <scheme val="minor"/>
    </font>
    <font>
      <sz val="9"/>
      <name val="Calibri"/>
      <family val="2"/>
      <scheme val="minor"/>
    </font>
    <font>
      <sz val="6"/>
      <color theme="1"/>
      <name val="Calibri"/>
      <family val="2"/>
      <scheme val="minor"/>
    </font>
    <font>
      <sz val="8"/>
      <color theme="1" tint="0.14999847407452621"/>
      <name val="Calibri"/>
      <family val="2"/>
      <scheme val="minor"/>
    </font>
    <font>
      <sz val="8"/>
      <color theme="1"/>
      <name val="Calibri"/>
      <family val="2"/>
      <charset val="204"/>
      <scheme val="minor"/>
    </font>
    <font>
      <sz val="14"/>
      <color theme="1" tint="0.499984740745262"/>
      <name val="Calibri"/>
      <family val="2"/>
      <scheme val="minor"/>
    </font>
    <font>
      <sz val="12"/>
      <name val="Calibri"/>
      <family val="2"/>
      <scheme val="minor"/>
    </font>
    <font>
      <b/>
      <sz val="9"/>
      <name val="Calibri"/>
      <family val="2"/>
      <scheme val="minor"/>
    </font>
    <font>
      <sz val="10"/>
      <color theme="1" tint="0.499984740745262"/>
      <name val="Calibri"/>
      <family val="2"/>
      <scheme val="minor"/>
    </font>
    <font>
      <b/>
      <sz val="10"/>
      <color rgb="FFFF0000"/>
      <name val="Calibri"/>
      <family val="2"/>
      <scheme val="minor"/>
    </font>
    <font>
      <sz val="9"/>
      <color theme="1"/>
      <name val="Calibri"/>
      <family val="2"/>
      <scheme val="minor"/>
    </font>
    <font>
      <sz val="9"/>
      <color theme="1" tint="0.14999847407452621"/>
      <name val="Calibri"/>
      <family val="2"/>
      <scheme val="minor"/>
    </font>
    <font>
      <b/>
      <sz val="11"/>
      <color theme="4" tint="-0.249977111117893"/>
      <name val="Calibri"/>
      <family val="2"/>
      <scheme val="minor"/>
    </font>
    <font>
      <sz val="9"/>
      <color theme="1" tint="0.34998626667073579"/>
      <name val="Calibri"/>
      <family val="2"/>
      <scheme val="minor"/>
    </font>
    <font>
      <sz val="8"/>
      <color theme="1" tint="4.9989318521683403E-2"/>
      <name val="Calibri"/>
      <family val="2"/>
      <scheme val="minor"/>
    </font>
    <font>
      <b/>
      <sz val="9"/>
      <color theme="1" tint="0.34998626667073579"/>
      <name val="Calibri"/>
      <family val="2"/>
      <scheme val="minor"/>
    </font>
    <font>
      <sz val="9"/>
      <color theme="1" tint="0.14999847407452621"/>
      <name val="Arial Narrow"/>
      <family val="2"/>
    </font>
    <font>
      <b/>
      <vertAlign val="superscript"/>
      <sz val="9"/>
      <color theme="1"/>
      <name val="Calibri"/>
      <family val="2"/>
      <scheme val="minor"/>
    </font>
    <font>
      <vertAlign val="superscript"/>
      <sz val="8"/>
      <name val="Calibri"/>
      <family val="2"/>
      <scheme val="minor"/>
    </font>
    <font>
      <i/>
      <sz val="12"/>
      <name val="Calibri"/>
      <family val="2"/>
      <scheme val="minor"/>
    </font>
    <font>
      <i/>
      <sz val="11"/>
      <name val="Calibri"/>
      <family val="2"/>
      <scheme val="minor"/>
    </font>
    <font>
      <sz val="9"/>
      <color theme="1" tint="0.499984740745262"/>
      <name val="Calibri"/>
      <family val="2"/>
      <scheme val="minor"/>
    </font>
    <font>
      <sz val="11"/>
      <color theme="3" tint="-0.249977111117893"/>
      <name val="Calibri"/>
      <family val="2"/>
      <scheme val="minor"/>
    </font>
    <font>
      <sz val="11"/>
      <color theme="4" tint="-0.249977111117893"/>
      <name val="Calibri"/>
      <family val="2"/>
      <scheme val="minor"/>
    </font>
    <font>
      <sz val="11"/>
      <color theme="5" tint="0.39997558519241921"/>
      <name val="Calibri"/>
      <family val="2"/>
      <scheme val="minor"/>
    </font>
    <font>
      <sz val="8"/>
      <color theme="3" tint="0.39997558519241921"/>
      <name val="Calibri"/>
      <family val="2"/>
      <scheme val="minor"/>
    </font>
    <font>
      <sz val="11"/>
      <color theme="5" tint="0.39997558519241921"/>
      <name val="Calibri"/>
      <family val="2"/>
    </font>
    <font>
      <b/>
      <sz val="9"/>
      <color theme="1" tint="0.14999847407452621"/>
      <name val="Calibri"/>
      <family val="2"/>
      <scheme val="minor"/>
    </font>
    <font>
      <sz val="11"/>
      <color theme="0"/>
      <name val="Calibri"/>
      <family val="2"/>
      <scheme val="minor"/>
    </font>
    <font>
      <sz val="6"/>
      <color theme="0"/>
      <name val="Calibri"/>
      <family val="2"/>
      <scheme val="minor"/>
    </font>
    <font>
      <sz val="6"/>
      <color theme="4" tint="-0.249977111117893"/>
      <name val="Calibri"/>
      <family val="2"/>
      <scheme val="minor"/>
    </font>
    <font>
      <sz val="9"/>
      <color theme="0"/>
      <name val="Arial"/>
      <family val="2"/>
    </font>
    <font>
      <sz val="9"/>
      <color theme="1"/>
      <name val="Arial"/>
      <family val="2"/>
    </font>
    <font>
      <sz val="7"/>
      <color theme="1"/>
      <name val="Arial"/>
      <family val="2"/>
    </font>
    <font>
      <sz val="7"/>
      <color theme="0"/>
      <name val="Arial"/>
      <family val="2"/>
    </font>
    <font>
      <sz val="7"/>
      <color theme="0"/>
      <name val="Calibri"/>
      <family val="2"/>
      <scheme val="minor"/>
    </font>
    <font>
      <sz val="7"/>
      <color theme="0" tint="-0.499984740745262"/>
      <name val="Arial"/>
      <family val="2"/>
    </font>
    <font>
      <sz val="7"/>
      <color theme="0" tint="-0.499984740745262"/>
      <name val="Calibri"/>
      <family val="2"/>
      <scheme val="minor"/>
    </font>
    <font>
      <sz val="18"/>
      <color theme="5" tint="-0.249977111117893"/>
      <name val="Arial"/>
      <family val="2"/>
    </font>
    <font>
      <sz val="16"/>
      <color theme="5" tint="-0.249977111117893"/>
      <name val="Arial"/>
      <family val="2"/>
    </font>
    <font>
      <sz val="16"/>
      <color rgb="FF007E39"/>
      <name val="Arial"/>
      <family val="2"/>
    </font>
    <font>
      <sz val="18"/>
      <color theme="0"/>
      <name val="Calibri"/>
      <family val="2"/>
      <scheme val="minor"/>
    </font>
    <font>
      <sz val="18"/>
      <color theme="0"/>
      <name val="Arial"/>
      <family val="2"/>
    </font>
    <font>
      <sz val="18"/>
      <color theme="1"/>
      <name val="Calibri"/>
      <family val="2"/>
      <scheme val="minor"/>
    </font>
    <font>
      <sz val="8"/>
      <color rgb="FF963634"/>
      <name val="Arial"/>
      <family val="2"/>
    </font>
    <font>
      <sz val="8"/>
      <color rgb="FF007E39"/>
      <name val="Arial"/>
      <family val="2"/>
    </font>
    <font>
      <sz val="6"/>
      <color theme="0" tint="-0.499984740745262"/>
      <name val="Arial"/>
      <family val="2"/>
    </font>
    <font>
      <sz val="6"/>
      <color theme="1" tint="0.34998626667073579"/>
      <name val="Arial"/>
      <family val="2"/>
    </font>
    <font>
      <sz val="11"/>
      <color theme="0" tint="-0.499984740745262"/>
      <name val="Calibri"/>
      <family val="2"/>
      <scheme val="minor"/>
    </font>
    <font>
      <b/>
      <sz val="8"/>
      <color theme="1" tint="0.34998626667073579"/>
      <name val="Arial"/>
      <family val="2"/>
    </font>
    <font>
      <b/>
      <i/>
      <sz val="11"/>
      <color theme="1" tint="4.9989318521683403E-2"/>
      <name val="Calibri"/>
      <family val="2"/>
      <scheme val="minor"/>
    </font>
    <font>
      <sz val="8"/>
      <color theme="0"/>
      <name val="Calibri"/>
      <family val="2"/>
      <scheme val="minor"/>
    </font>
    <font>
      <sz val="11"/>
      <color rgb="FFFF0000"/>
      <name val="Calibri"/>
      <family val="2"/>
      <scheme val="minor"/>
    </font>
    <font>
      <b/>
      <sz val="10"/>
      <color rgb="FFC00000"/>
      <name val="Calibri"/>
      <family val="2"/>
      <scheme val="minor"/>
    </font>
    <font>
      <b/>
      <sz val="10"/>
      <color rgb="FF007E39"/>
      <name val="Calibri"/>
      <family val="2"/>
      <scheme val="minor"/>
    </font>
    <font>
      <sz val="7"/>
      <color theme="1" tint="0.14996795556505021"/>
      <name val="Calibri"/>
      <family val="2"/>
      <scheme val="minor"/>
    </font>
    <font>
      <sz val="8"/>
      <color rgb="FFFFC000"/>
      <name val="Calibri"/>
      <family val="2"/>
      <scheme val="minor"/>
    </font>
    <font>
      <b/>
      <sz val="8"/>
      <name val="Calibri"/>
      <family val="2"/>
      <scheme val="minor"/>
    </font>
    <font>
      <b/>
      <sz val="8"/>
      <color theme="1" tint="0.34998626667073579"/>
      <name val="Calibri"/>
      <family val="2"/>
      <scheme val="minor"/>
    </font>
    <font>
      <sz val="8"/>
      <color theme="1" tint="0.499984740745262"/>
      <name val="Calibri"/>
      <family val="2"/>
      <scheme val="minor"/>
    </font>
    <font>
      <b/>
      <sz val="10"/>
      <color theme="1"/>
      <name val="Calibri"/>
      <family val="2"/>
      <scheme val="minor"/>
    </font>
    <font>
      <sz val="14"/>
      <color theme="5"/>
      <name val="Calibri"/>
      <family val="2"/>
      <scheme val="minor"/>
    </font>
    <font>
      <sz val="14"/>
      <color theme="4"/>
      <name val="Calibri"/>
      <family val="2"/>
      <scheme val="minor"/>
    </font>
    <font>
      <sz val="6.5"/>
      <name val="Calibri"/>
      <family val="2"/>
      <scheme val="minor"/>
    </font>
    <font>
      <sz val="9"/>
      <color theme="1"/>
      <name val="Calibri"/>
      <family val="2"/>
      <charset val="204"/>
      <scheme val="minor"/>
    </font>
    <font>
      <sz val="9"/>
      <color theme="0"/>
      <name val="Calibri"/>
      <family val="2"/>
      <charset val="204"/>
      <scheme val="minor"/>
    </font>
    <font>
      <sz val="10"/>
      <color theme="1"/>
      <name val="Calibri"/>
      <family val="2"/>
      <charset val="204"/>
      <scheme val="minor"/>
    </font>
    <font>
      <sz val="8"/>
      <color theme="4"/>
      <name val="Calibri"/>
      <family val="2"/>
      <scheme val="minor"/>
    </font>
    <font>
      <sz val="8"/>
      <color theme="5"/>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theme="7" tint="0.39997558519241921"/>
        <bgColor indexed="64"/>
      </patternFill>
    </fill>
    <fill>
      <patternFill patternType="solid">
        <fgColor theme="8" tint="0.59999389629810485"/>
        <bgColor indexed="64"/>
      </patternFill>
    </fill>
  </fills>
  <borders count="114">
    <border>
      <left/>
      <right/>
      <top/>
      <bottom/>
      <diagonal/>
    </border>
    <border>
      <left/>
      <right/>
      <top/>
      <bottom style="thin">
        <color theme="0" tint="-4.9989318521683403E-2"/>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ck">
        <color theme="0"/>
      </right>
      <top/>
      <bottom style="thick">
        <color theme="0"/>
      </bottom>
      <diagonal/>
    </border>
    <border>
      <left/>
      <right style="thick">
        <color theme="0"/>
      </right>
      <top style="thick">
        <color theme="0"/>
      </top>
      <bottom style="thick">
        <color theme="0"/>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1"/>
      </bottom>
      <diagonal/>
    </border>
    <border>
      <left style="thin">
        <color theme="0" tint="-0.34998626667073579"/>
      </left>
      <right/>
      <top/>
      <bottom/>
      <diagonal/>
    </border>
    <border>
      <left style="thin">
        <color theme="0" tint="-0.34998626667073579"/>
      </left>
      <right/>
      <top/>
      <bottom style="thin">
        <color theme="0" tint="-4.9989318521683403E-2"/>
      </bottom>
      <diagonal/>
    </border>
    <border>
      <left style="thin">
        <color theme="0"/>
      </left>
      <right/>
      <top/>
      <bottom style="thin">
        <color theme="0"/>
      </bottom>
      <diagonal/>
    </border>
    <border>
      <left style="thin">
        <color theme="0"/>
      </left>
      <right style="thin">
        <color theme="0"/>
      </right>
      <top style="hair">
        <color auto="1"/>
      </top>
      <bottom style="dotted">
        <color theme="0" tint="-0.14996795556505021"/>
      </bottom>
      <diagonal/>
    </border>
    <border>
      <left style="thin">
        <color theme="0"/>
      </left>
      <right/>
      <top style="hair">
        <color auto="1"/>
      </top>
      <bottom style="dotted">
        <color theme="0" tint="-0.14996795556505021"/>
      </bottom>
      <diagonal/>
    </border>
    <border>
      <left/>
      <right style="thin">
        <color theme="0"/>
      </right>
      <top style="hair">
        <color auto="1"/>
      </top>
      <bottom style="dotted">
        <color theme="0" tint="-0.14996795556505021"/>
      </bottom>
      <diagonal/>
    </border>
    <border>
      <left/>
      <right/>
      <top style="hair">
        <color indexed="64"/>
      </top>
      <bottom/>
      <diagonal/>
    </border>
    <border>
      <left style="thin">
        <color theme="0"/>
      </left>
      <right/>
      <top/>
      <bottom/>
      <diagonal/>
    </border>
    <border>
      <left/>
      <right style="thin">
        <color theme="0"/>
      </right>
      <top/>
      <bottom/>
      <diagonal/>
    </border>
    <border>
      <left/>
      <right/>
      <top style="hair">
        <color indexed="64"/>
      </top>
      <bottom style="hair">
        <color indexed="64"/>
      </bottom>
      <diagonal/>
    </border>
    <border>
      <left style="thin">
        <color theme="0"/>
      </left>
      <right/>
      <top style="hair">
        <color indexed="64"/>
      </top>
      <bottom style="hair">
        <color indexed="64"/>
      </bottom>
      <diagonal/>
    </border>
    <border>
      <left/>
      <right style="thin">
        <color theme="0"/>
      </right>
      <top style="hair">
        <color indexed="64"/>
      </top>
      <bottom style="hair">
        <color indexed="64"/>
      </bottom>
      <diagonal/>
    </border>
    <border>
      <left/>
      <right/>
      <top style="thin">
        <color theme="0"/>
      </top>
      <bottom/>
      <diagonal/>
    </border>
    <border>
      <left/>
      <right/>
      <top style="dotted">
        <color theme="0" tint="-0.14996795556505021"/>
      </top>
      <bottom style="dotted">
        <color theme="0" tint="-0.14996795556505021"/>
      </bottom>
      <diagonal/>
    </border>
    <border>
      <left/>
      <right/>
      <top style="dotted">
        <color theme="0" tint="-0.14996795556505021"/>
      </top>
      <bottom style="dotted">
        <color theme="0" tint="-0.14993743705557422"/>
      </bottom>
      <diagonal/>
    </border>
    <border>
      <left/>
      <right/>
      <top style="dotted">
        <color theme="0" tint="-0.14993743705557422"/>
      </top>
      <bottom style="dotted">
        <color theme="0" tint="-0.14993743705557422"/>
      </bottom>
      <diagonal/>
    </border>
    <border>
      <left style="thin">
        <color theme="0"/>
      </left>
      <right style="thin">
        <color theme="0"/>
      </right>
      <top/>
      <bottom/>
      <diagonal/>
    </border>
    <border>
      <left style="thin">
        <color theme="0"/>
      </left>
      <right/>
      <top style="hair">
        <color auto="1"/>
      </top>
      <bottom/>
      <diagonal/>
    </border>
    <border>
      <left/>
      <right/>
      <top style="hair">
        <color theme="0" tint="-0.14993743705557422"/>
      </top>
      <bottom style="hair">
        <color theme="0" tint="-0.14993743705557422"/>
      </bottom>
      <diagonal/>
    </border>
    <border>
      <left/>
      <right/>
      <top/>
      <bottom style="hair">
        <color indexed="64"/>
      </bottom>
      <diagonal/>
    </border>
    <border>
      <left style="thin">
        <color theme="0"/>
      </left>
      <right/>
      <top/>
      <bottom style="hair">
        <color indexed="64"/>
      </bottom>
      <diagonal/>
    </border>
    <border>
      <left style="hair">
        <color indexed="64"/>
      </left>
      <right/>
      <top/>
      <bottom/>
      <diagonal/>
    </border>
    <border>
      <left/>
      <right style="hair">
        <color indexed="64"/>
      </right>
      <top/>
      <bottom/>
      <diagonal/>
    </border>
    <border>
      <left/>
      <right/>
      <top/>
      <bottom style="dotted">
        <color theme="0" tint="-0.14996795556505021"/>
      </bottom>
      <diagonal/>
    </border>
    <border>
      <left/>
      <right/>
      <top style="dotted">
        <color theme="0" tint="-0.14996795556505021"/>
      </top>
      <bottom style="hair">
        <color indexed="64"/>
      </bottom>
      <diagonal/>
    </border>
    <border>
      <left/>
      <right style="thin">
        <color theme="0"/>
      </right>
      <top/>
      <bottom style="hair">
        <color indexed="64"/>
      </bottom>
      <diagonal/>
    </border>
    <border>
      <left/>
      <right/>
      <top/>
      <bottom style="hair">
        <color theme="0" tint="-0.14993743705557422"/>
      </bottom>
      <diagonal/>
    </border>
    <border>
      <left/>
      <right/>
      <top style="hair">
        <color theme="0" tint="-0.14993743705557422"/>
      </top>
      <bottom style="hair">
        <color indexed="64"/>
      </bottom>
      <diagonal/>
    </border>
    <border>
      <left/>
      <right style="hair">
        <color indexed="64"/>
      </right>
      <top style="hair">
        <color theme="0" tint="-0.14993743705557422"/>
      </top>
      <bottom style="hair">
        <color theme="0" tint="-0.14993743705557422"/>
      </bottom>
      <diagonal/>
    </border>
    <border>
      <left style="hair">
        <color indexed="64"/>
      </left>
      <right/>
      <top/>
      <bottom style="hair">
        <color theme="0" tint="-0.14993743705557422"/>
      </bottom>
      <diagonal/>
    </border>
    <border>
      <left/>
      <right style="hair">
        <color indexed="64"/>
      </right>
      <top/>
      <bottom style="hair">
        <color theme="0" tint="-0.14993743705557422"/>
      </bottom>
      <diagonal/>
    </border>
    <border>
      <left style="hair">
        <color indexed="64"/>
      </left>
      <right/>
      <top style="hair">
        <color theme="0" tint="-0.14993743705557422"/>
      </top>
      <bottom style="hair">
        <color theme="0" tint="-0.14993743705557422"/>
      </bottom>
      <diagonal/>
    </border>
    <border>
      <left/>
      <right style="thin">
        <color theme="0"/>
      </right>
      <top/>
      <bottom style="dotted">
        <color theme="0" tint="-0.14996795556505021"/>
      </bottom>
      <diagonal/>
    </border>
    <border>
      <left/>
      <right/>
      <top style="dotted">
        <color theme="0" tint="-0.14993743705557422"/>
      </top>
      <bottom style="dotted">
        <color theme="0" tint="-0.14999847407452621"/>
      </bottom>
      <diagonal/>
    </border>
    <border>
      <left/>
      <right/>
      <top/>
      <bottom style="dotted">
        <color theme="0" tint="-0.14999847407452621"/>
      </bottom>
      <diagonal/>
    </border>
    <border>
      <left style="thin">
        <color theme="0"/>
      </left>
      <right/>
      <top/>
      <bottom style="dotted">
        <color theme="0" tint="-0.14999847407452621"/>
      </bottom>
      <diagonal/>
    </border>
    <border>
      <left style="thin">
        <color theme="0"/>
      </left>
      <right style="thin">
        <color theme="0"/>
      </right>
      <top/>
      <bottom style="dotted">
        <color theme="0" tint="-0.14999847407452621"/>
      </bottom>
      <diagonal/>
    </border>
    <border>
      <left style="thin">
        <color theme="0"/>
      </left>
      <right/>
      <top style="hair">
        <color indexed="64"/>
      </top>
      <bottom style="dotted">
        <color theme="0" tint="-0.14999847407452621"/>
      </bottom>
      <diagonal/>
    </border>
    <border>
      <left/>
      <right/>
      <top style="hair">
        <color indexed="64"/>
      </top>
      <bottom style="dotted">
        <color theme="0" tint="-0.14999847407452621"/>
      </bottom>
      <diagonal/>
    </border>
    <border>
      <left/>
      <right/>
      <top style="dotted">
        <color theme="0" tint="-0.14999847407452621"/>
      </top>
      <bottom style="dotted">
        <color theme="0" tint="-0.14999847407452621"/>
      </bottom>
      <diagonal/>
    </border>
    <border>
      <left style="thin">
        <color theme="0"/>
      </left>
      <right/>
      <top style="dotted">
        <color theme="0" tint="-0.14999847407452621"/>
      </top>
      <bottom style="dotted">
        <color theme="0" tint="-0.14999847407452621"/>
      </bottom>
      <diagonal/>
    </border>
    <border>
      <left style="thin">
        <color theme="0"/>
      </left>
      <right style="thin">
        <color theme="0"/>
      </right>
      <top style="hair">
        <color auto="1"/>
      </top>
      <bottom style="dotted">
        <color theme="0" tint="-0.14999847407452621"/>
      </bottom>
      <diagonal/>
    </border>
    <border>
      <left/>
      <right style="thin">
        <color theme="0"/>
      </right>
      <top style="hair">
        <color auto="1"/>
      </top>
      <bottom style="dotted">
        <color theme="0" tint="-0.14999847407452621"/>
      </bottom>
      <diagonal/>
    </border>
    <border>
      <left/>
      <right style="thin">
        <color theme="0"/>
      </right>
      <top style="dotted">
        <color theme="0" tint="-0.14999847407452621"/>
      </top>
      <bottom style="dotted">
        <color theme="0" tint="-0.14999847407452621"/>
      </bottom>
      <diagonal/>
    </border>
    <border>
      <left style="thin">
        <color theme="0" tint="-4.9989318521683403E-2"/>
      </left>
      <right/>
      <top/>
      <bottom style="hair">
        <color indexed="64"/>
      </bottom>
      <diagonal/>
    </border>
    <border>
      <left/>
      <right/>
      <top/>
      <bottom style="hair">
        <color theme="0" tint="-0.14999847407452621"/>
      </bottom>
      <diagonal/>
    </border>
    <border>
      <left/>
      <right/>
      <top style="hair">
        <color theme="0" tint="-0.14999847407452621"/>
      </top>
      <bottom style="hair">
        <color theme="0" tint="-0.14999847407452621"/>
      </bottom>
      <diagonal/>
    </border>
    <border>
      <left/>
      <right/>
      <top style="hair">
        <color theme="0" tint="-0.14999847407452621"/>
      </top>
      <bottom/>
      <diagonal/>
    </border>
    <border>
      <left/>
      <right/>
      <top style="hair">
        <color theme="0" tint="-0.14993743705557422"/>
      </top>
      <bottom style="hair">
        <color theme="0" tint="-0.14999847407452621"/>
      </bottom>
      <diagonal/>
    </border>
    <border>
      <left/>
      <right/>
      <top style="hair">
        <color indexed="64"/>
      </top>
      <bottom style="hair">
        <color theme="0" tint="-0.14999847407452621"/>
      </bottom>
      <diagonal/>
    </border>
    <border>
      <left/>
      <right style="hair">
        <color indexed="64"/>
      </right>
      <top/>
      <bottom style="hair">
        <color theme="0" tint="-0.14999847407452621"/>
      </bottom>
      <diagonal/>
    </border>
    <border>
      <left style="hair">
        <color indexed="64"/>
      </left>
      <right/>
      <top/>
      <bottom style="hair">
        <color theme="0" tint="-0.14999847407452621"/>
      </bottom>
      <diagonal/>
    </border>
    <border>
      <left style="hair">
        <color indexed="64"/>
      </left>
      <right/>
      <top style="hair">
        <color theme="0" tint="-0.14999847407452621"/>
      </top>
      <bottom style="hair">
        <color theme="0" tint="-0.14999847407452621"/>
      </bottom>
      <diagonal/>
    </border>
    <border>
      <left style="thin">
        <color theme="0"/>
      </left>
      <right/>
      <top style="hair">
        <color indexed="64"/>
      </top>
      <bottom style="medium">
        <color indexed="64"/>
      </bottom>
      <diagonal/>
    </border>
    <border>
      <left/>
      <right style="thin">
        <color theme="0"/>
      </right>
      <top style="hair">
        <color indexed="64"/>
      </top>
      <bottom style="medium">
        <color indexed="64"/>
      </bottom>
      <diagonal/>
    </border>
    <border>
      <left/>
      <right/>
      <top style="dotted">
        <color theme="0" tint="-0.14993743705557422"/>
      </top>
      <bottom style="dotted">
        <color theme="0" tint="-0.14996795556505021"/>
      </bottom>
      <diagonal/>
    </border>
    <border>
      <left/>
      <right/>
      <top style="dotted">
        <color theme="0" tint="-0.14993743705557422"/>
      </top>
      <bottom/>
      <diagonal/>
    </border>
    <border>
      <left/>
      <right/>
      <top/>
      <bottom style="hair">
        <color theme="0" tint="-0.249977111117893"/>
      </bottom>
      <diagonal/>
    </border>
    <border>
      <left/>
      <right/>
      <top style="dotted">
        <color theme="0" tint="-0.14993743705557422"/>
      </top>
      <bottom style="hair">
        <color indexed="64"/>
      </bottom>
      <diagonal/>
    </border>
    <border>
      <left/>
      <right/>
      <top/>
      <bottom style="thick">
        <color theme="0"/>
      </bottom>
      <diagonal/>
    </border>
    <border>
      <left style="thick">
        <color theme="0"/>
      </left>
      <right/>
      <top style="thick">
        <color theme="0"/>
      </top>
      <bottom style="thin">
        <color auto="1"/>
      </bottom>
      <diagonal/>
    </border>
    <border>
      <left/>
      <right/>
      <top style="thick">
        <color theme="0"/>
      </top>
      <bottom style="thin">
        <color auto="1"/>
      </bottom>
      <diagonal/>
    </border>
    <border>
      <left/>
      <right style="thick">
        <color theme="0"/>
      </right>
      <top/>
      <bottom style="thin">
        <color auto="1"/>
      </bottom>
      <diagonal/>
    </border>
    <border>
      <left/>
      <right style="thick">
        <color theme="0"/>
      </right>
      <top style="thick">
        <color theme="0"/>
      </top>
      <bottom style="thin">
        <color auto="1"/>
      </bottom>
      <diagonal/>
    </border>
    <border>
      <left style="thick">
        <color theme="0"/>
      </left>
      <right/>
      <top style="thin">
        <color auto="1"/>
      </top>
      <bottom style="thin">
        <color theme="0" tint="-0.24994659260841701"/>
      </bottom>
      <diagonal/>
    </border>
    <border>
      <left/>
      <right/>
      <top style="thin">
        <color auto="1"/>
      </top>
      <bottom style="thin">
        <color theme="0" tint="-0.24994659260841701"/>
      </bottom>
      <diagonal/>
    </border>
    <border>
      <left style="thick">
        <color theme="0"/>
      </left>
      <right/>
      <top style="thin">
        <color theme="0" tint="-0.24994659260841701"/>
      </top>
      <bottom/>
      <diagonal/>
    </border>
    <border>
      <left/>
      <right/>
      <top style="thin">
        <color theme="0" tint="-0.24994659260841701"/>
      </top>
      <bottom/>
      <diagonal/>
    </border>
    <border>
      <left/>
      <right/>
      <top style="thin">
        <color theme="0" tint="-0.24994659260841701"/>
      </top>
      <bottom style="thin">
        <color theme="0" tint="-4.9989318521683403E-2"/>
      </bottom>
      <diagonal/>
    </border>
    <border>
      <left style="thick">
        <color theme="0"/>
      </left>
      <right/>
      <top/>
      <bottom/>
      <diagonal/>
    </border>
    <border>
      <left/>
      <right/>
      <top style="thin">
        <color theme="0"/>
      </top>
      <bottom style="thin">
        <color theme="0" tint="-0.24994659260841701"/>
      </bottom>
      <diagonal/>
    </border>
    <border>
      <left style="thick">
        <color theme="0"/>
      </left>
      <right/>
      <top/>
      <bottom style="thin">
        <color rgb="FFBFBFBF"/>
      </bottom>
      <diagonal/>
    </border>
    <border>
      <left/>
      <right/>
      <top/>
      <bottom style="thin">
        <color rgb="FFBFBFBF"/>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right/>
      <top style="thick">
        <color theme="0"/>
      </top>
      <bottom style="thick">
        <color theme="0"/>
      </bottom>
      <diagonal/>
    </border>
    <border>
      <left/>
      <right/>
      <top style="hair">
        <color indexed="64"/>
      </top>
      <bottom style="hair">
        <color theme="0" tint="-0.14993743705557422"/>
      </bottom>
      <diagonal/>
    </border>
    <border>
      <left/>
      <right/>
      <top style="hair">
        <color theme="0" tint="-0.14996795556505021"/>
      </top>
      <bottom style="hair">
        <color theme="0" tint="-0.14996795556505021"/>
      </bottom>
      <diagonal/>
    </border>
    <border>
      <left/>
      <right/>
      <top style="hair">
        <color theme="0" tint="-0.14996795556505021"/>
      </top>
      <bottom style="hair">
        <color theme="0" tint="-0.14999847407452621"/>
      </bottom>
      <diagonal/>
    </border>
    <border>
      <left/>
      <right/>
      <top style="hair">
        <color theme="0" tint="-0.14993743705557422"/>
      </top>
      <bottom/>
      <diagonal/>
    </border>
    <border>
      <left/>
      <right/>
      <top style="hair">
        <color theme="0" tint="-0.14996795556505021"/>
      </top>
      <bottom/>
      <diagonal/>
    </border>
    <border>
      <left style="thin">
        <color theme="0"/>
      </left>
      <right/>
      <top style="dotted">
        <color theme="0" tint="-0.14993743705557422"/>
      </top>
      <bottom style="dotted">
        <color theme="0" tint="-0.14999847407452621"/>
      </bottom>
      <diagonal/>
    </border>
    <border>
      <left/>
      <right style="thin">
        <color theme="0"/>
      </right>
      <top style="dotted">
        <color theme="0" tint="-0.14993743705557422"/>
      </top>
      <bottom style="dotted">
        <color theme="0" tint="-0.14999847407452621"/>
      </bottom>
      <diagonal/>
    </border>
    <border>
      <left/>
      <right/>
      <top style="hair">
        <color theme="0" tint="-0.14999847407452621"/>
      </top>
      <bottom style="dotted">
        <color theme="0" tint="-0.14999847407452621"/>
      </bottom>
      <diagonal/>
    </border>
    <border>
      <left/>
      <right/>
      <top style="dotted">
        <color theme="0" tint="-0.14999847407452621"/>
      </top>
      <bottom style="hair">
        <color indexed="64"/>
      </bottom>
      <diagonal/>
    </border>
    <border>
      <left/>
      <right/>
      <top style="dotted">
        <color theme="0" tint="-0.14996795556505021"/>
      </top>
      <bottom style="dotted">
        <color theme="0" tint="-0.14999847407452621"/>
      </bottom>
      <diagonal/>
    </border>
    <border>
      <left style="thin">
        <color theme="0"/>
      </left>
      <right/>
      <top style="dotted">
        <color theme="0" tint="-0.14999847407452621"/>
      </top>
      <bottom style="hair">
        <color indexed="64"/>
      </bottom>
      <diagonal/>
    </border>
    <border>
      <left/>
      <right style="thin">
        <color theme="0"/>
      </right>
      <top style="dotted">
        <color theme="0" tint="-0.14999847407452621"/>
      </top>
      <bottom style="hair">
        <color indexed="64"/>
      </bottom>
      <diagonal/>
    </border>
    <border>
      <left/>
      <right/>
      <top style="thick">
        <color theme="0"/>
      </top>
      <bottom/>
      <diagonal/>
    </border>
    <border>
      <left/>
      <right/>
      <top/>
      <bottom style="hair">
        <color theme="0" tint="-0.14996795556505021"/>
      </bottom>
      <diagonal/>
    </border>
    <border>
      <left/>
      <right/>
      <top style="hair">
        <color theme="1"/>
      </top>
      <bottom style="hair">
        <color theme="0" tint="-0.14993743705557422"/>
      </bottom>
      <diagonal/>
    </border>
    <border>
      <left/>
      <right style="thin">
        <color theme="0"/>
      </right>
      <top/>
      <bottom style="hair">
        <color theme="1"/>
      </bottom>
      <diagonal/>
    </border>
    <border>
      <left/>
      <right/>
      <top/>
      <bottom style="hair">
        <color theme="1"/>
      </bottom>
      <diagonal/>
    </border>
    <border>
      <left/>
      <right style="hair">
        <color indexed="64"/>
      </right>
      <top style="hair">
        <color theme="0" tint="-0.14996795556505021"/>
      </top>
      <bottom style="hair">
        <color theme="0" tint="-0.14993743705557422"/>
      </bottom>
      <diagonal/>
    </border>
    <border>
      <left/>
      <right/>
      <top style="hair">
        <color theme="0" tint="-0.14996795556505021"/>
      </top>
      <bottom style="hair">
        <color theme="0" tint="-0.14993743705557422"/>
      </bottom>
      <diagonal/>
    </border>
    <border>
      <left/>
      <right style="hair">
        <color indexed="64"/>
      </right>
      <top style="hair">
        <color theme="0" tint="-0.14993743705557422"/>
      </top>
      <bottom style="hair">
        <color theme="0" tint="-0.14990691854609822"/>
      </bottom>
      <diagonal/>
    </border>
    <border>
      <left/>
      <right/>
      <top style="hair">
        <color theme="0" tint="-0.14993743705557422"/>
      </top>
      <bottom style="hair">
        <color theme="0" tint="-0.14990691854609822"/>
      </bottom>
      <diagonal/>
    </border>
    <border>
      <left/>
      <right style="hair">
        <color indexed="64"/>
      </right>
      <top style="hair">
        <color auto="1"/>
      </top>
      <bottom style="hair">
        <color theme="0" tint="-0.14996795556505021"/>
      </bottom>
      <diagonal/>
    </border>
    <border>
      <left/>
      <right/>
      <top style="hair">
        <color auto="1"/>
      </top>
      <bottom style="hair">
        <color theme="0" tint="-0.14996795556505021"/>
      </bottom>
      <diagonal/>
    </border>
  </borders>
  <cellStyleXfs count="26">
    <xf numFmtId="0" fontId="0" fillId="0" borderId="0"/>
    <xf numFmtId="0" fontId="9" fillId="0" borderId="0"/>
    <xf numFmtId="0" fontId="9" fillId="0" borderId="0"/>
    <xf numFmtId="0" fontId="9" fillId="0" borderId="0"/>
    <xf numFmtId="0" fontId="9" fillId="0" borderId="0"/>
    <xf numFmtId="0" fontId="8" fillId="0" borderId="0"/>
    <xf numFmtId="0" fontId="34"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0" fillId="0" borderId="0"/>
    <xf numFmtId="43" fontId="41" fillId="0" borderId="0" applyFont="0" applyFill="0" applyBorder="0" applyAlignment="0" applyProtection="0"/>
    <xf numFmtId="9" fontId="41" fillId="0" borderId="0" applyFont="0" applyFill="0" applyBorder="0" applyAlignment="0" applyProtection="0"/>
    <xf numFmtId="0" fontId="47" fillId="0" borderId="0" applyNumberFormat="0" applyFill="0" applyBorder="0" applyAlignment="0" applyProtection="0"/>
    <xf numFmtId="0" fontId="5" fillId="0" borderId="0"/>
    <xf numFmtId="0" fontId="3" fillId="0" borderId="0"/>
  </cellStyleXfs>
  <cellXfs count="661">
    <xf numFmtId="0" fontId="0" fillId="0" borderId="0" xfId="0"/>
    <xf numFmtId="0" fontId="23" fillId="0" borderId="0" xfId="0" applyFont="1"/>
    <xf numFmtId="0" fontId="14" fillId="0" borderId="0" xfId="0" applyFont="1" applyAlignment="1">
      <alignment horizontal="center"/>
    </xf>
    <xf numFmtId="0" fontId="15" fillId="3" borderId="0" xfId="0" applyFont="1" applyFill="1"/>
    <xf numFmtId="2" fontId="33" fillId="3" borderId="0" xfId="0" applyNumberFormat="1" applyFont="1" applyFill="1"/>
    <xf numFmtId="2" fontId="15" fillId="3" borderId="0" xfId="0" applyNumberFormat="1" applyFont="1" applyFill="1"/>
    <xf numFmtId="2" fontId="33" fillId="3" borderId="15" xfId="0" applyNumberFormat="1" applyFont="1" applyFill="1" applyBorder="1"/>
    <xf numFmtId="0" fontId="15" fillId="0" borderId="0" xfId="0" applyFont="1"/>
    <xf numFmtId="2" fontId="33" fillId="0" borderId="0" xfId="0" applyNumberFormat="1" applyFont="1"/>
    <xf numFmtId="2" fontId="15" fillId="0" borderId="0" xfId="0" applyNumberFormat="1" applyFont="1"/>
    <xf numFmtId="2" fontId="33" fillId="0" borderId="15" xfId="0" applyNumberFormat="1" applyFont="1" applyBorder="1"/>
    <xf numFmtId="0" fontId="15" fillId="0" borderId="1" xfId="0" applyFont="1" applyBorder="1"/>
    <xf numFmtId="2" fontId="33" fillId="0" borderId="1" xfId="0" applyNumberFormat="1" applyFont="1" applyBorder="1"/>
    <xf numFmtId="2" fontId="15" fillId="0" borderId="1" xfId="0" applyNumberFormat="1" applyFont="1" applyBorder="1"/>
    <xf numFmtId="2" fontId="33" fillId="0" borderId="16" xfId="0" applyNumberFormat="1" applyFont="1" applyBorder="1"/>
    <xf numFmtId="0" fontId="32" fillId="0" borderId="0" xfId="0" applyFont="1" applyAlignment="1">
      <alignment horizontal="left" vertical="center" indent="1"/>
    </xf>
    <xf numFmtId="164" fontId="16" fillId="0" borderId="0" xfId="1" applyNumberFormat="1" applyFont="1" applyAlignment="1">
      <alignment vertical="center"/>
    </xf>
    <xf numFmtId="164" fontId="12" fillId="0" borderId="0" xfId="1" applyNumberFormat="1" applyFont="1" applyAlignment="1">
      <alignment vertical="center"/>
    </xf>
    <xf numFmtId="0" fontId="36" fillId="2" borderId="18" xfId="1" applyFont="1" applyFill="1" applyBorder="1" applyAlignment="1">
      <alignment vertical="center" wrapText="1"/>
    </xf>
    <xf numFmtId="164" fontId="40" fillId="0" borderId="0" xfId="0" applyNumberFormat="1" applyFont="1" applyAlignment="1">
      <alignment vertical="center" wrapText="1"/>
    </xf>
    <xf numFmtId="164" fontId="46" fillId="0" borderId="0" xfId="0" applyNumberFormat="1" applyFont="1" applyAlignment="1">
      <alignment vertical="center"/>
    </xf>
    <xf numFmtId="164" fontId="40" fillId="0" borderId="0" xfId="0" applyNumberFormat="1" applyFont="1" applyAlignment="1">
      <alignment horizontal="center" vertical="center" wrapText="1"/>
    </xf>
    <xf numFmtId="164" fontId="45" fillId="0" borderId="0" xfId="0" applyNumberFormat="1" applyFont="1" applyAlignment="1">
      <alignment horizontal="center" vertical="center"/>
    </xf>
    <xf numFmtId="0" fontId="22" fillId="0" borderId="0" xfId="0" applyFont="1" applyAlignment="1">
      <alignment vertical="center"/>
    </xf>
    <xf numFmtId="164" fontId="45" fillId="0" borderId="0" xfId="0" applyNumberFormat="1" applyFont="1" applyAlignment="1">
      <alignment vertical="center"/>
    </xf>
    <xf numFmtId="0" fontId="39" fillId="0" borderId="0" xfId="0" applyFont="1" applyAlignment="1">
      <alignment vertical="center"/>
    </xf>
    <xf numFmtId="164" fontId="12" fillId="0" borderId="0" xfId="0" applyNumberFormat="1" applyFont="1" applyAlignment="1">
      <alignment vertical="center"/>
    </xf>
    <xf numFmtId="0" fontId="13" fillId="0" borderId="0" xfId="1" applyFont="1" applyAlignment="1">
      <alignment vertical="center"/>
    </xf>
    <xf numFmtId="0" fontId="10" fillId="0" borderId="0" xfId="1" applyFont="1" applyAlignment="1">
      <alignment vertical="top"/>
    </xf>
    <xf numFmtId="0" fontId="37" fillId="0" borderId="0" xfId="1" applyFont="1" applyAlignment="1">
      <alignment horizontal="left" vertical="center"/>
    </xf>
    <xf numFmtId="0" fontId="44" fillId="0" borderId="0" xfId="1" applyFont="1" applyAlignment="1">
      <alignment vertical="center"/>
    </xf>
    <xf numFmtId="0" fontId="37" fillId="0" borderId="0" xfId="1" applyFont="1" applyAlignment="1">
      <alignment horizontal="center"/>
    </xf>
    <xf numFmtId="0" fontId="38"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center" vertical="top"/>
    </xf>
    <xf numFmtId="0" fontId="22" fillId="2" borderId="0" xfId="0" applyFont="1" applyFill="1" applyAlignment="1">
      <alignment vertical="center"/>
    </xf>
    <xf numFmtId="0" fontId="43" fillId="0" borderId="0" xfId="1" applyFont="1" applyAlignment="1">
      <alignment vertical="top" wrapText="1"/>
    </xf>
    <xf numFmtId="0" fontId="43" fillId="0" borderId="0" xfId="1" applyFont="1" applyAlignment="1">
      <alignment horizontal="center" vertical="top" wrapText="1"/>
    </xf>
    <xf numFmtId="9" fontId="17" fillId="0" borderId="0" xfId="1" applyNumberFormat="1" applyFont="1" applyAlignment="1">
      <alignment horizontal="center" vertical="center"/>
    </xf>
    <xf numFmtId="164" fontId="40" fillId="0" borderId="0" xfId="0" applyNumberFormat="1" applyFont="1" applyAlignment="1">
      <alignment horizontal="center" vertical="center"/>
    </xf>
    <xf numFmtId="164" fontId="40" fillId="0" borderId="0" xfId="0" applyNumberFormat="1" applyFont="1" applyAlignment="1">
      <alignment vertical="center"/>
    </xf>
    <xf numFmtId="0" fontId="6" fillId="0" borderId="0" xfId="0" applyFont="1"/>
    <xf numFmtId="0" fontId="53" fillId="2" borderId="3" xfId="1" applyFont="1" applyFill="1" applyBorder="1" applyAlignment="1">
      <alignment vertical="center"/>
    </xf>
    <xf numFmtId="0" fontId="6" fillId="0" borderId="3" xfId="0" applyFont="1" applyBorder="1"/>
    <xf numFmtId="0" fontId="6" fillId="0" borderId="17" xfId="0" applyFont="1" applyBorder="1"/>
    <xf numFmtId="0" fontId="6" fillId="0" borderId="2" xfId="0" applyFont="1" applyBorder="1"/>
    <xf numFmtId="0" fontId="56" fillId="2" borderId="19" xfId="0" applyFont="1" applyFill="1" applyBorder="1" applyAlignment="1">
      <alignment horizontal="center" vertical="center" wrapText="1"/>
    </xf>
    <xf numFmtId="164" fontId="46" fillId="0" borderId="0" xfId="1" applyNumberFormat="1" applyFont="1" applyAlignment="1">
      <alignment vertical="center"/>
    </xf>
    <xf numFmtId="0" fontId="56" fillId="2" borderId="31" xfId="0" applyFont="1" applyFill="1" applyBorder="1" applyAlignment="1">
      <alignment vertical="center" wrapText="1"/>
    </xf>
    <xf numFmtId="164" fontId="46" fillId="3" borderId="28" xfId="0" applyNumberFormat="1" applyFont="1" applyFill="1" applyBorder="1" applyAlignment="1">
      <alignment vertical="center" wrapText="1"/>
    </xf>
    <xf numFmtId="164" fontId="46" fillId="2" borderId="28" xfId="0" applyNumberFormat="1" applyFont="1" applyFill="1" applyBorder="1" applyAlignment="1">
      <alignment vertical="center" wrapText="1"/>
    </xf>
    <xf numFmtId="0" fontId="55" fillId="2" borderId="3" xfId="1" applyFont="1" applyFill="1" applyBorder="1" applyAlignment="1">
      <alignment vertical="top" wrapText="1"/>
    </xf>
    <xf numFmtId="164" fontId="53" fillId="0" borderId="0" xfId="1" applyNumberFormat="1" applyFont="1" applyAlignment="1">
      <alignment vertical="center"/>
    </xf>
    <xf numFmtId="0" fontId="50" fillId="0" borderId="0" xfId="1" applyFont="1" applyAlignment="1">
      <alignment wrapText="1"/>
    </xf>
    <xf numFmtId="0" fontId="49" fillId="0" borderId="0" xfId="0" applyFont="1" applyAlignment="1">
      <alignment vertical="center" wrapText="1"/>
    </xf>
    <xf numFmtId="0" fontId="56" fillId="0" borderId="0" xfId="0" applyFont="1" applyAlignment="1">
      <alignment vertical="center" wrapText="1"/>
    </xf>
    <xf numFmtId="164" fontId="46" fillId="0" borderId="0" xfId="0" applyNumberFormat="1" applyFont="1" applyAlignment="1">
      <alignment vertical="center" wrapText="1"/>
    </xf>
    <xf numFmtId="0" fontId="55" fillId="0" borderId="0" xfId="1" applyFont="1" applyAlignment="1">
      <alignment vertical="top" wrapText="1"/>
    </xf>
    <xf numFmtId="0" fontId="50" fillId="0" borderId="0" xfId="1" applyFont="1" applyAlignment="1">
      <alignment horizontal="left" vertical="center" wrapText="1"/>
    </xf>
    <xf numFmtId="0" fontId="50" fillId="0" borderId="0" xfId="1" applyFont="1" applyAlignment="1">
      <alignment horizontal="center" wrapText="1"/>
    </xf>
    <xf numFmtId="0" fontId="55" fillId="0" borderId="0" xfId="0" applyFont="1" applyAlignment="1">
      <alignment vertical="top" wrapText="1"/>
    </xf>
    <xf numFmtId="0" fontId="56" fillId="0" borderId="0" xfId="0" applyFont="1" applyAlignment="1">
      <alignment horizontal="center" vertical="center" wrapText="1"/>
    </xf>
    <xf numFmtId="0" fontId="56" fillId="0" borderId="0" xfId="0" applyFont="1" applyAlignment="1">
      <alignment horizontal="center" vertical="top" wrapText="1"/>
    </xf>
    <xf numFmtId="0" fontId="42" fillId="0" borderId="0" xfId="1" applyFont="1" applyAlignment="1">
      <alignment horizontal="left" vertical="top" wrapText="1"/>
    </xf>
    <xf numFmtId="0" fontId="44" fillId="0" borderId="0" xfId="1" applyFont="1" applyAlignment="1">
      <alignment horizontal="center" vertical="top" wrapText="1"/>
    </xf>
    <xf numFmtId="0" fontId="55" fillId="0" borderId="0" xfId="0" applyFont="1" applyAlignment="1">
      <alignment vertical="center" wrapText="1"/>
    </xf>
    <xf numFmtId="0" fontId="51" fillId="0" borderId="0" xfId="0" applyFont="1" applyAlignment="1">
      <alignment vertical="center" wrapText="1"/>
    </xf>
    <xf numFmtId="164" fontId="48" fillId="0" borderId="0" xfId="0" applyNumberFormat="1" applyFont="1" applyAlignment="1">
      <alignment horizontal="center" vertical="center" wrapText="1"/>
    </xf>
    <xf numFmtId="0" fontId="50" fillId="2" borderId="22" xfId="1" applyFont="1" applyFill="1" applyBorder="1" applyAlignment="1">
      <alignment wrapText="1"/>
    </xf>
    <xf numFmtId="0" fontId="50" fillId="2" borderId="0" xfId="1" applyFont="1" applyFill="1" applyAlignment="1">
      <alignment wrapText="1"/>
    </xf>
    <xf numFmtId="164" fontId="40" fillId="0" borderId="0" xfId="0" applyNumberFormat="1" applyFont="1" applyAlignment="1">
      <alignment horizontal="left" vertical="center"/>
    </xf>
    <xf numFmtId="0" fontId="49" fillId="0" borderId="0" xfId="0" applyFont="1" applyAlignment="1">
      <alignment vertical="center"/>
    </xf>
    <xf numFmtId="0" fontId="51" fillId="0" borderId="0" xfId="0" applyFont="1" applyAlignment="1">
      <alignment vertical="center"/>
    </xf>
    <xf numFmtId="164" fontId="48" fillId="0" borderId="0" xfId="0" applyNumberFormat="1" applyFont="1" applyAlignment="1">
      <alignment horizontal="center" vertical="center"/>
    </xf>
    <xf numFmtId="0" fontId="56" fillId="0" borderId="0" xfId="0" applyFont="1" applyAlignment="1">
      <alignment vertical="center"/>
    </xf>
    <xf numFmtId="0" fontId="55" fillId="0" borderId="0" xfId="1" applyFont="1" applyAlignment="1">
      <alignment vertical="top"/>
    </xf>
    <xf numFmtId="0" fontId="50" fillId="0" borderId="0" xfId="1" applyFont="1" applyAlignment="1">
      <alignment horizontal="left" vertical="center"/>
    </xf>
    <xf numFmtId="0" fontId="50" fillId="0" borderId="0" xfId="1" applyFont="1" applyAlignment="1">
      <alignment horizontal="center"/>
    </xf>
    <xf numFmtId="0" fontId="55" fillId="0" borderId="0" xfId="0" applyFont="1" applyAlignment="1">
      <alignment vertical="top"/>
    </xf>
    <xf numFmtId="0" fontId="56" fillId="0" borderId="0" xfId="0" applyFont="1" applyAlignment="1">
      <alignment horizontal="center" vertical="center"/>
    </xf>
    <xf numFmtId="0" fontId="56" fillId="0" borderId="0" xfId="0" applyFont="1" applyAlignment="1">
      <alignment horizontal="center" vertical="top"/>
    </xf>
    <xf numFmtId="0" fontId="49" fillId="2" borderId="0" xfId="0" applyFont="1" applyFill="1" applyAlignment="1">
      <alignment horizontal="left" vertical="top"/>
    </xf>
    <xf numFmtId="0" fontId="49" fillId="0" borderId="0" xfId="0" applyFont="1" applyAlignment="1">
      <alignment horizontal="center" vertical="center" wrapText="1"/>
    </xf>
    <xf numFmtId="2" fontId="40" fillId="0" borderId="0" xfId="0" applyNumberFormat="1" applyFont="1" applyAlignment="1">
      <alignment vertical="center" wrapText="1"/>
    </xf>
    <xf numFmtId="0" fontId="60" fillId="0" borderId="0" xfId="0" applyFont="1" applyAlignment="1">
      <alignment vertical="center"/>
    </xf>
    <xf numFmtId="0" fontId="36" fillId="2" borderId="34" xfId="0" applyFont="1" applyFill="1" applyBorder="1" applyAlignment="1">
      <alignment vertical="top" wrapText="1"/>
    </xf>
    <xf numFmtId="164" fontId="46" fillId="3" borderId="24" xfId="0" applyNumberFormat="1" applyFont="1" applyFill="1" applyBorder="1" applyAlignment="1">
      <alignment vertical="center" wrapText="1"/>
    </xf>
    <xf numFmtId="164" fontId="46" fillId="2" borderId="39" xfId="0" applyNumberFormat="1" applyFont="1" applyFill="1" applyBorder="1" applyAlignment="1">
      <alignment vertical="center" wrapText="1"/>
    </xf>
    <xf numFmtId="166" fontId="57" fillId="3" borderId="41" xfId="0" applyNumberFormat="1" applyFont="1" applyFill="1" applyBorder="1" applyAlignment="1">
      <alignment vertical="center" wrapText="1"/>
    </xf>
    <xf numFmtId="166" fontId="57" fillId="0" borderId="43" xfId="0" applyNumberFormat="1" applyFont="1" applyBorder="1" applyAlignment="1">
      <alignment vertical="center" wrapText="1"/>
    </xf>
    <xf numFmtId="0" fontId="36" fillId="2" borderId="41" xfId="0" applyFont="1" applyFill="1" applyBorder="1" applyAlignment="1">
      <alignment horizontal="center" vertical="center" wrapText="1"/>
    </xf>
    <xf numFmtId="1" fontId="46" fillId="0" borderId="0" xfId="0" applyNumberFormat="1" applyFont="1" applyAlignment="1">
      <alignment horizontal="center" vertical="center" wrapText="1"/>
    </xf>
    <xf numFmtId="2" fontId="54" fillId="0" borderId="0" xfId="0" applyNumberFormat="1" applyFont="1" applyAlignment="1">
      <alignment vertical="center" wrapText="1"/>
    </xf>
    <xf numFmtId="2" fontId="18" fillId="0" borderId="0" xfId="0" applyNumberFormat="1" applyFont="1" applyAlignment="1">
      <alignment vertical="center" wrapText="1"/>
    </xf>
    <xf numFmtId="164" fontId="46" fillId="3" borderId="28" xfId="0" applyNumberFormat="1" applyFont="1" applyFill="1" applyBorder="1" applyAlignment="1">
      <alignment horizontal="center" vertical="center" wrapText="1"/>
    </xf>
    <xf numFmtId="0" fontId="44" fillId="2" borderId="0" xfId="1" applyFont="1" applyFill="1" applyAlignment="1">
      <alignment horizontal="center" vertical="top" wrapText="1"/>
    </xf>
    <xf numFmtId="0" fontId="44" fillId="2" borderId="0" xfId="1" applyFont="1" applyFill="1" applyAlignment="1">
      <alignment vertical="top" wrapText="1"/>
    </xf>
    <xf numFmtId="0" fontId="19" fillId="0" borderId="0" xfId="0" applyFont="1" applyAlignment="1">
      <alignment horizontal="left" vertical="center"/>
    </xf>
    <xf numFmtId="0" fontId="52" fillId="0" borderId="0" xfId="0" applyFont="1" applyAlignment="1">
      <alignment horizontal="left" vertical="center"/>
    </xf>
    <xf numFmtId="0" fontId="42" fillId="2" borderId="0" xfId="1" applyFont="1" applyFill="1" applyAlignment="1">
      <alignment horizontal="left" vertical="top" wrapText="1"/>
    </xf>
    <xf numFmtId="2" fontId="54" fillId="0" borderId="3" xfId="1" applyNumberFormat="1" applyFont="1" applyBorder="1" applyAlignment="1">
      <alignment vertical="center" wrapText="1"/>
    </xf>
    <xf numFmtId="0" fontId="6" fillId="0" borderId="34" xfId="0" applyFont="1" applyBorder="1"/>
    <xf numFmtId="0" fontId="44" fillId="2" borderId="22" xfId="1" applyFont="1" applyFill="1" applyBorder="1" applyAlignment="1">
      <alignment vertical="top" wrapText="1"/>
    </xf>
    <xf numFmtId="0" fontId="44" fillId="2" borderId="34" xfId="1" applyFont="1" applyFill="1" applyBorder="1" applyAlignment="1">
      <alignment vertical="top" wrapText="1"/>
    </xf>
    <xf numFmtId="0" fontId="56" fillId="2" borderId="17" xfId="0" applyFont="1" applyFill="1" applyBorder="1" applyAlignment="1">
      <alignment vertical="center" wrapText="1"/>
    </xf>
    <xf numFmtId="0" fontId="55" fillId="0" borderId="51" xfId="0" applyFont="1" applyBorder="1" applyAlignment="1">
      <alignment vertical="top" wrapText="1"/>
    </xf>
    <xf numFmtId="0" fontId="6" fillId="0" borderId="49" xfId="0" applyFont="1" applyBorder="1"/>
    <xf numFmtId="0" fontId="50" fillId="2" borderId="51" xfId="0" applyFont="1" applyFill="1" applyBorder="1" applyAlignment="1">
      <alignment horizontal="center" vertical="top" wrapText="1"/>
    </xf>
    <xf numFmtId="0" fontId="6" fillId="0" borderId="53" xfId="0" applyFont="1" applyBorder="1"/>
    <xf numFmtId="0" fontId="36" fillId="2" borderId="56" xfId="1" applyFont="1" applyFill="1" applyBorder="1" applyAlignment="1">
      <alignment vertical="center" wrapText="1"/>
    </xf>
    <xf numFmtId="0" fontId="49" fillId="2" borderId="0" xfId="0" applyFont="1" applyFill="1" applyAlignment="1">
      <alignment vertical="top"/>
    </xf>
    <xf numFmtId="164" fontId="48" fillId="0" borderId="0" xfId="0" applyNumberFormat="1" applyFont="1" applyAlignment="1">
      <alignment vertical="center"/>
    </xf>
    <xf numFmtId="0" fontId="47" fillId="0" borderId="0" xfId="23" applyFill="1" applyBorder="1" applyAlignment="1">
      <alignment horizontal="left" vertical="center"/>
    </xf>
    <xf numFmtId="0" fontId="64" fillId="0" borderId="0" xfId="1" applyFont="1" applyAlignment="1">
      <alignment horizontal="center" vertical="center"/>
    </xf>
    <xf numFmtId="0" fontId="54" fillId="0" borderId="0" xfId="0" applyFont="1"/>
    <xf numFmtId="166" fontId="55" fillId="3" borderId="41" xfId="0" applyNumberFormat="1" applyFont="1" applyFill="1" applyBorder="1" applyAlignment="1">
      <alignment vertical="center" wrapText="1"/>
    </xf>
    <xf numFmtId="166" fontId="55" fillId="0" borderId="33" xfId="0" applyNumberFormat="1" applyFont="1" applyBorder="1" applyAlignment="1">
      <alignment vertical="center" wrapText="1"/>
    </xf>
    <xf numFmtId="0" fontId="36" fillId="2" borderId="0" xfId="1" applyFont="1" applyFill="1" applyAlignment="1">
      <alignment horizontal="left" vertical="top" wrapText="1"/>
    </xf>
    <xf numFmtId="0" fontId="55" fillId="2" borderId="0" xfId="1" applyFont="1" applyFill="1" applyAlignment="1">
      <alignment horizontal="left" vertical="top" wrapText="1"/>
    </xf>
    <xf numFmtId="0" fontId="55" fillId="2" borderId="37" xfId="1" applyFont="1" applyFill="1" applyBorder="1" applyAlignment="1">
      <alignment horizontal="left" vertical="top" wrapText="1"/>
    </xf>
    <xf numFmtId="2" fontId="55" fillId="0" borderId="33" xfId="0" applyNumberFormat="1" applyFont="1" applyBorder="1" applyAlignment="1">
      <alignment vertical="center" wrapText="1"/>
    </xf>
    <xf numFmtId="0" fontId="36" fillId="2" borderId="22" xfId="1" applyFont="1" applyFill="1" applyBorder="1" applyAlignment="1">
      <alignment vertical="top" wrapText="1"/>
    </xf>
    <xf numFmtId="0" fontId="36" fillId="2" borderId="0" xfId="1" applyFont="1" applyFill="1" applyAlignment="1">
      <alignment vertical="top" wrapText="1"/>
    </xf>
    <xf numFmtId="3" fontId="18" fillId="0" borderId="0" xfId="1" applyNumberFormat="1" applyFont="1" applyAlignment="1">
      <alignment horizontal="left" vertical="top" wrapText="1"/>
    </xf>
    <xf numFmtId="1" fontId="18" fillId="0" borderId="0" xfId="1" applyNumberFormat="1" applyFont="1" applyAlignment="1">
      <alignment horizontal="right" vertical="top" wrapText="1"/>
    </xf>
    <xf numFmtId="0" fontId="68" fillId="0" borderId="0" xfId="0" applyFont="1"/>
    <xf numFmtId="0" fontId="69" fillId="2" borderId="27" xfId="1" applyFont="1" applyFill="1" applyBorder="1"/>
    <xf numFmtId="0" fontId="68" fillId="0" borderId="23" xfId="0" applyFont="1" applyBorder="1"/>
    <xf numFmtId="0" fontId="59" fillId="2" borderId="34" xfId="0" applyFont="1" applyFill="1" applyBorder="1" applyAlignment="1">
      <alignment vertical="center" wrapText="1"/>
    </xf>
    <xf numFmtId="164" fontId="71" fillId="2" borderId="40" xfId="0" applyNumberFormat="1" applyFont="1" applyFill="1" applyBorder="1" applyAlignment="1">
      <alignment vertical="center" wrapText="1"/>
    </xf>
    <xf numFmtId="0" fontId="69" fillId="2" borderId="35" xfId="0" applyFont="1" applyFill="1" applyBorder="1" applyAlignment="1">
      <alignment vertical="center" wrapText="1"/>
    </xf>
    <xf numFmtId="0" fontId="68" fillId="0" borderId="34" xfId="0" applyFont="1" applyBorder="1"/>
    <xf numFmtId="0" fontId="6" fillId="0" borderId="35" xfId="0" applyFont="1" applyBorder="1"/>
    <xf numFmtId="164" fontId="59" fillId="2" borderId="39" xfId="0" applyNumberFormat="1" applyFont="1" applyFill="1" applyBorder="1" applyAlignment="1">
      <alignment horizontal="center" vertical="center" wrapText="1"/>
    </xf>
    <xf numFmtId="164" fontId="71" fillId="3" borderId="28" xfId="0" applyNumberFormat="1" applyFont="1" applyFill="1" applyBorder="1" applyAlignment="1">
      <alignment vertical="center" wrapText="1"/>
    </xf>
    <xf numFmtId="164" fontId="71" fillId="2" borderId="49" xfId="0" applyNumberFormat="1" applyFont="1" applyFill="1" applyBorder="1" applyAlignment="1">
      <alignment vertical="center" wrapText="1"/>
    </xf>
    <xf numFmtId="164" fontId="71" fillId="2" borderId="28" xfId="0" applyNumberFormat="1" applyFont="1" applyFill="1" applyBorder="1" applyAlignment="1">
      <alignment vertical="center" wrapText="1"/>
    </xf>
    <xf numFmtId="164" fontId="71" fillId="3" borderId="54" xfId="0" applyNumberFormat="1" applyFont="1" applyFill="1" applyBorder="1" applyAlignment="1">
      <alignment vertical="center" wrapText="1"/>
    </xf>
    <xf numFmtId="164" fontId="71" fillId="2" borderId="54" xfId="0" applyNumberFormat="1" applyFont="1" applyFill="1" applyBorder="1" applyAlignment="1">
      <alignment vertical="center" wrapText="1"/>
    </xf>
    <xf numFmtId="164" fontId="71" fillId="2" borderId="34" xfId="0" applyNumberFormat="1" applyFont="1" applyFill="1" applyBorder="1" applyAlignment="1">
      <alignment vertical="center" wrapText="1"/>
    </xf>
    <xf numFmtId="164" fontId="71" fillId="2" borderId="39" xfId="0" applyNumberFormat="1" applyFont="1" applyFill="1" applyBorder="1" applyAlignment="1">
      <alignment vertical="center" wrapText="1"/>
    </xf>
    <xf numFmtId="164" fontId="71" fillId="3" borderId="24" xfId="0" applyNumberFormat="1" applyFont="1" applyFill="1" applyBorder="1" applyAlignment="1">
      <alignment vertical="center" wrapText="1"/>
    </xf>
    <xf numFmtId="164" fontId="71" fillId="0" borderId="0" xfId="0" applyNumberFormat="1" applyFont="1" applyAlignment="1">
      <alignment horizontal="center" vertical="center" wrapText="1"/>
    </xf>
    <xf numFmtId="0" fontId="61" fillId="2" borderId="56" xfId="0" applyFont="1" applyFill="1" applyBorder="1" applyAlignment="1">
      <alignment vertical="center" wrapText="1"/>
    </xf>
    <xf numFmtId="0" fontId="61" fillId="2" borderId="31" xfId="0" applyFont="1" applyFill="1" applyBorder="1" applyAlignment="1">
      <alignment vertical="center" wrapText="1"/>
    </xf>
    <xf numFmtId="0" fontId="55" fillId="0" borderId="18" xfId="0" applyFont="1" applyBorder="1" applyAlignment="1">
      <alignment vertical="top" wrapText="1"/>
    </xf>
    <xf numFmtId="2" fontId="72" fillId="0" borderId="52" xfId="1" applyNumberFormat="1" applyFont="1" applyBorder="1" applyAlignment="1">
      <alignment vertical="center" wrapText="1"/>
    </xf>
    <xf numFmtId="1" fontId="55" fillId="0" borderId="0" xfId="0" applyNumberFormat="1" applyFont="1" applyAlignment="1">
      <alignment horizontal="right" vertical="center"/>
    </xf>
    <xf numFmtId="0" fontId="59" fillId="2" borderId="0" xfId="0" applyFont="1" applyFill="1" applyAlignment="1">
      <alignment horizontal="left" wrapText="1"/>
    </xf>
    <xf numFmtId="2" fontId="59" fillId="2" borderId="0" xfId="22" applyNumberFormat="1" applyFont="1" applyFill="1" applyBorder="1" applyAlignment="1">
      <alignment horizontal="right"/>
    </xf>
    <xf numFmtId="0" fontId="59" fillId="2" borderId="0" xfId="1" applyFont="1" applyFill="1" applyAlignment="1">
      <alignment horizontal="left" vertical="top" wrapText="1"/>
    </xf>
    <xf numFmtId="0" fontId="55" fillId="2" borderId="60" xfId="1" applyFont="1" applyFill="1" applyBorder="1" applyAlignment="1">
      <alignment horizontal="left" vertical="top" wrapText="1"/>
    </xf>
    <xf numFmtId="0" fontId="55" fillId="2" borderId="65" xfId="1" applyFont="1" applyFill="1" applyBorder="1" applyAlignment="1">
      <alignment horizontal="left" vertical="top" wrapText="1"/>
    </xf>
    <xf numFmtId="0" fontId="55" fillId="2" borderId="60" xfId="1" applyFont="1" applyFill="1" applyBorder="1" applyAlignment="1">
      <alignment horizontal="left" vertical="top"/>
    </xf>
    <xf numFmtId="0" fontId="55" fillId="2" borderId="0" xfId="1" applyFont="1" applyFill="1" applyAlignment="1">
      <alignment horizontal="left" vertical="top"/>
    </xf>
    <xf numFmtId="0" fontId="59" fillId="2" borderId="37" xfId="1" applyFont="1" applyFill="1" applyBorder="1" applyAlignment="1">
      <alignment horizontal="left" vertical="top" wrapText="1"/>
    </xf>
    <xf numFmtId="2" fontId="59" fillId="0" borderId="33" xfId="0" applyNumberFormat="1" applyFont="1" applyBorder="1" applyAlignment="1">
      <alignment vertical="center" wrapText="1"/>
    </xf>
    <xf numFmtId="2" fontId="59" fillId="0" borderId="43" xfId="0" applyNumberFormat="1" applyFont="1" applyBorder="1" applyAlignment="1">
      <alignment vertical="center" wrapText="1"/>
    </xf>
    <xf numFmtId="0" fontId="59" fillId="2" borderId="62" xfId="0" applyFont="1" applyFill="1" applyBorder="1" applyAlignment="1">
      <alignment horizontal="left" wrapText="1"/>
    </xf>
    <xf numFmtId="0" fontId="6" fillId="0" borderId="62" xfId="0" applyFont="1" applyBorder="1"/>
    <xf numFmtId="0" fontId="6" fillId="0" borderId="40" xfId="0" applyFont="1" applyBorder="1"/>
    <xf numFmtId="2" fontId="54" fillId="0" borderId="34" xfId="0" applyNumberFormat="1" applyFont="1" applyBorder="1" applyAlignment="1">
      <alignment vertical="center" wrapText="1"/>
    </xf>
    <xf numFmtId="2" fontId="40" fillId="0" borderId="34" xfId="0" applyNumberFormat="1" applyFont="1" applyBorder="1" applyAlignment="1">
      <alignment vertical="center" wrapText="1"/>
    </xf>
    <xf numFmtId="164" fontId="46" fillId="3" borderId="38" xfId="0" applyNumberFormat="1" applyFont="1" applyFill="1" applyBorder="1" applyAlignment="1">
      <alignment horizontal="center" vertical="center" wrapText="1"/>
    </xf>
    <xf numFmtId="0" fontId="70" fillId="2" borderId="0" xfId="1" applyFont="1" applyFill="1" applyAlignment="1">
      <alignment vertical="center" wrapText="1"/>
    </xf>
    <xf numFmtId="164" fontId="59" fillId="0" borderId="0" xfId="0" applyNumberFormat="1" applyFont="1" applyAlignment="1">
      <alignment horizontal="center" vertical="center" wrapText="1"/>
    </xf>
    <xf numFmtId="0" fontId="6" fillId="0" borderId="24" xfId="0" applyFont="1" applyBorder="1"/>
    <xf numFmtId="0" fontId="6" fillId="0" borderId="26" xfId="0" applyFont="1" applyBorder="1"/>
    <xf numFmtId="0" fontId="6" fillId="0" borderId="25" xfId="0" applyFont="1" applyBorder="1"/>
    <xf numFmtId="0" fontId="61" fillId="0" borderId="0" xfId="0" applyFont="1" applyAlignment="1">
      <alignment vertical="center" wrapText="1"/>
    </xf>
    <xf numFmtId="0" fontId="36" fillId="0" borderId="0" xfId="1" applyFont="1" applyAlignment="1">
      <alignment horizontal="left" vertical="top" wrapText="1"/>
    </xf>
    <xf numFmtId="0" fontId="61" fillId="2" borderId="23" xfId="0" applyFont="1" applyFill="1" applyBorder="1" applyAlignment="1">
      <alignment horizontal="center" vertical="center" wrapText="1"/>
    </xf>
    <xf numFmtId="0" fontId="61" fillId="2" borderId="0" xfId="1" applyFont="1" applyFill="1" applyAlignment="1">
      <alignment wrapText="1"/>
    </xf>
    <xf numFmtId="0" fontId="61" fillId="2" borderId="40" xfId="0" applyFont="1" applyFill="1" applyBorder="1" applyAlignment="1">
      <alignment vertical="center"/>
    </xf>
    <xf numFmtId="164" fontId="67" fillId="0" borderId="21" xfId="0" applyNumberFormat="1" applyFont="1" applyBorder="1" applyAlignment="1">
      <alignment vertical="center"/>
    </xf>
    <xf numFmtId="0" fontId="64" fillId="0" borderId="62" xfId="1" applyFont="1" applyBorder="1"/>
    <xf numFmtId="2" fontId="64" fillId="0" borderId="0" xfId="21" applyNumberFormat="1" applyFont="1" applyFill="1" applyBorder="1" applyAlignment="1"/>
    <xf numFmtId="0" fontId="64" fillId="0" borderId="0" xfId="1" applyFont="1"/>
    <xf numFmtId="2" fontId="64" fillId="0" borderId="0" xfId="1" applyNumberFormat="1" applyFont="1"/>
    <xf numFmtId="0" fontId="59" fillId="0" borderId="0" xfId="1" applyFont="1" applyAlignment="1">
      <alignment vertical="center" wrapText="1"/>
    </xf>
    <xf numFmtId="164" fontId="59" fillId="0" borderId="0" xfId="0" applyNumberFormat="1" applyFont="1" applyAlignment="1">
      <alignment vertical="center" wrapText="1"/>
    </xf>
    <xf numFmtId="164" fontId="36" fillId="0" borderId="0" xfId="0" applyNumberFormat="1" applyFont="1" applyAlignment="1">
      <alignment horizontal="center" vertical="center" wrapText="1"/>
    </xf>
    <xf numFmtId="0" fontId="36" fillId="2" borderId="0" xfId="0" applyFont="1" applyFill="1" applyAlignment="1">
      <alignment horizontal="center" vertical="center" wrapText="1"/>
    </xf>
    <xf numFmtId="0" fontId="10" fillId="2" borderId="0" xfId="24" applyFont="1" applyFill="1" applyAlignment="1">
      <alignment vertical="top" wrapText="1"/>
    </xf>
    <xf numFmtId="2" fontId="10" fillId="2" borderId="0" xfId="24" applyNumberFormat="1" applyFont="1" applyFill="1" applyAlignment="1">
      <alignment horizontal="right" vertical="top" wrapText="1"/>
    </xf>
    <xf numFmtId="0" fontId="5" fillId="2" borderId="0" xfId="24" applyFill="1"/>
    <xf numFmtId="0" fontId="5" fillId="0" borderId="0" xfId="24"/>
    <xf numFmtId="0" fontId="87" fillId="2" borderId="0" xfId="24" applyFont="1" applyFill="1"/>
    <xf numFmtId="0" fontId="88" fillId="2" borderId="0" xfId="24" applyFont="1" applyFill="1"/>
    <xf numFmtId="0" fontId="89" fillId="2" borderId="0" xfId="24" applyFont="1" applyFill="1"/>
    <xf numFmtId="0" fontId="90" fillId="0" borderId="0" xfId="24" applyFont="1"/>
    <xf numFmtId="4" fontId="91" fillId="2" borderId="1" xfId="24" applyNumberFormat="1" applyFont="1" applyFill="1" applyBorder="1" applyAlignment="1">
      <alignment vertical="top" wrapText="1"/>
    </xf>
    <xf numFmtId="4" fontId="91" fillId="2" borderId="0" xfId="24" applyNumberFormat="1" applyFont="1" applyFill="1" applyAlignment="1">
      <alignment vertical="top" wrapText="1"/>
    </xf>
    <xf numFmtId="14" fontId="91" fillId="2" borderId="0" xfId="24" applyNumberFormat="1" applyFont="1" applyFill="1" applyAlignment="1">
      <alignment vertical="top" wrapText="1"/>
    </xf>
    <xf numFmtId="10" fontId="92" fillId="2" borderId="0" xfId="24" applyNumberFormat="1" applyFont="1" applyFill="1"/>
    <xf numFmtId="10" fontId="93" fillId="2" borderId="0" xfId="24" applyNumberFormat="1" applyFont="1" applyFill="1"/>
    <xf numFmtId="0" fontId="18" fillId="2" borderId="0" xfId="24" applyFont="1" applyFill="1"/>
    <xf numFmtId="0" fontId="86" fillId="2" borderId="0" xfId="24" applyFont="1" applyFill="1"/>
    <xf numFmtId="0" fontId="81" fillId="2" borderId="0" xfId="24" applyFont="1" applyFill="1"/>
    <xf numFmtId="0" fontId="93" fillId="2" borderId="0" xfId="24" applyFont="1" applyFill="1"/>
    <xf numFmtId="0" fontId="18" fillId="0" borderId="0" xfId="24" applyFont="1"/>
    <xf numFmtId="0" fontId="95" fillId="2" borderId="0" xfId="24" applyFont="1" applyFill="1"/>
    <xf numFmtId="10" fontId="99" fillId="2" borderId="0" xfId="24" applyNumberFormat="1" applyFont="1" applyFill="1" applyAlignment="1">
      <alignment vertical="center"/>
    </xf>
    <xf numFmtId="10" fontId="100" fillId="2" borderId="0" xfId="24" applyNumberFormat="1" applyFont="1" applyFill="1" applyAlignment="1">
      <alignment vertical="center"/>
    </xf>
    <xf numFmtId="0" fontId="99" fillId="2" borderId="0" xfId="24" applyFont="1" applyFill="1" applyAlignment="1">
      <alignment vertical="center"/>
    </xf>
    <xf numFmtId="0" fontId="101" fillId="0" borderId="0" xfId="24" applyFont="1" applyAlignment="1">
      <alignment vertical="center"/>
    </xf>
    <xf numFmtId="0" fontId="101" fillId="2" borderId="0" xfId="24" applyFont="1" applyFill="1" applyAlignment="1">
      <alignment vertical="center"/>
    </xf>
    <xf numFmtId="0" fontId="5" fillId="2" borderId="0" xfId="24" applyFill="1" applyAlignment="1">
      <alignment vertical="top"/>
    </xf>
    <xf numFmtId="10" fontId="16" fillId="2" borderId="0" xfId="24" applyNumberFormat="1" applyFont="1" applyFill="1" applyAlignment="1">
      <alignment horizontal="center" vertical="top" wrapText="1"/>
    </xf>
    <xf numFmtId="0" fontId="16" fillId="2" borderId="0" xfId="24" applyFont="1" applyFill="1" applyAlignment="1">
      <alignment horizontal="center" vertical="top" wrapText="1"/>
    </xf>
    <xf numFmtId="4" fontId="16" fillId="2" borderId="0" xfId="24" applyNumberFormat="1" applyFont="1" applyFill="1" applyAlignment="1">
      <alignment horizontal="center" vertical="top" wrapText="1"/>
    </xf>
    <xf numFmtId="10" fontId="103" fillId="2" borderId="0" xfId="24" applyNumberFormat="1" applyFont="1" applyFill="1" applyAlignment="1">
      <alignment horizontal="center" vertical="top" wrapText="1"/>
    </xf>
    <xf numFmtId="0" fontId="103" fillId="2" borderId="0" xfId="24" applyFont="1" applyFill="1" applyAlignment="1">
      <alignment horizontal="center" vertical="top" wrapText="1"/>
    </xf>
    <xf numFmtId="0" fontId="14" fillId="2" borderId="76" xfId="24" applyFont="1" applyFill="1" applyBorder="1" applyAlignment="1">
      <alignment wrapText="1"/>
    </xf>
    <xf numFmtId="0" fontId="106" fillId="0" borderId="0" xfId="24" applyFont="1"/>
    <xf numFmtId="0" fontId="21" fillId="2" borderId="0" xfId="24" applyFont="1" applyFill="1"/>
    <xf numFmtId="0" fontId="10" fillId="2" borderId="83" xfId="24" applyFont="1" applyFill="1" applyBorder="1" applyAlignment="1">
      <alignment vertical="center" wrapText="1"/>
    </xf>
    <xf numFmtId="2" fontId="107" fillId="2" borderId="83" xfId="24" applyNumberFormat="1" applyFont="1" applyFill="1" applyBorder="1" applyAlignment="1">
      <alignment vertical="center" wrapText="1"/>
    </xf>
    <xf numFmtId="165" fontId="12" fillId="2" borderId="83" xfId="24" applyNumberFormat="1" applyFont="1" applyFill="1" applyBorder="1" applyAlignment="1">
      <alignment vertical="center" wrapText="1"/>
    </xf>
    <xf numFmtId="0" fontId="44" fillId="0" borderId="34" xfId="1" applyFont="1" applyBorder="1" applyAlignment="1">
      <alignment horizontal="center" vertical="top" wrapText="1"/>
    </xf>
    <xf numFmtId="0" fontId="36" fillId="2" borderId="34" xfId="0" applyFont="1" applyFill="1" applyBorder="1" applyAlignment="1">
      <alignment horizontal="center" vertical="center" wrapText="1"/>
    </xf>
    <xf numFmtId="0" fontId="5" fillId="2" borderId="0" xfId="24" applyFill="1" applyAlignment="1">
      <alignment horizontal="center" vertical="center" wrapText="1"/>
    </xf>
    <xf numFmtId="0" fontId="5" fillId="2" borderId="8" xfId="24" applyFill="1" applyBorder="1"/>
    <xf numFmtId="0" fontId="5" fillId="2" borderId="4" xfId="24" applyFill="1" applyBorder="1"/>
    <xf numFmtId="165" fontId="5" fillId="2" borderId="4" xfId="24" applyNumberFormat="1" applyFill="1" applyBorder="1"/>
    <xf numFmtId="0" fontId="5" fillId="2" borderId="9" xfId="24" applyFill="1" applyBorder="1"/>
    <xf numFmtId="2" fontId="23" fillId="2" borderId="0" xfId="24" applyNumberFormat="1" applyFont="1" applyFill="1" applyAlignment="1">
      <alignment horizontal="center" vertical="center" wrapText="1"/>
    </xf>
    <xf numFmtId="0" fontId="23" fillId="2" borderId="0" xfId="24" applyFont="1" applyFill="1" applyAlignment="1">
      <alignment horizontal="center" vertical="center" wrapText="1"/>
    </xf>
    <xf numFmtId="0" fontId="5" fillId="2" borderId="0" xfId="24" applyFill="1" applyAlignment="1">
      <alignment horizontal="center"/>
    </xf>
    <xf numFmtId="0" fontId="5" fillId="2" borderId="6" xfId="24" applyFill="1" applyBorder="1"/>
    <xf numFmtId="165" fontId="5" fillId="2" borderId="0" xfId="24" applyNumberFormat="1" applyFill="1"/>
    <xf numFmtId="0" fontId="5" fillId="2" borderId="7" xfId="24" applyFill="1" applyBorder="1"/>
    <xf numFmtId="2" fontId="29" fillId="2" borderId="0" xfId="24" applyNumberFormat="1" applyFont="1" applyFill="1" applyAlignment="1">
      <alignment horizontal="center" vertical="center"/>
    </xf>
    <xf numFmtId="0" fontId="5" fillId="2" borderId="0" xfId="24" applyFill="1" applyAlignment="1">
      <alignment horizontal="center" vertical="center"/>
    </xf>
    <xf numFmtId="165" fontId="5" fillId="2" borderId="0" xfId="24" applyNumberFormat="1" applyFill="1" applyAlignment="1">
      <alignment horizontal="center" vertical="center"/>
    </xf>
    <xf numFmtId="0" fontId="29" fillId="2" borderId="0" xfId="24" applyFont="1" applyFill="1" applyAlignment="1">
      <alignment horizontal="center" vertical="center"/>
    </xf>
    <xf numFmtId="0" fontId="24" fillId="2" borderId="0" xfId="24" applyFont="1" applyFill="1" applyAlignment="1">
      <alignment horizontal="center" vertical="center"/>
    </xf>
    <xf numFmtId="10" fontId="5" fillId="2" borderId="0" xfId="24" applyNumberFormat="1" applyFill="1" applyAlignment="1">
      <alignment horizontal="center"/>
    </xf>
    <xf numFmtId="2" fontId="5" fillId="5" borderId="0" xfId="24" applyNumberFormat="1" applyFill="1" applyAlignment="1">
      <alignment horizontal="center" vertical="center"/>
    </xf>
    <xf numFmtId="0" fontId="5" fillId="5" borderId="0" xfId="24" applyFill="1" applyAlignment="1">
      <alignment horizontal="center" vertical="center"/>
    </xf>
    <xf numFmtId="0" fontId="24" fillId="5" borderId="0" xfId="24" applyFont="1" applyFill="1" applyAlignment="1">
      <alignment horizontal="center" vertical="center"/>
    </xf>
    <xf numFmtId="167" fontId="5" fillId="2" borderId="0" xfId="24" applyNumberFormat="1" applyFill="1"/>
    <xf numFmtId="10" fontId="5" fillId="5" borderId="0" xfId="24" applyNumberFormat="1" applyFill="1" applyAlignment="1">
      <alignment horizontal="center" vertical="center"/>
    </xf>
    <xf numFmtId="10" fontId="5" fillId="2" borderId="0" xfId="24" applyNumberFormat="1" applyFill="1" applyAlignment="1">
      <alignment horizontal="center" vertical="center"/>
    </xf>
    <xf numFmtId="168" fontId="5" fillId="2" borderId="0" xfId="24" applyNumberFormat="1" applyFill="1"/>
    <xf numFmtId="0" fontId="27" fillId="2" borderId="0" xfId="24" applyFont="1" applyFill="1"/>
    <xf numFmtId="0" fontId="5" fillId="2" borderId="11" xfId="24" applyFill="1" applyBorder="1" applyAlignment="1">
      <alignment horizontal="center" vertical="center"/>
    </xf>
    <xf numFmtId="0" fontId="5" fillId="2" borderId="12" xfId="24" applyFill="1" applyBorder="1"/>
    <xf numFmtId="0" fontId="5" fillId="2" borderId="5" xfId="24" applyFill="1" applyBorder="1"/>
    <xf numFmtId="0" fontId="5" fillId="2" borderId="13" xfId="24" applyFill="1" applyBorder="1"/>
    <xf numFmtId="0" fontId="30" fillId="2" borderId="0" xfId="24" applyFont="1" applyFill="1" applyAlignment="1">
      <alignment horizontal="center" vertical="center"/>
    </xf>
    <xf numFmtId="2" fontId="5" fillId="2" borderId="0" xfId="24" applyNumberFormat="1" applyFill="1" applyAlignment="1">
      <alignment horizontal="center" vertical="center"/>
    </xf>
    <xf numFmtId="0" fontId="6" fillId="5" borderId="0" xfId="0" applyFont="1" applyFill="1"/>
    <xf numFmtId="0" fontId="55" fillId="0" borderId="33" xfId="0" applyFont="1" applyBorder="1" applyAlignment="1">
      <alignment vertical="center" wrapText="1"/>
    </xf>
    <xf numFmtId="2" fontId="57" fillId="0" borderId="33" xfId="0" applyNumberFormat="1" applyFont="1" applyBorder="1" applyAlignment="1">
      <alignment vertical="center" wrapText="1"/>
    </xf>
    <xf numFmtId="2" fontId="114" fillId="0" borderId="33" xfId="0" applyNumberFormat="1" applyFont="1" applyBorder="1" applyAlignment="1">
      <alignment vertical="center" wrapText="1"/>
    </xf>
    <xf numFmtId="164" fontId="59" fillId="0" borderId="33" xfId="0" applyNumberFormat="1" applyFont="1" applyBorder="1" applyAlignment="1">
      <alignment horizontal="center" vertical="center" wrapText="1"/>
    </xf>
    <xf numFmtId="164" fontId="46" fillId="0" borderId="41" xfId="0" applyNumberFormat="1" applyFont="1" applyBorder="1" applyAlignment="1">
      <alignment horizontal="center" vertical="center" wrapText="1"/>
    </xf>
    <xf numFmtId="164" fontId="46" fillId="7" borderId="33" xfId="0" applyNumberFormat="1" applyFont="1" applyFill="1" applyBorder="1" applyAlignment="1">
      <alignment horizontal="center" vertical="center" wrapText="1"/>
    </xf>
    <xf numFmtId="164" fontId="46" fillId="0" borderId="0" xfId="0" applyNumberFormat="1" applyFont="1" applyAlignment="1">
      <alignment horizontal="center" vertical="center" wrapText="1"/>
    </xf>
    <xf numFmtId="0" fontId="115" fillId="0" borderId="0" xfId="0" applyFont="1" applyAlignment="1">
      <alignment vertical="center" wrapText="1"/>
    </xf>
    <xf numFmtId="164" fontId="116" fillId="0" borderId="0" xfId="0" applyNumberFormat="1" applyFont="1" applyAlignment="1">
      <alignment horizontal="center" vertical="center" wrapText="1"/>
    </xf>
    <xf numFmtId="0" fontId="55" fillId="0" borderId="0" xfId="0" applyFont="1" applyAlignment="1">
      <alignment vertical="center"/>
    </xf>
    <xf numFmtId="0" fontId="61" fillId="0" borderId="0" xfId="1" applyFont="1" applyAlignment="1">
      <alignment horizontal="left" vertical="center" wrapText="1"/>
    </xf>
    <xf numFmtId="0" fontId="117" fillId="0" borderId="0" xfId="1" applyFont="1" applyAlignment="1">
      <alignment vertical="center" wrapText="1"/>
    </xf>
    <xf numFmtId="0" fontId="61" fillId="0" borderId="0" xfId="1" applyFont="1" applyAlignment="1">
      <alignment horizontal="center" wrapText="1"/>
    </xf>
    <xf numFmtId="0" fontId="61" fillId="0" borderId="0" xfId="0" applyFont="1" applyAlignment="1">
      <alignment horizontal="center" vertical="center" wrapText="1"/>
    </xf>
    <xf numFmtId="0" fontId="61" fillId="0" borderId="0" xfId="0" applyFont="1" applyAlignment="1">
      <alignment horizontal="center" vertical="top" wrapText="1"/>
    </xf>
    <xf numFmtId="0" fontId="61" fillId="2" borderId="34" xfId="1" applyFont="1" applyFill="1" applyBorder="1" applyAlignment="1">
      <alignment horizontal="center" vertical="center" wrapText="1"/>
    </xf>
    <xf numFmtId="2" fontId="65" fillId="3" borderId="33" xfId="0" applyNumberFormat="1" applyFont="1" applyFill="1" applyBorder="1" applyAlignment="1">
      <alignment horizontal="center" vertical="center" wrapText="1"/>
    </xf>
    <xf numFmtId="166" fontId="65" fillId="3" borderId="33" xfId="0" applyNumberFormat="1" applyFont="1" applyFill="1" applyBorder="1" applyAlignment="1">
      <alignment horizontal="center" vertical="center" wrapText="1"/>
    </xf>
    <xf numFmtId="2" fontId="59" fillId="0" borderId="93" xfId="0" applyNumberFormat="1" applyFont="1" applyBorder="1" applyAlignment="1">
      <alignment horizontal="center" vertical="center" wrapText="1"/>
    </xf>
    <xf numFmtId="0" fontId="18" fillId="0" borderId="0" xfId="0" applyFont="1"/>
    <xf numFmtId="0" fontId="18" fillId="0" borderId="0" xfId="0" applyFont="1" applyAlignment="1">
      <alignment vertical="center"/>
    </xf>
    <xf numFmtId="166" fontId="55" fillId="0" borderId="41" xfId="0" applyNumberFormat="1" applyFont="1" applyBorder="1" applyAlignment="1">
      <alignment vertical="center" wrapText="1"/>
    </xf>
    <xf numFmtId="0" fontId="2" fillId="0" borderId="0" xfId="0" applyFont="1"/>
    <xf numFmtId="164" fontId="46" fillId="3" borderId="60" xfId="0" applyNumberFormat="1" applyFont="1" applyFill="1" applyBorder="1" applyAlignment="1">
      <alignment vertical="center" wrapText="1"/>
    </xf>
    <xf numFmtId="164" fontId="46" fillId="2" borderId="98" xfId="0" applyNumberFormat="1" applyFont="1" applyFill="1" applyBorder="1" applyAlignment="1">
      <alignment vertical="center" wrapText="1"/>
    </xf>
    <xf numFmtId="164" fontId="46" fillId="3" borderId="54" xfId="0" applyNumberFormat="1" applyFont="1" applyFill="1" applyBorder="1" applyAlignment="1">
      <alignment vertical="center" wrapText="1"/>
    </xf>
    <xf numFmtId="164" fontId="46" fillId="2" borderId="54" xfId="0" applyNumberFormat="1" applyFont="1" applyFill="1" applyBorder="1" applyAlignment="1">
      <alignment vertical="center" wrapText="1"/>
    </xf>
    <xf numFmtId="164" fontId="46" fillId="3" borderId="0" xfId="0" applyNumberFormat="1" applyFont="1" applyFill="1" applyAlignment="1">
      <alignment vertical="center" wrapText="1"/>
    </xf>
    <xf numFmtId="164" fontId="46" fillId="2" borderId="99" xfId="0" applyNumberFormat="1" applyFont="1" applyFill="1" applyBorder="1" applyAlignment="1">
      <alignment vertical="center" wrapText="1"/>
    </xf>
    <xf numFmtId="164" fontId="46" fillId="3" borderId="49" xfId="0" applyNumberFormat="1" applyFont="1" applyFill="1" applyBorder="1" applyAlignment="1">
      <alignment horizontal="center" vertical="center" wrapText="1"/>
    </xf>
    <xf numFmtId="0" fontId="6" fillId="0" borderId="54" xfId="0" applyFont="1" applyBorder="1"/>
    <xf numFmtId="164" fontId="46" fillId="3" borderId="100" xfId="0" applyNumberFormat="1" applyFont="1" applyFill="1" applyBorder="1" applyAlignment="1">
      <alignment horizontal="center" vertical="center" wrapText="1"/>
    </xf>
    <xf numFmtId="0" fontId="56" fillId="2" borderId="50" xfId="0" applyFont="1" applyFill="1" applyBorder="1" applyAlignment="1">
      <alignment vertical="center" wrapText="1"/>
    </xf>
    <xf numFmtId="0" fontId="50" fillId="2" borderId="50" xfId="0" applyFont="1" applyFill="1" applyBorder="1" applyAlignment="1">
      <alignment vertical="center" wrapText="1"/>
    </xf>
    <xf numFmtId="0" fontId="50" fillId="0" borderId="34" xfId="1" applyFont="1" applyBorder="1" applyAlignment="1">
      <alignment wrapText="1"/>
    </xf>
    <xf numFmtId="0" fontId="50" fillId="0" borderId="40" xfId="1" applyFont="1" applyBorder="1" applyAlignment="1">
      <alignment wrapText="1"/>
    </xf>
    <xf numFmtId="0" fontId="61" fillId="0" borderId="24" xfId="0" applyFont="1" applyBorder="1" applyAlignment="1">
      <alignment vertical="center" wrapText="1"/>
    </xf>
    <xf numFmtId="164" fontId="46" fillId="0" borderId="21" xfId="0" applyNumberFormat="1" applyFont="1" applyBorder="1" applyAlignment="1">
      <alignment horizontal="center" vertical="center" wrapText="1"/>
    </xf>
    <xf numFmtId="0" fontId="69" fillId="2" borderId="0" xfId="1" applyFont="1" applyFill="1"/>
    <xf numFmtId="2" fontId="59" fillId="0" borderId="34" xfId="0" applyNumberFormat="1" applyFont="1" applyBorder="1"/>
    <xf numFmtId="2" fontId="59" fillId="2" borderId="42" xfId="0" applyNumberFormat="1" applyFont="1" applyFill="1" applyBorder="1" applyAlignment="1">
      <alignment horizontal="center" vertical="center" wrapText="1"/>
    </xf>
    <xf numFmtId="2" fontId="59" fillId="2" borderId="99" xfId="0" applyNumberFormat="1" applyFont="1" applyFill="1" applyBorder="1" applyAlignment="1">
      <alignment horizontal="center" vertical="center" wrapText="1"/>
    </xf>
    <xf numFmtId="2" fontId="59" fillId="2" borderId="34" xfId="0" applyNumberFormat="1" applyFont="1" applyFill="1" applyBorder="1" applyAlignment="1">
      <alignment horizontal="center" vertical="center" wrapText="1"/>
    </xf>
    <xf numFmtId="2" fontId="46" fillId="6" borderId="33" xfId="0" applyNumberFormat="1" applyFont="1" applyFill="1" applyBorder="1" applyAlignment="1">
      <alignment horizontal="center" vertical="center" wrapText="1"/>
    </xf>
    <xf numFmtId="2" fontId="46" fillId="0" borderId="33" xfId="0" applyNumberFormat="1" applyFont="1" applyBorder="1" applyAlignment="1">
      <alignment horizontal="center" vertical="center" wrapText="1"/>
    </xf>
    <xf numFmtId="2" fontId="6" fillId="0" borderId="0" xfId="0" applyNumberFormat="1" applyFont="1"/>
    <xf numFmtId="2" fontId="0" fillId="0" borderId="0" xfId="0" applyNumberFormat="1"/>
    <xf numFmtId="2" fontId="59" fillId="0" borderId="0" xfId="0" applyNumberFormat="1" applyFont="1" applyAlignment="1">
      <alignment horizontal="center" vertical="center" wrapText="1"/>
    </xf>
    <xf numFmtId="2" fontId="46" fillId="7" borderId="33" xfId="0" applyNumberFormat="1" applyFont="1" applyFill="1" applyBorder="1" applyAlignment="1">
      <alignment horizontal="center" vertical="center" wrapText="1"/>
    </xf>
    <xf numFmtId="2" fontId="65" fillId="3" borderId="33" xfId="0" applyNumberFormat="1" applyFont="1" applyFill="1" applyBorder="1" applyAlignment="1">
      <alignment horizontal="left" vertical="center"/>
    </xf>
    <xf numFmtId="165" fontId="1" fillId="5" borderId="0" xfId="24" applyNumberFormat="1" applyFont="1" applyFill="1" applyAlignment="1">
      <alignment horizontal="center" vertical="center"/>
    </xf>
    <xf numFmtId="2" fontId="110" fillId="0" borderId="0" xfId="24" applyNumberFormat="1" applyFont="1" applyAlignment="1">
      <alignment horizontal="center" vertical="center"/>
    </xf>
    <xf numFmtId="2" fontId="5" fillId="0" borderId="0" xfId="24" applyNumberFormat="1" applyAlignment="1">
      <alignment horizontal="center" vertical="center"/>
    </xf>
    <xf numFmtId="0" fontId="5" fillId="0" borderId="0" xfId="24" applyAlignment="1">
      <alignment vertical="top"/>
    </xf>
    <xf numFmtId="0" fontId="5" fillId="0" borderId="0" xfId="24" applyAlignment="1">
      <alignment horizontal="center" vertical="center"/>
    </xf>
    <xf numFmtId="0" fontId="118" fillId="0" borderId="0" xfId="0" applyFont="1"/>
    <xf numFmtId="0" fontId="0" fillId="8" borderId="0" xfId="0" applyFill="1"/>
    <xf numFmtId="0" fontId="0" fillId="9" borderId="0" xfId="0" applyFill="1"/>
    <xf numFmtId="0" fontId="0" fillId="10" borderId="0" xfId="0" applyFill="1"/>
    <xf numFmtId="0" fontId="124" fillId="0" borderId="0" xfId="0" applyFont="1" applyAlignment="1">
      <alignment horizontal="center"/>
    </xf>
    <xf numFmtId="0" fontId="124" fillId="0" borderId="0" xfId="0" applyFont="1"/>
    <xf numFmtId="0" fontId="106" fillId="0" borderId="20" xfId="0" applyFont="1" applyBorder="1"/>
    <xf numFmtId="0" fontId="47" fillId="0" borderId="61" xfId="23" applyFill="1" applyBorder="1" applyAlignment="1">
      <alignment horizontal="left" vertical="center"/>
    </xf>
    <xf numFmtId="0" fontId="77" fillId="0" borderId="61" xfId="1" applyFont="1" applyBorder="1" applyAlignment="1">
      <alignment horizontal="center" vertical="center"/>
    </xf>
    <xf numFmtId="0" fontId="78" fillId="0" borderId="60" xfId="23" applyFont="1" applyFill="1" applyBorder="1" applyAlignment="1">
      <alignment horizontal="left" vertical="center"/>
    </xf>
    <xf numFmtId="0" fontId="63" fillId="0" borderId="60" xfId="1" applyFont="1" applyBorder="1" applyAlignment="1">
      <alignment horizontal="center" vertical="top" wrapText="1"/>
    </xf>
    <xf numFmtId="0" fontId="64" fillId="0" borderId="61" xfId="1" applyFont="1" applyBorder="1" applyAlignment="1">
      <alignment horizontal="center" vertical="center"/>
    </xf>
    <xf numFmtId="2" fontId="64" fillId="0" borderId="61" xfId="21" applyNumberFormat="1" applyFont="1" applyFill="1" applyBorder="1" applyAlignment="1">
      <alignment horizontal="center" vertical="center"/>
    </xf>
    <xf numFmtId="0" fontId="19" fillId="0" borderId="0" xfId="0" applyFont="1" applyAlignment="1">
      <alignment horizontal="left" vertical="center"/>
    </xf>
    <xf numFmtId="0" fontId="77" fillId="0" borderId="60" xfId="1" applyFont="1" applyBorder="1" applyAlignment="1">
      <alignment horizontal="center" vertical="center"/>
    </xf>
    <xf numFmtId="0" fontId="47" fillId="0" borderId="60" xfId="23" applyFill="1" applyBorder="1" applyAlignment="1">
      <alignment horizontal="left" vertical="center"/>
    </xf>
    <xf numFmtId="2" fontId="64" fillId="0" borderId="61" xfId="1" applyNumberFormat="1" applyFont="1" applyBorder="1" applyAlignment="1">
      <alignment horizontal="center" vertical="center"/>
    </xf>
    <xf numFmtId="0" fontId="27" fillId="2" borderId="0" xfId="24" applyFont="1" applyFill="1" applyAlignment="1">
      <alignment horizontal="right" wrapText="1"/>
    </xf>
    <xf numFmtId="0" fontId="5" fillId="4" borderId="11" xfId="24" applyFill="1" applyBorder="1" applyAlignment="1">
      <alignment horizontal="center" vertical="center"/>
    </xf>
    <xf numFmtId="0" fontId="108" fillId="2" borderId="0" xfId="24" applyFont="1" applyFill="1" applyAlignment="1">
      <alignment horizontal="center"/>
    </xf>
    <xf numFmtId="0" fontId="5" fillId="2" borderId="90" xfId="24" applyFill="1" applyBorder="1" applyAlignment="1">
      <alignment horizontal="center" vertical="center"/>
    </xf>
    <xf numFmtId="0" fontId="5" fillId="2" borderId="103" xfId="24" applyFill="1" applyBorder="1" applyAlignment="1">
      <alignment horizontal="center" vertical="center"/>
    </xf>
    <xf numFmtId="10" fontId="4" fillId="4" borderId="11" xfId="24" applyNumberFormat="1" applyFont="1" applyFill="1" applyBorder="1" applyAlignment="1">
      <alignment horizontal="center" vertical="center"/>
    </xf>
    <xf numFmtId="10" fontId="5" fillId="4" borderId="11" xfId="24" applyNumberFormat="1" applyFill="1" applyBorder="1" applyAlignment="1">
      <alignment horizontal="center" vertical="center"/>
    </xf>
    <xf numFmtId="0" fontId="5" fillId="2" borderId="6" xfId="24" applyFill="1" applyBorder="1" applyAlignment="1">
      <alignment horizontal="center"/>
    </xf>
    <xf numFmtId="0" fontId="5" fillId="2" borderId="0" xfId="24" applyFill="1" applyAlignment="1">
      <alignment horizontal="center"/>
    </xf>
    <xf numFmtId="0" fontId="26" fillId="2" borderId="0" xfId="24" applyFont="1" applyFill="1" applyAlignment="1">
      <alignment horizontal="center" vertical="center" wrapText="1"/>
    </xf>
    <xf numFmtId="2" fontId="5" fillId="4" borderId="10" xfId="24" applyNumberFormat="1" applyFill="1" applyBorder="1" applyAlignment="1">
      <alignment horizontal="center" vertical="center"/>
    </xf>
    <xf numFmtId="2" fontId="5" fillId="4" borderId="11" xfId="24" applyNumberFormat="1" applyFill="1" applyBorder="1" applyAlignment="1">
      <alignment horizontal="center" vertical="center"/>
    </xf>
    <xf numFmtId="10" fontId="31" fillId="2" borderId="101" xfId="1" applyNumberFormat="1" applyFont="1" applyFill="1" applyBorder="1" applyAlignment="1">
      <alignment horizontal="center" vertical="center" wrapText="1"/>
    </xf>
    <xf numFmtId="10" fontId="31" fillId="2" borderId="102" xfId="1" applyNumberFormat="1" applyFont="1" applyFill="1" applyBorder="1" applyAlignment="1">
      <alignment horizontal="center" vertical="center" wrapText="1"/>
    </xf>
    <xf numFmtId="0" fontId="85" fillId="2" borderId="34" xfId="1" applyFont="1" applyFill="1" applyBorder="1" applyAlignment="1">
      <alignment horizontal="center" wrapText="1"/>
    </xf>
    <xf numFmtId="0" fontId="65" fillId="3" borderId="38" xfId="0" applyFont="1" applyFill="1" applyBorder="1" applyAlignment="1">
      <alignment horizontal="left" vertical="top" wrapText="1"/>
    </xf>
    <xf numFmtId="0" fontId="65" fillId="3" borderId="47" xfId="0" applyFont="1" applyFill="1" applyBorder="1" applyAlignment="1">
      <alignment horizontal="left" vertical="top" wrapText="1"/>
    </xf>
    <xf numFmtId="2" fontId="65" fillId="3" borderId="96" xfId="1" applyNumberFormat="1" applyFont="1" applyFill="1" applyBorder="1" applyAlignment="1">
      <alignment horizontal="center" vertical="center" wrapText="1"/>
    </xf>
    <xf numFmtId="2" fontId="65" fillId="3" borderId="48" xfId="1" applyNumberFormat="1" applyFont="1" applyFill="1" applyBorder="1" applyAlignment="1">
      <alignment horizontal="center" vertical="center" wrapText="1"/>
    </xf>
    <xf numFmtId="2" fontId="65" fillId="3" borderId="97" xfId="1" applyNumberFormat="1" applyFont="1" applyFill="1" applyBorder="1" applyAlignment="1">
      <alignment horizontal="center" vertical="center" wrapText="1"/>
    </xf>
    <xf numFmtId="0" fontId="59" fillId="2" borderId="28" xfId="0" applyFont="1" applyFill="1" applyBorder="1"/>
    <xf numFmtId="0" fontId="59" fillId="3" borderId="28" xfId="0" applyFont="1" applyFill="1" applyBorder="1"/>
    <xf numFmtId="0" fontId="59" fillId="2" borderId="54" xfId="0" applyFont="1" applyFill="1" applyBorder="1" applyAlignment="1">
      <alignment vertical="center"/>
    </xf>
    <xf numFmtId="2" fontId="59" fillId="2" borderId="54" xfId="0" applyNumberFormat="1" applyFont="1" applyFill="1" applyBorder="1" applyAlignment="1">
      <alignment horizontal="center" vertical="center" wrapText="1"/>
    </xf>
    <xf numFmtId="0" fontId="59" fillId="3" borderId="54" xfId="0" applyFont="1" applyFill="1" applyBorder="1" applyAlignment="1">
      <alignment vertical="center"/>
    </xf>
    <xf numFmtId="2" fontId="59" fillId="3" borderId="54" xfId="0" applyNumberFormat="1" applyFont="1" applyFill="1" applyBorder="1" applyAlignment="1">
      <alignment horizontal="center" vertical="center" wrapText="1"/>
    </xf>
    <xf numFmtId="2" fontId="59" fillId="2" borderId="29" xfId="0" applyNumberFormat="1" applyFont="1" applyFill="1" applyBorder="1" applyAlignment="1">
      <alignment horizontal="center" vertical="center" wrapText="1"/>
    </xf>
    <xf numFmtId="0" fontId="59" fillId="3" borderId="73" xfId="0" applyFont="1" applyFill="1" applyBorder="1" applyAlignment="1">
      <alignment vertical="top" wrapText="1"/>
    </xf>
    <xf numFmtId="2" fontId="59" fillId="3" borderId="73" xfId="0" applyNumberFormat="1" applyFont="1" applyFill="1" applyBorder="1" applyAlignment="1">
      <alignment horizontal="center" vertical="center" wrapText="1"/>
    </xf>
    <xf numFmtId="0" fontId="59" fillId="2" borderId="29" xfId="0" applyFont="1" applyFill="1" applyBorder="1" applyAlignment="1">
      <alignment vertical="top" wrapText="1"/>
    </xf>
    <xf numFmtId="2" fontId="59" fillId="3" borderId="71" xfId="0" applyNumberFormat="1" applyFont="1" applyFill="1" applyBorder="1" applyAlignment="1">
      <alignment horizontal="center" vertical="center" wrapText="1"/>
    </xf>
    <xf numFmtId="2" fontId="59" fillId="2" borderId="28" xfId="0" applyNumberFormat="1" applyFont="1" applyFill="1" applyBorder="1" applyAlignment="1">
      <alignment horizontal="center" vertical="center" wrapText="1"/>
    </xf>
    <xf numFmtId="2" fontId="59" fillId="3" borderId="28" xfId="0" applyNumberFormat="1" applyFont="1" applyFill="1" applyBorder="1" applyAlignment="1">
      <alignment horizontal="center" vertical="center" wrapText="1"/>
    </xf>
    <xf numFmtId="0" fontId="59" fillId="2" borderId="28" xfId="0" applyFont="1" applyFill="1" applyBorder="1" applyAlignment="1">
      <alignment vertical="top" wrapText="1"/>
    </xf>
    <xf numFmtId="0" fontId="59" fillId="3" borderId="28" xfId="0" applyFont="1" applyFill="1" applyBorder="1" applyAlignment="1">
      <alignment vertical="top" wrapText="1"/>
    </xf>
    <xf numFmtId="0" fontId="59" fillId="2" borderId="29" xfId="0" applyFont="1" applyFill="1" applyBorder="1"/>
    <xf numFmtId="0" fontId="59" fillId="3" borderId="71" xfId="0" applyFont="1" applyFill="1" applyBorder="1"/>
    <xf numFmtId="0" fontId="59" fillId="3" borderId="48" xfId="0" applyFont="1" applyFill="1" applyBorder="1"/>
    <xf numFmtId="2" fontId="59" fillId="3" borderId="30" xfId="0" applyNumberFormat="1" applyFont="1" applyFill="1" applyBorder="1" applyAlignment="1">
      <alignment horizontal="center" vertical="center" wrapText="1"/>
    </xf>
    <xf numFmtId="2" fontId="59" fillId="3" borderId="48" xfId="0" applyNumberFormat="1" applyFont="1" applyFill="1" applyBorder="1" applyAlignment="1">
      <alignment horizontal="center" vertical="center" wrapText="1"/>
    </xf>
    <xf numFmtId="0" fontId="59" fillId="3" borderId="49" xfId="0" applyFont="1" applyFill="1" applyBorder="1" applyAlignment="1">
      <alignment vertical="center"/>
    </xf>
    <xf numFmtId="2" fontId="59" fillId="3" borderId="49" xfId="0" applyNumberFormat="1" applyFont="1" applyFill="1" applyBorder="1" applyAlignment="1">
      <alignment horizontal="center" vertical="center" wrapText="1"/>
    </xf>
    <xf numFmtId="0" fontId="61" fillId="2" borderId="25" xfId="0" applyFont="1" applyFill="1" applyBorder="1" applyAlignment="1">
      <alignment horizontal="center" vertical="center" wrapText="1"/>
    </xf>
    <xf numFmtId="0" fontId="61" fillId="2" borderId="24" xfId="0" applyFont="1" applyFill="1" applyBorder="1" applyAlignment="1">
      <alignment horizontal="center" vertical="center" wrapText="1"/>
    </xf>
    <xf numFmtId="0" fontId="61" fillId="2" borderId="26" xfId="0" applyFont="1" applyFill="1" applyBorder="1" applyAlignment="1">
      <alignment horizontal="center" vertical="center" wrapText="1"/>
    </xf>
    <xf numFmtId="0" fontId="59" fillId="3" borderId="38" xfId="0" applyFont="1" applyFill="1" applyBorder="1" applyAlignment="1">
      <alignment vertical="top" wrapText="1"/>
    </xf>
    <xf numFmtId="2" fontId="59" fillId="3" borderId="38" xfId="0" applyNumberFormat="1" applyFont="1" applyFill="1" applyBorder="1" applyAlignment="1">
      <alignment horizontal="center" vertical="center" wrapText="1"/>
    </xf>
    <xf numFmtId="0" fontId="59" fillId="3" borderId="70" xfId="0" applyFont="1" applyFill="1" applyBorder="1" applyAlignment="1">
      <alignment vertical="top" wrapText="1"/>
    </xf>
    <xf numFmtId="2" fontId="72" fillId="0" borderId="52" xfId="1" applyNumberFormat="1" applyFont="1" applyBorder="1" applyAlignment="1">
      <alignment horizontal="center" vertical="center" wrapText="1"/>
    </xf>
    <xf numFmtId="2" fontId="72" fillId="0" borderId="53" xfId="1" applyNumberFormat="1" applyFont="1" applyBorder="1" applyAlignment="1">
      <alignment horizontal="center" vertical="center" wrapText="1"/>
    </xf>
    <xf numFmtId="0" fontId="65" fillId="3" borderId="34" xfId="0" applyFont="1" applyFill="1" applyBorder="1" applyAlignment="1">
      <alignment horizontal="left" vertical="top" wrapText="1"/>
    </xf>
    <xf numFmtId="0" fontId="65" fillId="3" borderId="40" xfId="0" applyFont="1" applyFill="1" applyBorder="1" applyAlignment="1">
      <alignment horizontal="left" vertical="top" wrapText="1"/>
    </xf>
    <xf numFmtId="0" fontId="59" fillId="2" borderId="52" xfId="1" applyFont="1" applyFill="1" applyBorder="1" applyAlignment="1">
      <alignment horizontal="center" vertical="center" wrapText="1"/>
    </xf>
    <xf numFmtId="0" fontId="59" fillId="2" borderId="53" xfId="1" applyFont="1" applyFill="1" applyBorder="1" applyAlignment="1">
      <alignment horizontal="center" vertical="center" wrapText="1"/>
    </xf>
    <xf numFmtId="0" fontId="59" fillId="2" borderId="32" xfId="1" applyFont="1" applyFill="1" applyBorder="1" applyAlignment="1">
      <alignment horizontal="left" vertical="top" wrapText="1"/>
    </xf>
    <xf numFmtId="0" fontId="59" fillId="2" borderId="21" xfId="1" applyFont="1" applyFill="1" applyBorder="1" applyAlignment="1">
      <alignment horizontal="left" vertical="top" wrapText="1"/>
    </xf>
    <xf numFmtId="0" fontId="61" fillId="2" borderId="19" xfId="0" applyFont="1" applyFill="1" applyBorder="1" applyAlignment="1">
      <alignment horizontal="center" vertical="center" wrapText="1"/>
    </xf>
    <xf numFmtId="0" fontId="61" fillId="2" borderId="20" xfId="0" applyFont="1" applyFill="1" applyBorder="1" applyAlignment="1">
      <alignment horizontal="center" vertical="center" wrapText="1"/>
    </xf>
    <xf numFmtId="0" fontId="85" fillId="2" borderId="35" xfId="1" applyFont="1" applyFill="1" applyBorder="1" applyAlignment="1">
      <alignment horizontal="center" wrapText="1"/>
    </xf>
    <xf numFmtId="2" fontId="59" fillId="3" borderId="55" xfId="1" applyNumberFormat="1" applyFont="1" applyFill="1" applyBorder="1" applyAlignment="1">
      <alignment horizontal="center" vertical="center" wrapText="1"/>
    </xf>
    <xf numFmtId="2" fontId="59" fillId="3" borderId="58" xfId="1" applyNumberFormat="1" applyFont="1" applyFill="1" applyBorder="1" applyAlignment="1">
      <alignment horizontal="center" vertical="center" wrapText="1"/>
    </xf>
    <xf numFmtId="0" fontId="52" fillId="0" borderId="0" xfId="0" applyFont="1" applyAlignment="1">
      <alignment horizontal="left" vertical="center"/>
    </xf>
    <xf numFmtId="0" fontId="85" fillId="2" borderId="0" xfId="1" applyFont="1" applyFill="1" applyAlignment="1">
      <alignment horizontal="center" wrapText="1"/>
    </xf>
    <xf numFmtId="0" fontId="61" fillId="2" borderId="19" xfId="0" applyFont="1" applyFill="1" applyBorder="1" applyAlignment="1">
      <alignment horizontal="center" vertical="center"/>
    </xf>
    <xf numFmtId="0" fontId="61" fillId="2" borderId="20" xfId="0" applyFont="1" applyFill="1" applyBorder="1" applyAlignment="1">
      <alignment horizontal="center" vertical="center"/>
    </xf>
    <xf numFmtId="0" fontId="69" fillId="2" borderId="24" xfId="1" applyFont="1" applyFill="1" applyBorder="1" applyAlignment="1">
      <alignment horizontal="center"/>
    </xf>
    <xf numFmtId="0" fontId="65" fillId="3" borderId="24" xfId="0" applyFont="1" applyFill="1" applyBorder="1" applyAlignment="1">
      <alignment horizontal="left" vertical="top" wrapText="1"/>
    </xf>
    <xf numFmtId="0" fontId="65" fillId="3" borderId="26" xfId="0" applyFont="1" applyFill="1" applyBorder="1" applyAlignment="1">
      <alignment horizontal="left" vertical="top" wrapText="1"/>
    </xf>
    <xf numFmtId="2" fontId="65" fillId="3" borderId="25" xfId="1" applyNumberFormat="1" applyFont="1" applyFill="1" applyBorder="1" applyAlignment="1">
      <alignment horizontal="center" vertical="center" wrapText="1"/>
    </xf>
    <xf numFmtId="2" fontId="65" fillId="3" borderId="24" xfId="1" applyNumberFormat="1" applyFont="1" applyFill="1" applyBorder="1" applyAlignment="1">
      <alignment horizontal="center" vertical="center" wrapText="1"/>
    </xf>
    <xf numFmtId="0" fontId="70" fillId="2" borderId="34" xfId="1" applyFont="1" applyFill="1" applyBorder="1" applyAlignment="1">
      <alignment horizontal="center" vertical="center" wrapText="1"/>
    </xf>
    <xf numFmtId="0" fontId="70" fillId="2" borderId="72" xfId="1" applyFont="1" applyFill="1" applyBorder="1" applyAlignment="1">
      <alignment horizontal="center" vertical="center" wrapText="1"/>
    </xf>
    <xf numFmtId="0" fontId="85" fillId="2" borderId="24" xfId="1" applyFont="1" applyFill="1" applyBorder="1" applyAlignment="1">
      <alignment horizontal="center"/>
    </xf>
    <xf numFmtId="2" fontId="65" fillId="3" borderId="35" xfId="1" applyNumberFormat="1" applyFont="1" applyFill="1" applyBorder="1" applyAlignment="1">
      <alignment horizontal="center" vertical="center" wrapText="1"/>
    </xf>
    <xf numFmtId="2" fontId="65" fillId="3" borderId="34" xfId="1" applyNumberFormat="1" applyFont="1" applyFill="1" applyBorder="1" applyAlignment="1">
      <alignment horizontal="center" vertical="center" wrapText="1"/>
    </xf>
    <xf numFmtId="0" fontId="59" fillId="2" borderId="0" xfId="1" applyFont="1" applyFill="1" applyAlignment="1">
      <alignment horizontal="left" vertical="top" wrapText="1"/>
    </xf>
    <xf numFmtId="0" fontId="85" fillId="2" borderId="59" xfId="1" applyFont="1" applyFill="1" applyBorder="1" applyAlignment="1">
      <alignment horizontal="center" vertical="center" wrapText="1"/>
    </xf>
    <xf numFmtId="0" fontId="85" fillId="2" borderId="34" xfId="1" applyFont="1" applyFill="1" applyBorder="1" applyAlignment="1">
      <alignment horizontal="center" vertical="center" wrapText="1"/>
    </xf>
    <xf numFmtId="0" fontId="59" fillId="2" borderId="57" xfId="1" applyFont="1" applyFill="1" applyBorder="1" applyAlignment="1">
      <alignment horizontal="center" vertical="center" wrapText="1"/>
    </xf>
    <xf numFmtId="0" fontId="61" fillId="2" borderId="52" xfId="0" applyFont="1" applyFill="1" applyBorder="1" applyAlignment="1">
      <alignment horizontal="center" vertical="center"/>
    </xf>
    <xf numFmtId="0" fontId="61" fillId="2" borderId="57" xfId="0" applyFont="1" applyFill="1" applyBorder="1" applyAlignment="1">
      <alignment horizontal="center" vertical="center"/>
    </xf>
    <xf numFmtId="0" fontId="61" fillId="2" borderId="68" xfId="0" applyFont="1" applyFill="1" applyBorder="1" applyAlignment="1">
      <alignment horizontal="center" vertical="center"/>
    </xf>
    <xf numFmtId="0" fontId="61" fillId="2" borderId="69" xfId="0" applyFont="1" applyFill="1" applyBorder="1" applyAlignment="1">
      <alignment horizontal="center" vertical="center"/>
    </xf>
    <xf numFmtId="0" fontId="61" fillId="2" borderId="22" xfId="0" applyFont="1" applyFill="1" applyBorder="1" applyAlignment="1">
      <alignment horizontal="center" vertical="center"/>
    </xf>
    <xf numFmtId="0" fontId="61" fillId="2" borderId="23" xfId="0" applyFont="1" applyFill="1" applyBorder="1" applyAlignment="1">
      <alignment horizontal="center" vertical="center"/>
    </xf>
    <xf numFmtId="2" fontId="59" fillId="3" borderId="60" xfId="0" applyNumberFormat="1" applyFont="1" applyFill="1" applyBorder="1" applyAlignment="1">
      <alignment horizontal="center" vertical="center" wrapText="1"/>
    </xf>
    <xf numFmtId="2" fontId="59" fillId="2" borderId="98" xfId="0" applyNumberFormat="1" applyFont="1" applyFill="1" applyBorder="1" applyAlignment="1">
      <alignment horizontal="center" vertical="center" wrapText="1"/>
    </xf>
    <xf numFmtId="2" fontId="59" fillId="3" borderId="0" xfId="0" applyNumberFormat="1" applyFont="1" applyFill="1" applyAlignment="1">
      <alignment horizontal="center" vertical="center" wrapText="1"/>
    </xf>
    <xf numFmtId="164" fontId="59" fillId="3" borderId="24" xfId="0" applyNumberFormat="1" applyFont="1" applyFill="1" applyBorder="1" applyAlignment="1">
      <alignment horizontal="center" vertical="center" wrapText="1"/>
    </xf>
    <xf numFmtId="2" fontId="59" fillId="3" borderId="24" xfId="0" applyNumberFormat="1" applyFont="1" applyFill="1" applyBorder="1" applyAlignment="1">
      <alignment horizontal="center" vertical="center" wrapText="1"/>
    </xf>
    <xf numFmtId="2" fontId="59" fillId="2" borderId="49" xfId="0" applyNumberFormat="1" applyFont="1" applyFill="1" applyBorder="1" applyAlignment="1">
      <alignment horizontal="center" vertical="center" wrapText="1"/>
    </xf>
    <xf numFmtId="0" fontId="61" fillId="2" borderId="35" xfId="1" applyFont="1" applyFill="1" applyBorder="1" applyAlignment="1">
      <alignment horizontal="center" wrapText="1"/>
    </xf>
    <xf numFmtId="0" fontId="61" fillId="2" borderId="34" xfId="1" applyFont="1" applyFill="1" applyBorder="1" applyAlignment="1">
      <alignment horizontal="center" wrapText="1"/>
    </xf>
    <xf numFmtId="0" fontId="61" fillId="2" borderId="25" xfId="1" applyFont="1" applyFill="1" applyBorder="1" applyAlignment="1">
      <alignment horizontal="center" wrapText="1"/>
    </xf>
    <xf numFmtId="0" fontId="61" fillId="2" borderId="24" xfId="1" applyFont="1" applyFill="1" applyBorder="1" applyAlignment="1">
      <alignment horizontal="center" wrapText="1"/>
    </xf>
    <xf numFmtId="0" fontId="50" fillId="2" borderId="35" xfId="1" applyFont="1" applyFill="1" applyBorder="1" applyAlignment="1">
      <alignment horizontal="center" wrapText="1"/>
    </xf>
    <xf numFmtId="0" fontId="50" fillId="2" borderId="34" xfId="1" applyFont="1" applyFill="1" applyBorder="1" applyAlignment="1">
      <alignment horizontal="center" wrapText="1"/>
    </xf>
    <xf numFmtId="0" fontId="0" fillId="0" borderId="0" xfId="0"/>
    <xf numFmtId="0" fontId="59" fillId="3" borderId="55" xfId="0" applyFont="1" applyFill="1" applyBorder="1" applyAlignment="1">
      <alignment horizontal="left" vertical="center"/>
    </xf>
    <xf numFmtId="0" fontId="59" fillId="3" borderId="54" xfId="0" applyFont="1" applyFill="1" applyBorder="1" applyAlignment="1">
      <alignment horizontal="left" vertical="center"/>
    </xf>
    <xf numFmtId="0" fontId="59" fillId="2" borderId="55" xfId="0" applyFont="1" applyFill="1" applyBorder="1" applyAlignment="1">
      <alignment horizontal="left" vertical="center"/>
    </xf>
    <xf numFmtId="0" fontId="59" fillId="2" borderId="54" xfId="0" applyFont="1" applyFill="1" applyBorder="1" applyAlignment="1">
      <alignment horizontal="left" vertical="center"/>
    </xf>
    <xf numFmtId="2" fontId="18" fillId="0" borderId="0" xfId="1" applyNumberFormat="1" applyFont="1" applyAlignment="1">
      <alignment horizontal="center" vertical="top" wrapText="1"/>
    </xf>
    <xf numFmtId="4" fontId="18" fillId="0" borderId="0" xfId="1" applyNumberFormat="1" applyFont="1" applyAlignment="1">
      <alignment horizontal="center" vertical="top" wrapText="1"/>
    </xf>
    <xf numFmtId="0" fontId="35" fillId="0" borderId="0" xfId="1" applyFont="1" applyAlignment="1">
      <alignment horizontal="left" vertical="center" wrapText="1"/>
    </xf>
    <xf numFmtId="3" fontId="18" fillId="0" borderId="0" xfId="1" applyNumberFormat="1" applyFont="1" applyAlignment="1">
      <alignment horizontal="center" vertical="top" wrapText="1"/>
    </xf>
    <xf numFmtId="0" fontId="70" fillId="2" borderId="0" xfId="1" applyFont="1" applyFill="1" applyAlignment="1">
      <alignment horizontal="center" vertical="center" wrapText="1"/>
    </xf>
    <xf numFmtId="0" fontId="59" fillId="3" borderId="38" xfId="0" applyFont="1" applyFill="1" applyBorder="1" applyAlignment="1">
      <alignment horizontal="left" vertical="top"/>
    </xf>
    <xf numFmtId="0" fontId="59" fillId="2" borderId="28" xfId="0" applyFont="1" applyFill="1" applyBorder="1" applyAlignment="1">
      <alignment horizontal="left" vertical="top"/>
    </xf>
    <xf numFmtId="0" fontId="59" fillId="3" borderId="28" xfId="0" applyFont="1" applyFill="1" applyBorder="1" applyAlignment="1">
      <alignment horizontal="left" vertical="top"/>
    </xf>
    <xf numFmtId="0" fontId="59" fillId="2" borderId="29" xfId="0" applyFont="1" applyFill="1" applyBorder="1" applyAlignment="1">
      <alignment horizontal="left" vertical="top"/>
    </xf>
    <xf numFmtId="0" fontId="59" fillId="3" borderId="48" xfId="0" applyFont="1" applyFill="1" applyBorder="1" applyAlignment="1">
      <alignment horizontal="left" vertical="top"/>
    </xf>
    <xf numFmtId="0" fontId="61" fillId="2" borderId="50" xfId="0" applyFont="1" applyFill="1" applyBorder="1" applyAlignment="1">
      <alignment horizontal="center" vertical="center" wrapText="1"/>
    </xf>
    <xf numFmtId="0" fontId="61" fillId="2" borderId="49" xfId="0" applyFont="1" applyFill="1" applyBorder="1" applyAlignment="1">
      <alignment horizontal="center" vertical="center" wrapText="1"/>
    </xf>
    <xf numFmtId="0" fontId="59" fillId="3" borderId="24" xfId="0" applyFont="1" applyFill="1" applyBorder="1" applyAlignment="1">
      <alignment horizontal="center" vertical="center" wrapText="1"/>
    </xf>
    <xf numFmtId="2" fontId="59" fillId="0" borderId="33" xfId="0" applyNumberFormat="1" applyFont="1" applyBorder="1" applyAlignment="1">
      <alignment horizontal="center" vertical="center" wrapText="1"/>
    </xf>
    <xf numFmtId="1" fontId="59" fillId="0" borderId="33" xfId="0" applyNumberFormat="1" applyFont="1" applyBorder="1" applyAlignment="1">
      <alignment horizontal="center" vertical="center" wrapText="1"/>
    </xf>
    <xf numFmtId="164" fontId="59" fillId="0" borderId="33" xfId="0" applyNumberFormat="1" applyFont="1" applyBorder="1" applyAlignment="1">
      <alignment horizontal="left" vertical="center"/>
    </xf>
    <xf numFmtId="164" fontId="59" fillId="0" borderId="41" xfId="0" applyNumberFormat="1" applyFont="1" applyBorder="1" applyAlignment="1">
      <alignment horizontal="left" vertical="center"/>
    </xf>
    <xf numFmtId="0" fontId="65" fillId="2" borderId="34" xfId="1" applyFont="1" applyFill="1" applyBorder="1" applyAlignment="1">
      <alignment horizontal="center" vertical="center" wrapText="1"/>
    </xf>
    <xf numFmtId="0" fontId="59" fillId="2" borderId="22" xfId="1" applyFont="1" applyFill="1" applyBorder="1" applyAlignment="1">
      <alignment horizontal="center" vertical="top" wrapText="1"/>
    </xf>
    <xf numFmtId="0" fontId="59" fillId="2" borderId="0" xfId="1" applyFont="1" applyFill="1" applyAlignment="1">
      <alignment horizontal="center" vertical="top" wrapText="1"/>
    </xf>
    <xf numFmtId="164" fontId="59" fillId="0" borderId="33" xfId="0" applyNumberFormat="1" applyFont="1" applyBorder="1" applyAlignment="1">
      <alignment horizontal="center" vertical="center" wrapText="1"/>
    </xf>
    <xf numFmtId="2" fontId="65" fillId="3" borderId="33" xfId="0" applyNumberFormat="1" applyFont="1" applyFill="1" applyBorder="1" applyAlignment="1">
      <alignment horizontal="center" vertical="center" wrapText="1"/>
    </xf>
    <xf numFmtId="2" fontId="65" fillId="3" borderId="33" xfId="0" applyNumberFormat="1" applyFont="1" applyFill="1" applyBorder="1" applyAlignment="1">
      <alignment horizontal="left" vertical="center"/>
    </xf>
    <xf numFmtId="0" fontId="55" fillId="2" borderId="25" xfId="0" applyFont="1" applyFill="1" applyBorder="1" applyAlignment="1">
      <alignment horizontal="center" vertical="top" wrapText="1"/>
    </xf>
    <xf numFmtId="0" fontId="55" fillId="2" borderId="26" xfId="0" applyFont="1" applyFill="1" applyBorder="1" applyAlignment="1">
      <alignment horizontal="center" vertical="top" wrapText="1"/>
    </xf>
    <xf numFmtId="0" fontId="65" fillId="2" borderId="0" xfId="1" applyFont="1" applyFill="1" applyAlignment="1">
      <alignment horizontal="center" vertical="center" wrapText="1"/>
    </xf>
    <xf numFmtId="0" fontId="61" fillId="2" borderId="25" xfId="0" applyFont="1" applyFill="1" applyBorder="1" applyAlignment="1">
      <alignment horizontal="center" vertical="top" wrapText="1"/>
    </xf>
    <xf numFmtId="0" fontId="61" fillId="2" borderId="24" xfId="0" applyFont="1" applyFill="1" applyBorder="1" applyAlignment="1">
      <alignment horizontal="center" vertical="top" wrapText="1"/>
    </xf>
    <xf numFmtId="0" fontId="113" fillId="0" borderId="24" xfId="1" applyFont="1" applyBorder="1" applyAlignment="1">
      <alignment horizontal="center" vertical="center" wrapText="1"/>
    </xf>
    <xf numFmtId="164" fontId="65" fillId="3" borderId="105" xfId="0" applyNumberFormat="1" applyFont="1" applyFill="1" applyBorder="1" applyAlignment="1">
      <alignment horizontal="left" vertical="center"/>
    </xf>
    <xf numFmtId="2" fontId="46" fillId="3" borderId="41" xfId="0" applyNumberFormat="1" applyFont="1" applyFill="1" applyBorder="1" applyAlignment="1">
      <alignment horizontal="center" vertical="center" wrapText="1"/>
    </xf>
    <xf numFmtId="2" fontId="65" fillId="3" borderId="41" xfId="0" applyNumberFormat="1" applyFont="1" applyFill="1" applyBorder="1" applyAlignment="1">
      <alignment horizontal="center" vertical="center" wrapText="1"/>
    </xf>
    <xf numFmtId="2" fontId="59" fillId="3" borderId="41" xfId="0" applyNumberFormat="1" applyFont="1" applyFill="1" applyBorder="1" applyAlignment="1">
      <alignment horizontal="center" vertical="center" wrapText="1"/>
    </xf>
    <xf numFmtId="0" fontId="61" fillId="2" borderId="26" xfId="0" applyFont="1" applyFill="1" applyBorder="1" applyAlignment="1">
      <alignment horizontal="center" vertical="top" wrapText="1"/>
    </xf>
    <xf numFmtId="0" fontId="62" fillId="0" borderId="25" xfId="0" applyFont="1" applyBorder="1" applyAlignment="1">
      <alignment horizontal="center" vertical="top" wrapText="1"/>
    </xf>
    <xf numFmtId="0" fontId="62" fillId="0" borderId="26" xfId="0" applyFont="1" applyBorder="1" applyAlignment="1">
      <alignment horizontal="center" vertical="top" wrapText="1"/>
    </xf>
    <xf numFmtId="2" fontId="65" fillId="3" borderId="91" xfId="0" applyNumberFormat="1" applyFont="1" applyFill="1" applyBorder="1" applyAlignment="1">
      <alignment horizontal="center" vertical="center" wrapText="1"/>
    </xf>
    <xf numFmtId="0" fontId="59" fillId="0" borderId="92" xfId="0" applyFont="1" applyBorder="1" applyAlignment="1">
      <alignment horizontal="left" vertical="center"/>
    </xf>
    <xf numFmtId="2" fontId="59" fillId="0" borderId="92" xfId="0" applyNumberFormat="1" applyFont="1" applyBorder="1" applyAlignment="1">
      <alignment horizontal="center" vertical="center"/>
    </xf>
    <xf numFmtId="166" fontId="59" fillId="0" borderId="33" xfId="0" applyNumberFormat="1" applyFont="1" applyBorder="1" applyAlignment="1">
      <alignment horizontal="center" vertical="center" wrapText="1"/>
    </xf>
    <xf numFmtId="0" fontId="65" fillId="3" borderId="113" xfId="0" applyFont="1" applyFill="1" applyBorder="1" applyAlignment="1">
      <alignment horizontal="left" vertical="center"/>
    </xf>
    <xf numFmtId="0" fontId="36" fillId="0" borderId="0" xfId="1" applyFont="1" applyAlignment="1">
      <alignment horizontal="left" vertical="center" wrapText="1"/>
    </xf>
    <xf numFmtId="0" fontId="36" fillId="0" borderId="0" xfId="1" applyFont="1" applyAlignment="1">
      <alignment horizontal="center" vertical="center" wrapText="1"/>
    </xf>
    <xf numFmtId="166" fontId="65" fillId="3" borderId="33" xfId="0" applyNumberFormat="1" applyFont="1" applyFill="1" applyBorder="1" applyAlignment="1">
      <alignment horizontal="center" vertical="center" wrapText="1"/>
    </xf>
    <xf numFmtId="0" fontId="59" fillId="2" borderId="32" xfId="1" applyFont="1" applyFill="1" applyBorder="1" applyAlignment="1">
      <alignment horizontal="left" vertical="center" wrapText="1"/>
    </xf>
    <xf numFmtId="0" fontId="59" fillId="2" borderId="21" xfId="1" applyFont="1" applyFill="1" applyBorder="1" applyAlignment="1">
      <alignment horizontal="left" vertical="center" wrapText="1"/>
    </xf>
    <xf numFmtId="0" fontId="59" fillId="2" borderId="22" xfId="1" applyFont="1" applyFill="1" applyBorder="1" applyAlignment="1">
      <alignment horizontal="left" vertical="center" wrapText="1"/>
    </xf>
    <xf numFmtId="0" fontId="59" fillId="2" borderId="0" xfId="1" applyFont="1" applyFill="1" applyAlignment="1">
      <alignment horizontal="left" vertical="center" wrapText="1"/>
    </xf>
    <xf numFmtId="164" fontId="65" fillId="3" borderId="41" xfId="0" applyNumberFormat="1" applyFont="1" applyFill="1" applyBorder="1" applyAlignment="1">
      <alignment horizontal="center" vertical="center" wrapText="1"/>
    </xf>
    <xf numFmtId="0" fontId="36" fillId="0" borderId="34" xfId="1" applyFont="1" applyBorder="1" applyAlignment="1">
      <alignment horizontal="center" vertical="top" wrapText="1"/>
    </xf>
    <xf numFmtId="2" fontId="65" fillId="3" borderId="113" xfId="0" applyNumberFormat="1" applyFont="1" applyFill="1" applyBorder="1" applyAlignment="1">
      <alignment horizontal="center" vertical="center"/>
    </xf>
    <xf numFmtId="2" fontId="59" fillId="0" borderId="0" xfId="0" applyNumberFormat="1" applyFont="1" applyAlignment="1">
      <alignment horizontal="center" vertical="center"/>
    </xf>
    <xf numFmtId="0" fontId="59" fillId="0" borderId="0" xfId="0" applyFont="1" applyAlignment="1">
      <alignment horizontal="left" vertical="center"/>
    </xf>
    <xf numFmtId="0" fontId="36" fillId="0" borderId="0" xfId="1" applyFont="1" applyAlignment="1">
      <alignment horizontal="center" vertical="center"/>
    </xf>
    <xf numFmtId="2" fontId="59" fillId="0" borderId="0" xfId="0" applyNumberFormat="1" applyFont="1" applyAlignment="1">
      <alignment horizontal="center" vertical="center" wrapText="1"/>
    </xf>
    <xf numFmtId="166" fontId="59" fillId="0" borderId="0" xfId="0" applyNumberFormat="1" applyFont="1" applyAlignment="1">
      <alignment horizontal="center" vertical="center" wrapText="1"/>
    </xf>
    <xf numFmtId="2" fontId="59" fillId="0" borderId="94" xfId="0" applyNumberFormat="1" applyFont="1" applyBorder="1" applyAlignment="1">
      <alignment horizontal="center" vertical="center" wrapText="1"/>
    </xf>
    <xf numFmtId="166" fontId="59" fillId="0" borderId="94" xfId="0" applyNumberFormat="1" applyFont="1" applyBorder="1" applyAlignment="1">
      <alignment horizontal="center" vertical="center" wrapText="1"/>
    </xf>
    <xf numFmtId="0" fontId="59" fillId="0" borderId="95" xfId="0" applyFont="1" applyBorder="1" applyAlignment="1">
      <alignment horizontal="left" vertical="center"/>
    </xf>
    <xf numFmtId="2" fontId="59" fillId="0" borderId="95" xfId="0" applyNumberFormat="1" applyFont="1" applyBorder="1" applyAlignment="1">
      <alignment horizontal="center" vertical="center"/>
    </xf>
    <xf numFmtId="164" fontId="59" fillId="0" borderId="61" xfId="0" applyNumberFormat="1" applyFont="1" applyBorder="1" applyAlignment="1">
      <alignment horizontal="left" vertical="center"/>
    </xf>
    <xf numFmtId="2" fontId="59" fillId="2" borderId="61" xfId="22" applyNumberFormat="1" applyFont="1" applyFill="1" applyBorder="1" applyAlignment="1">
      <alignment horizontal="right"/>
    </xf>
    <xf numFmtId="2" fontId="59" fillId="2" borderId="0" xfId="22" applyNumberFormat="1" applyFont="1" applyFill="1" applyBorder="1" applyAlignment="1">
      <alignment horizontal="right"/>
    </xf>
    <xf numFmtId="0" fontId="55" fillId="2" borderId="25" xfId="1" applyFont="1" applyFill="1" applyBorder="1" applyAlignment="1">
      <alignment horizontal="center" vertical="top" wrapText="1"/>
    </xf>
    <xf numFmtId="0" fontId="55" fillId="2" borderId="24" xfId="1" applyFont="1" applyFill="1" applyBorder="1" applyAlignment="1">
      <alignment horizontal="center" vertical="top" wrapText="1"/>
    </xf>
    <xf numFmtId="0" fontId="59" fillId="2" borderId="61" xfId="0" applyFont="1" applyFill="1" applyBorder="1" applyAlignment="1">
      <alignment horizontal="left" wrapText="1"/>
    </xf>
    <xf numFmtId="0" fontId="55" fillId="2" borderId="26" xfId="1" applyFont="1" applyFill="1" applyBorder="1" applyAlignment="1">
      <alignment horizontal="center" vertical="top" wrapText="1"/>
    </xf>
    <xf numFmtId="164" fontId="40" fillId="0" borderId="34" xfId="0" applyNumberFormat="1" applyFont="1" applyBorder="1" applyAlignment="1">
      <alignment horizontal="center" vertical="center"/>
    </xf>
    <xf numFmtId="164" fontId="40" fillId="0" borderId="40" xfId="0" applyNumberFormat="1" applyFont="1" applyBorder="1" applyAlignment="1">
      <alignment horizontal="center" vertical="center"/>
    </xf>
    <xf numFmtId="0" fontId="49" fillId="2" borderId="35" xfId="1" applyFont="1" applyFill="1" applyBorder="1" applyAlignment="1">
      <alignment horizontal="center" vertical="center" wrapText="1"/>
    </xf>
    <xf numFmtId="0" fontId="49" fillId="2" borderId="34" xfId="1" applyFont="1" applyFill="1" applyBorder="1" applyAlignment="1">
      <alignment horizontal="center" vertical="center" wrapText="1"/>
    </xf>
    <xf numFmtId="0" fontId="49" fillId="2" borderId="40" xfId="1" applyFont="1" applyFill="1" applyBorder="1" applyAlignment="1">
      <alignment horizontal="center" vertical="center" wrapText="1"/>
    </xf>
    <xf numFmtId="0" fontId="55" fillId="2" borderId="25" xfId="1" applyFont="1" applyFill="1" applyBorder="1" applyAlignment="1">
      <alignment horizontal="center" vertical="center" wrapText="1"/>
    </xf>
    <xf numFmtId="0" fontId="55" fillId="2" borderId="26" xfId="1" applyFont="1" applyFill="1" applyBorder="1" applyAlignment="1">
      <alignment horizontal="center" vertical="center" wrapText="1"/>
    </xf>
    <xf numFmtId="2" fontId="65" fillId="3" borderId="25" xfId="1" applyNumberFormat="1" applyFont="1" applyFill="1" applyBorder="1" applyAlignment="1">
      <alignment horizontal="right" vertical="center" wrapText="1"/>
    </xf>
    <xf numFmtId="2" fontId="65" fillId="3" borderId="26" xfId="1" applyNumberFormat="1" applyFont="1" applyFill="1" applyBorder="1" applyAlignment="1">
      <alignment horizontal="right" vertical="center" wrapText="1"/>
    </xf>
    <xf numFmtId="0" fontId="61" fillId="2" borderId="0" xfId="1" applyFont="1" applyFill="1" applyAlignment="1">
      <alignment horizontal="center" vertical="center" wrapText="1"/>
    </xf>
    <xf numFmtId="0" fontId="59" fillId="3" borderId="24" xfId="0" applyFont="1" applyFill="1" applyBorder="1" applyAlignment="1">
      <alignment horizontal="left" wrapText="1"/>
    </xf>
    <xf numFmtId="0" fontId="59" fillId="3" borderId="26" xfId="0" applyFont="1" applyFill="1" applyBorder="1" applyAlignment="1">
      <alignment horizontal="left" wrapText="1"/>
    </xf>
    <xf numFmtId="0" fontId="59" fillId="2" borderId="64" xfId="0" applyFont="1" applyFill="1" applyBorder="1" applyAlignment="1">
      <alignment horizontal="left" wrapText="1"/>
    </xf>
    <xf numFmtId="2" fontId="59" fillId="2" borderId="64" xfId="22" applyNumberFormat="1" applyFont="1" applyFill="1" applyBorder="1" applyAlignment="1">
      <alignment horizontal="right"/>
    </xf>
    <xf numFmtId="0" fontId="59" fillId="2" borderId="22" xfId="1" applyFont="1" applyFill="1" applyBorder="1" applyAlignment="1">
      <alignment horizontal="left" vertical="top" wrapText="1"/>
    </xf>
    <xf numFmtId="164" fontId="65" fillId="3" borderId="60" xfId="0" applyNumberFormat="1" applyFont="1" applyFill="1" applyBorder="1" applyAlignment="1">
      <alignment horizontal="left" vertical="center"/>
    </xf>
    <xf numFmtId="0" fontId="122" fillId="0" borderId="104" xfId="0" applyFont="1" applyBorder="1" applyAlignment="1">
      <alignment horizontal="left" vertical="center"/>
    </xf>
    <xf numFmtId="0" fontId="123" fillId="0" borderId="107" xfId="0" applyFont="1" applyBorder="1" applyAlignment="1">
      <alignment horizontal="left" vertical="center"/>
    </xf>
    <xf numFmtId="0" fontId="123" fillId="0" borderId="106" xfId="0" applyFont="1" applyBorder="1" applyAlignment="1">
      <alignment horizontal="left" vertical="center"/>
    </xf>
    <xf numFmtId="164" fontId="65" fillId="0" borderId="34" xfId="0" applyNumberFormat="1" applyFont="1" applyBorder="1" applyAlignment="1">
      <alignment horizontal="center" vertical="center"/>
    </xf>
    <xf numFmtId="0" fontId="36" fillId="2" borderId="0" xfId="1" applyFont="1" applyFill="1" applyAlignment="1">
      <alignment horizontal="center" vertical="top" wrapText="1"/>
    </xf>
    <xf numFmtId="0" fontId="59" fillId="0" borderId="61" xfId="0" applyFont="1" applyBorder="1" applyAlignment="1">
      <alignment horizontal="left" vertical="center"/>
    </xf>
    <xf numFmtId="2" fontId="59" fillId="0" borderId="61" xfId="0" applyNumberFormat="1" applyFont="1" applyBorder="1" applyAlignment="1">
      <alignment horizontal="center" vertical="center" wrapText="1"/>
    </xf>
    <xf numFmtId="0" fontId="61" fillId="2" borderId="35" xfId="0" applyFont="1" applyFill="1" applyBorder="1" applyAlignment="1">
      <alignment horizontal="center" vertical="center"/>
    </xf>
    <xf numFmtId="0" fontId="61" fillId="2" borderId="34" xfId="0" applyFont="1" applyFill="1" applyBorder="1" applyAlignment="1">
      <alignment horizontal="center" vertical="center"/>
    </xf>
    <xf numFmtId="10" fontId="112" fillId="0" borderId="21" xfId="0" applyNumberFormat="1" applyFont="1" applyBorder="1" applyAlignment="1">
      <alignment horizontal="center" vertical="center"/>
    </xf>
    <xf numFmtId="10" fontId="111" fillId="0" borderId="21" xfId="0" applyNumberFormat="1" applyFont="1" applyBorder="1" applyAlignment="1">
      <alignment horizontal="center" vertical="center"/>
    </xf>
    <xf numFmtId="2" fontId="59" fillId="0" borderId="63" xfId="0" applyNumberFormat="1" applyFont="1" applyBorder="1" applyAlignment="1">
      <alignment horizontal="center" vertical="center" wrapText="1"/>
    </xf>
    <xf numFmtId="2" fontId="65" fillId="0" borderId="33" xfId="0" applyNumberFormat="1" applyFont="1" applyBorder="1" applyAlignment="1">
      <alignment horizontal="center" vertical="center" wrapText="1"/>
    </xf>
    <xf numFmtId="0" fontId="55" fillId="2" borderId="34" xfId="1" applyFont="1" applyFill="1" applyBorder="1" applyAlignment="1">
      <alignment horizontal="center" vertical="center" wrapText="1"/>
    </xf>
    <xf numFmtId="0" fontId="74" fillId="2" borderId="0" xfId="1" applyFont="1" applyFill="1" applyAlignment="1">
      <alignment horizontal="left" wrapText="1"/>
    </xf>
    <xf numFmtId="0" fontId="65" fillId="0" borderId="60" xfId="0" applyFont="1" applyBorder="1" applyAlignment="1">
      <alignment horizontal="left" vertical="center"/>
    </xf>
    <xf numFmtId="0" fontId="59" fillId="0" borderId="60" xfId="0" applyFont="1" applyBorder="1" applyAlignment="1">
      <alignment horizontal="left" vertical="center"/>
    </xf>
    <xf numFmtId="2" fontId="59" fillId="0" borderId="41" xfId="0" applyNumberFormat="1" applyFont="1" applyBorder="1" applyAlignment="1">
      <alignment horizontal="center" vertical="center" wrapText="1"/>
    </xf>
    <xf numFmtId="0" fontId="61" fillId="2" borderId="34" xfId="1" applyFont="1" applyFill="1" applyBorder="1" applyAlignment="1">
      <alignment horizontal="center" vertical="center" wrapText="1"/>
    </xf>
    <xf numFmtId="2" fontId="65" fillId="0" borderId="60" xfId="0" applyNumberFormat="1" applyFont="1" applyBorder="1" applyAlignment="1">
      <alignment horizontal="center" vertical="center" wrapText="1"/>
    </xf>
    <xf numFmtId="2" fontId="59" fillId="0" borderId="60" xfId="0" applyNumberFormat="1" applyFont="1" applyBorder="1" applyAlignment="1">
      <alignment horizontal="center" vertical="center" wrapText="1"/>
    </xf>
    <xf numFmtId="0" fontId="15" fillId="0" borderId="0" xfId="0" applyFont="1" applyAlignment="1">
      <alignment horizontal="center" vertical="center" wrapText="1"/>
    </xf>
    <xf numFmtId="0" fontId="15" fillId="0" borderId="14" xfId="0" applyFont="1" applyBorder="1" applyAlignment="1">
      <alignment horizontal="center" vertical="center" wrapText="1"/>
    </xf>
    <xf numFmtId="0" fontId="21" fillId="0" borderId="0" xfId="0" applyFont="1" applyAlignment="1">
      <alignment horizontal="left" vertical="top"/>
    </xf>
    <xf numFmtId="0" fontId="32" fillId="0" borderId="0" xfId="0" applyFont="1" applyAlignment="1">
      <alignment horizontal="left" vertical="center" indent="1"/>
    </xf>
    <xf numFmtId="164" fontId="10" fillId="2" borderId="83" xfId="24" applyNumberFormat="1" applyFont="1" applyFill="1" applyBorder="1" applyAlignment="1">
      <alignment horizontal="center" vertical="center" wrapText="1"/>
    </xf>
    <xf numFmtId="0" fontId="88" fillId="2" borderId="82" xfId="24" applyFont="1" applyFill="1" applyBorder="1"/>
    <xf numFmtId="0" fontId="22" fillId="2" borderId="0" xfId="24" applyFont="1" applyFill="1" applyAlignment="1">
      <alignment horizontal="left" vertical="top"/>
    </xf>
    <xf numFmtId="164" fontId="105" fillId="3" borderId="85" xfId="24" applyNumberFormat="1" applyFont="1" applyFill="1" applyBorder="1" applyAlignment="1">
      <alignment horizontal="center" vertical="center" wrapText="1"/>
    </xf>
    <xf numFmtId="2" fontId="105" fillId="3" borderId="85" xfId="24" applyNumberFormat="1" applyFont="1" applyFill="1" applyBorder="1" applyAlignment="1">
      <alignment horizontal="center" vertical="center" wrapText="1"/>
    </xf>
    <xf numFmtId="0" fontId="87" fillId="2" borderId="82" xfId="24" applyFont="1" applyFill="1" applyBorder="1"/>
    <xf numFmtId="10" fontId="10" fillId="2" borderId="82" xfId="24" applyNumberFormat="1" applyFont="1" applyFill="1" applyBorder="1" applyAlignment="1">
      <alignment horizontal="left" vertical="top" wrapText="1"/>
    </xf>
    <xf numFmtId="10" fontId="10" fillId="2" borderId="89" xfId="24" applyNumberFormat="1" applyFont="1" applyFill="1" applyBorder="1" applyAlignment="1">
      <alignment horizontal="left" vertical="top" wrapText="1"/>
    </xf>
    <xf numFmtId="2" fontId="105" fillId="3" borderId="85" xfId="24" applyNumberFormat="1" applyFont="1" applyFill="1" applyBorder="1" applyAlignment="1">
      <alignment horizontal="center" vertical="top" wrapText="1"/>
    </xf>
    <xf numFmtId="2" fontId="10" fillId="2" borderId="83" xfId="24" applyNumberFormat="1" applyFont="1" applyFill="1" applyBorder="1" applyAlignment="1">
      <alignment horizontal="center" vertical="center" wrapText="1"/>
    </xf>
    <xf numFmtId="2" fontId="11" fillId="2" borderId="83" xfId="24" applyNumberFormat="1" applyFont="1" applyFill="1" applyBorder="1" applyAlignment="1">
      <alignment horizontal="center" vertical="center" wrapText="1"/>
    </xf>
    <xf numFmtId="0" fontId="88" fillId="2" borderId="88" xfId="24" applyFont="1" applyFill="1" applyBorder="1"/>
    <xf numFmtId="10" fontId="10" fillId="2" borderId="81" xfId="24" applyNumberFormat="1" applyFont="1" applyFill="1" applyBorder="1" applyAlignment="1">
      <alignment horizontal="left" vertical="top" wrapText="1"/>
    </xf>
    <xf numFmtId="0" fontId="10" fillId="2" borderId="82" xfId="24" applyFont="1" applyFill="1" applyBorder="1" applyAlignment="1">
      <alignment horizontal="left" vertical="top" wrapText="1"/>
    </xf>
    <xf numFmtId="0" fontId="10" fillId="2" borderId="84" xfId="24" applyFont="1" applyFill="1" applyBorder="1" applyAlignment="1">
      <alignment horizontal="left" vertical="top" wrapText="1"/>
    </xf>
    <xf numFmtId="0" fontId="10" fillId="2" borderId="0" xfId="24" applyFont="1" applyFill="1" applyAlignment="1">
      <alignment horizontal="left" vertical="top" wrapText="1"/>
    </xf>
    <xf numFmtId="0" fontId="87" fillId="2" borderId="88" xfId="24" applyFont="1" applyFill="1" applyBorder="1"/>
    <xf numFmtId="0" fontId="14" fillId="2" borderId="75" xfId="24" applyFont="1" applyFill="1" applyBorder="1" applyAlignment="1">
      <alignment horizontal="left" wrapText="1"/>
    </xf>
    <xf numFmtId="0" fontId="14" fillId="2" borderId="76" xfId="24" applyFont="1" applyFill="1" applyBorder="1" applyAlignment="1">
      <alignment horizontal="left" wrapText="1"/>
    </xf>
    <xf numFmtId="0" fontId="14" fillId="2" borderId="78" xfId="24" applyFont="1" applyFill="1" applyBorder="1" applyAlignment="1">
      <alignment horizontal="left" wrapText="1"/>
    </xf>
    <xf numFmtId="0" fontId="104" fillId="2" borderId="79" xfId="24" applyFont="1" applyFill="1" applyBorder="1" applyAlignment="1">
      <alignment horizontal="center" vertical="center" wrapText="1"/>
    </xf>
    <xf numFmtId="0" fontId="104" fillId="2" borderId="80" xfId="24" applyFont="1" applyFill="1" applyBorder="1" applyAlignment="1">
      <alignment horizontal="center" vertical="center" wrapText="1"/>
    </xf>
    <xf numFmtId="10" fontId="104" fillId="2" borderId="80" xfId="24" applyNumberFormat="1" applyFont="1" applyFill="1" applyBorder="1" applyAlignment="1">
      <alignment horizontal="center" vertical="center" wrapText="1"/>
    </xf>
    <xf numFmtId="10" fontId="10" fillId="2" borderId="81" xfId="24" applyNumberFormat="1" applyFont="1" applyFill="1" applyBorder="1" applyAlignment="1">
      <alignment horizontal="left" vertical="center" wrapText="1"/>
    </xf>
    <xf numFmtId="0" fontId="10" fillId="2" borderId="82" xfId="24" applyFont="1" applyFill="1" applyBorder="1" applyAlignment="1">
      <alignment horizontal="left" vertical="center" wrapText="1"/>
    </xf>
    <xf numFmtId="0" fontId="10" fillId="2" borderId="84" xfId="24" applyFont="1" applyFill="1" applyBorder="1" applyAlignment="1">
      <alignment horizontal="left" vertical="center" wrapText="1"/>
    </xf>
    <xf numFmtId="0" fontId="10" fillId="2" borderId="0" xfId="24" applyFont="1" applyFill="1" applyAlignment="1">
      <alignment horizontal="left" vertical="center" wrapText="1"/>
    </xf>
    <xf numFmtId="2" fontId="107" fillId="2" borderId="83" xfId="24" applyNumberFormat="1" applyFont="1" applyFill="1" applyBorder="1" applyAlignment="1">
      <alignment horizontal="center" vertical="center" wrapText="1"/>
    </xf>
    <xf numFmtId="0" fontId="15" fillId="2" borderId="76" xfId="24" applyFont="1" applyFill="1" applyBorder="1" applyAlignment="1">
      <alignment horizontal="right" wrapText="1"/>
    </xf>
    <xf numFmtId="0" fontId="15" fillId="2" borderId="78" xfId="24" applyFont="1" applyFill="1" applyBorder="1" applyAlignment="1">
      <alignment horizontal="right" wrapText="1"/>
    </xf>
    <xf numFmtId="0" fontId="10" fillId="2" borderId="86" xfId="24" applyFont="1" applyFill="1" applyBorder="1" applyAlignment="1">
      <alignment horizontal="left" vertical="top" wrapText="1"/>
    </xf>
    <xf numFmtId="0" fontId="10" fillId="2" borderId="87" xfId="24" applyFont="1" applyFill="1" applyBorder="1" applyAlignment="1">
      <alignment horizontal="left" vertical="top" wrapText="1"/>
    </xf>
    <xf numFmtId="10" fontId="16" fillId="2" borderId="74" xfId="24" applyNumberFormat="1" applyFont="1" applyFill="1" applyBorder="1" applyAlignment="1">
      <alignment horizontal="center" vertical="top" wrapText="1"/>
    </xf>
    <xf numFmtId="0" fontId="16" fillId="2" borderId="74" xfId="24" applyFont="1" applyFill="1" applyBorder="1" applyAlignment="1">
      <alignment horizontal="center" vertical="top" wrapText="1"/>
    </xf>
    <xf numFmtId="4" fontId="16" fillId="2" borderId="74" xfId="24" applyNumberFormat="1" applyFont="1" applyFill="1" applyBorder="1" applyAlignment="1">
      <alignment horizontal="center" vertical="top" wrapText="1"/>
    </xf>
    <xf numFmtId="10" fontId="102" fillId="2" borderId="74" xfId="24" applyNumberFormat="1" applyFont="1" applyFill="1" applyBorder="1" applyAlignment="1">
      <alignment horizontal="center" vertical="top" wrapText="1"/>
    </xf>
    <xf numFmtId="0" fontId="102" fillId="2" borderId="74" xfId="24" applyFont="1" applyFill="1" applyBorder="1" applyAlignment="1">
      <alignment horizontal="center" vertical="top" wrapText="1"/>
    </xf>
    <xf numFmtId="10" fontId="103" fillId="2" borderId="74" xfId="24" applyNumberFormat="1" applyFont="1" applyFill="1" applyBorder="1" applyAlignment="1">
      <alignment horizontal="center" vertical="top" wrapText="1"/>
    </xf>
    <xf numFmtId="0" fontId="103" fillId="2" borderId="74" xfId="24" applyFont="1" applyFill="1" applyBorder="1" applyAlignment="1">
      <alignment horizontal="center" vertical="top" wrapText="1"/>
    </xf>
    <xf numFmtId="0" fontId="94" fillId="2" borderId="4" xfId="24" applyFont="1" applyFill="1" applyBorder="1" applyAlignment="1">
      <alignment horizontal="center" vertical="center" wrapText="1"/>
    </xf>
    <xf numFmtId="10" fontId="96" fillId="2" borderId="0" xfId="24" applyNumberFormat="1" applyFont="1" applyFill="1" applyAlignment="1">
      <alignment horizontal="center" vertical="center" wrapText="1"/>
    </xf>
    <xf numFmtId="4" fontId="97" fillId="2" borderId="0" xfId="24" applyNumberFormat="1" applyFont="1" applyFill="1" applyAlignment="1">
      <alignment horizontal="center" vertical="center" wrapText="1"/>
    </xf>
    <xf numFmtId="10" fontId="98" fillId="2" borderId="0" xfId="22" applyNumberFormat="1" applyFont="1" applyFill="1" applyBorder="1" applyAlignment="1">
      <alignment horizontal="center" vertical="center" wrapText="1"/>
    </xf>
    <xf numFmtId="4" fontId="98" fillId="2" borderId="0" xfId="24" applyNumberFormat="1" applyFont="1" applyFill="1" applyAlignment="1">
      <alignment horizontal="center" vertical="center" wrapText="1"/>
    </xf>
    <xf numFmtId="14" fontId="91" fillId="2" borderId="74" xfId="24" applyNumberFormat="1" applyFont="1" applyFill="1" applyBorder="1" applyAlignment="1">
      <alignment horizontal="left" vertical="top" wrapText="1"/>
    </xf>
    <xf numFmtId="0" fontId="91" fillId="2" borderId="74" xfId="24" applyFont="1" applyFill="1" applyBorder="1" applyAlignment="1">
      <alignment horizontal="left" vertical="top" wrapText="1"/>
    </xf>
    <xf numFmtId="4" fontId="91" fillId="2" borderId="74" xfId="24" applyNumberFormat="1" applyFont="1" applyFill="1" applyBorder="1" applyAlignment="1">
      <alignment horizontal="left" vertical="top" wrapText="1"/>
    </xf>
    <xf numFmtId="0" fontId="91" fillId="2" borderId="0" xfId="24" applyFont="1" applyFill="1" applyAlignment="1">
      <alignment horizontal="right" vertical="top" wrapText="1"/>
    </xf>
    <xf numFmtId="4" fontId="91" fillId="2" borderId="0" xfId="24" applyNumberFormat="1" applyFont="1" applyFill="1" applyAlignment="1">
      <alignment horizontal="right" vertical="top" wrapText="1"/>
    </xf>
    <xf numFmtId="0" fontId="14" fillId="2" borderId="5" xfId="24" applyFont="1" applyFill="1" applyBorder="1" applyAlignment="1">
      <alignment horizontal="left" wrapText="1"/>
    </xf>
    <xf numFmtId="0" fontId="14" fillId="2" borderId="77" xfId="24" applyFont="1" applyFill="1" applyBorder="1" applyAlignment="1">
      <alignment horizontal="left" wrapText="1"/>
    </xf>
    <xf numFmtId="0" fontId="124" fillId="0" borderId="0" xfId="0" applyFont="1" applyAlignment="1">
      <alignment horizontal="left"/>
    </xf>
    <xf numFmtId="2" fontId="122" fillId="0" borderId="0" xfId="0" applyNumberFormat="1" applyFont="1" applyAlignment="1">
      <alignment horizontal="left" vertical="center"/>
    </xf>
    <xf numFmtId="0" fontId="0" fillId="0" borderId="0" xfId="0" applyAlignment="1">
      <alignment horizontal="center"/>
    </xf>
    <xf numFmtId="0" fontId="122" fillId="0" borderId="0" xfId="0" applyFont="1" applyAlignment="1">
      <alignment horizontal="center"/>
    </xf>
    <xf numFmtId="0" fontId="59" fillId="2" borderId="34" xfId="1" applyFont="1" applyFill="1" applyBorder="1" applyAlignment="1">
      <alignment horizontal="center" vertical="center" wrapText="1"/>
    </xf>
    <xf numFmtId="164" fontId="59" fillId="0" borderId="109" xfId="0" applyNumberFormat="1" applyFont="1" applyBorder="1" applyAlignment="1">
      <alignment vertical="center"/>
    </xf>
    <xf numFmtId="164" fontId="59" fillId="0" borderId="108" xfId="0" applyNumberFormat="1" applyFont="1" applyBorder="1" applyAlignment="1">
      <alignment vertical="center"/>
    </xf>
    <xf numFmtId="164" fontId="59" fillId="0" borderId="113" xfId="0" applyNumberFormat="1" applyFont="1" applyBorder="1" applyAlignment="1">
      <alignment vertical="center"/>
    </xf>
    <xf numFmtId="164" fontId="59" fillId="0" borderId="112" xfId="0" applyNumberFormat="1" applyFont="1" applyBorder="1" applyAlignment="1">
      <alignment vertical="center"/>
    </xf>
    <xf numFmtId="164" fontId="59" fillId="0" borderId="111" xfId="0" applyNumberFormat="1" applyFont="1" applyBorder="1" applyAlignment="1">
      <alignment vertical="center"/>
    </xf>
    <xf numFmtId="164" fontId="59" fillId="0" borderId="110" xfId="0" applyNumberFormat="1" applyFont="1" applyBorder="1" applyAlignment="1">
      <alignment vertical="center"/>
    </xf>
    <xf numFmtId="164" fontId="59" fillId="0" borderId="41" xfId="0" applyNumberFormat="1" applyFont="1" applyBorder="1" applyAlignment="1">
      <alignment vertical="center"/>
    </xf>
    <xf numFmtId="164" fontId="59" fillId="0" borderId="45" xfId="0" applyNumberFormat="1" applyFont="1" applyBorder="1" applyAlignment="1">
      <alignment vertical="center"/>
    </xf>
    <xf numFmtId="164" fontId="55" fillId="0" borderId="34" xfId="0" applyNumberFormat="1" applyFont="1" applyBorder="1" applyAlignment="1">
      <alignment horizontal="center" vertical="center" wrapText="1"/>
    </xf>
    <xf numFmtId="10" fontId="59" fillId="0" borderId="33" xfId="0" applyNumberFormat="1" applyFont="1" applyBorder="1" applyAlignment="1">
      <alignment horizontal="left" vertical="center"/>
    </xf>
    <xf numFmtId="0" fontId="59" fillId="2" borderId="0" xfId="0" applyFont="1" applyFill="1" applyAlignment="1">
      <alignment horizontal="center" vertical="top" wrapText="1"/>
    </xf>
    <xf numFmtId="0" fontId="59" fillId="2" borderId="34" xfId="0" applyFont="1" applyFill="1" applyBorder="1" applyAlignment="1">
      <alignment horizontal="center" vertical="top" wrapText="1"/>
    </xf>
    <xf numFmtId="0" fontId="59" fillId="3" borderId="0" xfId="0" applyFont="1" applyFill="1" applyAlignment="1">
      <alignment horizontal="center" vertical="top" wrapText="1"/>
    </xf>
    <xf numFmtId="0" fontId="59" fillId="3" borderId="34" xfId="0" applyFont="1" applyFill="1" applyBorder="1" applyAlignment="1">
      <alignment horizontal="center" vertical="top" wrapText="1"/>
    </xf>
    <xf numFmtId="0" fontId="109" fillId="0" borderId="35" xfId="0" applyFont="1" applyBorder="1" applyAlignment="1">
      <alignment horizontal="left" vertical="top" wrapText="1"/>
    </xf>
    <xf numFmtId="0" fontId="109" fillId="0" borderId="34" xfId="0" applyFont="1" applyBorder="1" applyAlignment="1">
      <alignment horizontal="left" vertical="top" wrapText="1"/>
    </xf>
    <xf numFmtId="0" fontId="59" fillId="0" borderId="0" xfId="0" applyFont="1" applyAlignment="1">
      <alignment horizontal="center" vertical="top" wrapText="1"/>
    </xf>
    <xf numFmtId="0" fontId="59" fillId="0" borderId="34" xfId="0" applyFont="1" applyBorder="1" applyAlignment="1">
      <alignment horizontal="center" vertical="top" wrapText="1"/>
    </xf>
    <xf numFmtId="164" fontId="65" fillId="0" borderId="34" xfId="0" applyNumberFormat="1" applyFont="1" applyBorder="1" applyAlignment="1">
      <alignment vertical="center" wrapText="1"/>
    </xf>
    <xf numFmtId="10" fontId="73" fillId="0" borderId="41" xfId="0" applyNumberFormat="1" applyFont="1" applyBorder="1" applyAlignment="1">
      <alignment horizontal="left" vertical="center" wrapText="1"/>
    </xf>
    <xf numFmtId="0" fontId="50" fillId="2" borderId="0" xfId="1" applyFont="1" applyFill="1" applyAlignment="1">
      <alignment horizontal="center" vertical="center" wrapText="1"/>
    </xf>
    <xf numFmtId="0" fontId="58" fillId="2" borderId="0" xfId="1" applyFont="1" applyFill="1" applyAlignment="1">
      <alignment horizontal="center" vertical="center" wrapText="1"/>
    </xf>
    <xf numFmtId="2" fontId="59" fillId="0" borderId="42" xfId="0" applyNumberFormat="1" applyFont="1" applyBorder="1" applyAlignment="1">
      <alignment horizontal="center" vertical="center" wrapText="1"/>
    </xf>
    <xf numFmtId="10" fontId="65" fillId="0" borderId="41" xfId="0" applyNumberFormat="1" applyFont="1" applyBorder="1" applyAlignment="1">
      <alignment horizontal="center" vertical="center" wrapText="1"/>
    </xf>
    <xf numFmtId="2" fontId="55" fillId="3" borderId="42" xfId="0" applyNumberFormat="1" applyFont="1" applyFill="1" applyBorder="1" applyAlignment="1">
      <alignment horizontal="center" vertical="center" wrapText="1"/>
    </xf>
    <xf numFmtId="10" fontId="115" fillId="3" borderId="41" xfId="0" applyNumberFormat="1" applyFont="1" applyFill="1" applyBorder="1" applyAlignment="1">
      <alignment horizontal="center" vertical="center" wrapText="1"/>
    </xf>
    <xf numFmtId="10" fontId="65" fillId="0" borderId="91" xfId="0" applyNumberFormat="1" applyFont="1" applyBorder="1" applyAlignment="1">
      <alignment horizontal="center" vertical="center" wrapText="1"/>
    </xf>
    <xf numFmtId="10" fontId="115" fillId="0" borderId="41" xfId="0" applyNumberFormat="1" applyFont="1" applyBorder="1" applyAlignment="1">
      <alignment horizontal="center" vertical="center" wrapText="1"/>
    </xf>
    <xf numFmtId="2" fontId="55" fillId="0" borderId="42" xfId="0" applyNumberFormat="1" applyFont="1" applyBorder="1" applyAlignment="1">
      <alignment horizontal="center" vertical="center" wrapText="1"/>
    </xf>
    <xf numFmtId="0" fontId="60" fillId="0" borderId="0" xfId="0" applyFont="1" applyAlignment="1">
      <alignment horizontal="left" vertical="center"/>
    </xf>
    <xf numFmtId="0" fontId="59" fillId="2" borderId="0" xfId="0" applyFont="1" applyFill="1" applyAlignment="1">
      <alignment vertical="center" wrapText="1"/>
    </xf>
    <xf numFmtId="0" fontId="49" fillId="7" borderId="0" xfId="1" applyFont="1" applyFill="1" applyAlignment="1">
      <alignment horizontal="center" vertical="top" wrapText="1"/>
    </xf>
    <xf numFmtId="0" fontId="24" fillId="5" borderId="0" xfId="1" applyFont="1" applyFill="1" applyAlignment="1">
      <alignment horizontal="center" vertical="center" wrapText="1"/>
    </xf>
    <xf numFmtId="0" fontId="24" fillId="5" borderId="0" xfId="1" applyFont="1" applyFill="1" applyAlignment="1">
      <alignment horizontal="center" vertical="center" textRotation="90"/>
    </xf>
    <xf numFmtId="0" fontId="55" fillId="2" borderId="36" xfId="1" applyFont="1" applyFill="1" applyBorder="1" applyAlignment="1">
      <alignment horizontal="center" vertical="center" wrapText="1"/>
    </xf>
    <xf numFmtId="0" fontId="55" fillId="2" borderId="0" xfId="1" applyFont="1" applyFill="1" applyAlignment="1">
      <alignment horizontal="center" vertical="center" wrapText="1"/>
    </xf>
    <xf numFmtId="0" fontId="55" fillId="2" borderId="66" xfId="1" applyFont="1" applyFill="1" applyBorder="1" applyAlignment="1">
      <alignment horizontal="center" vertical="center" wrapText="1"/>
    </xf>
    <xf numFmtId="0" fontId="55" fillId="2" borderId="60" xfId="1" applyFont="1" applyFill="1" applyBorder="1" applyAlignment="1">
      <alignment horizontal="center" vertical="center" wrapText="1"/>
    </xf>
    <xf numFmtId="10" fontId="55" fillId="2" borderId="36" xfId="1" applyNumberFormat="1" applyFont="1" applyFill="1" applyBorder="1" applyAlignment="1">
      <alignment horizontal="center" vertical="center" wrapText="1"/>
    </xf>
    <xf numFmtId="10" fontId="55" fillId="2" borderId="37" xfId="1" applyNumberFormat="1" applyFont="1" applyFill="1" applyBorder="1" applyAlignment="1">
      <alignment horizontal="center" vertical="center" wrapText="1"/>
    </xf>
    <xf numFmtId="10" fontId="55" fillId="2" borderId="44" xfId="1" applyNumberFormat="1" applyFont="1" applyFill="1" applyBorder="1" applyAlignment="1">
      <alignment horizontal="center" vertical="center" wrapText="1"/>
    </xf>
    <xf numFmtId="10" fontId="55" fillId="2" borderId="45" xfId="1" applyNumberFormat="1" applyFont="1" applyFill="1" applyBorder="1" applyAlignment="1">
      <alignment horizontal="center" vertical="center" wrapText="1"/>
    </xf>
    <xf numFmtId="0" fontId="55" fillId="2" borderId="37" xfId="1" applyFont="1" applyFill="1" applyBorder="1" applyAlignment="1">
      <alignment horizontal="center" vertical="center" wrapText="1"/>
    </xf>
    <xf numFmtId="0" fontId="55" fillId="2" borderId="44" xfId="1" applyFont="1" applyFill="1" applyBorder="1" applyAlignment="1">
      <alignment horizontal="center" vertical="center" wrapText="1"/>
    </xf>
    <xf numFmtId="0" fontId="55" fillId="2" borderId="45" xfId="1" applyFont="1" applyFill="1" applyBorder="1" applyAlignment="1">
      <alignment horizontal="center" vertical="center" wrapText="1"/>
    </xf>
    <xf numFmtId="0" fontId="55" fillId="2" borderId="0" xfId="1" applyFont="1" applyFill="1" applyAlignment="1">
      <alignment horizontal="center" vertical="top" wrapText="1"/>
    </xf>
    <xf numFmtId="0" fontId="55" fillId="2" borderId="37" xfId="1" applyFont="1" applyFill="1" applyBorder="1" applyAlignment="1">
      <alignment horizontal="center" vertical="top" wrapText="1"/>
    </xf>
    <xf numFmtId="0" fontId="42" fillId="2" borderId="62" xfId="1" applyFont="1" applyFill="1" applyBorder="1" applyAlignment="1">
      <alignment horizontal="left" vertical="top" wrapText="1"/>
    </xf>
    <xf numFmtId="0" fontId="42" fillId="2" borderId="0" xfId="1" applyFont="1" applyFill="1" applyAlignment="1">
      <alignment horizontal="left" vertical="top" wrapText="1"/>
    </xf>
    <xf numFmtId="2" fontId="59" fillId="0" borderId="61" xfId="0" applyNumberFormat="1" applyFont="1" applyBorder="1" applyAlignment="1">
      <alignment vertical="center" wrapText="1"/>
    </xf>
    <xf numFmtId="2" fontId="59" fillId="0" borderId="60" xfId="0" applyNumberFormat="1" applyFont="1" applyBorder="1" applyAlignment="1">
      <alignment horizontal="left" vertical="center" wrapText="1"/>
    </xf>
    <xf numFmtId="10" fontId="59" fillId="0" borderId="46" xfId="0" applyNumberFormat="1" applyFont="1" applyBorder="1" applyAlignment="1">
      <alignment horizontal="center" vertical="center" wrapText="1"/>
    </xf>
    <xf numFmtId="10" fontId="59" fillId="0" borderId="43" xfId="0" applyNumberFormat="1" applyFont="1" applyBorder="1" applyAlignment="1">
      <alignment horizontal="center" vertical="center" wrapText="1"/>
    </xf>
    <xf numFmtId="1" fontId="59" fillId="0" borderId="46" xfId="0" applyNumberFormat="1" applyFont="1" applyBorder="1" applyAlignment="1">
      <alignment horizontal="center" vertical="center" wrapText="1"/>
    </xf>
    <xf numFmtId="1" fontId="59" fillId="0" borderId="43" xfId="0" applyNumberFormat="1" applyFont="1" applyBorder="1" applyAlignment="1">
      <alignment horizontal="center" vertical="center" wrapText="1"/>
    </xf>
    <xf numFmtId="10" fontId="59" fillId="0" borderId="67" xfId="0" applyNumberFormat="1" applyFont="1" applyBorder="1" applyAlignment="1">
      <alignment horizontal="left" vertical="top"/>
    </xf>
    <xf numFmtId="10" fontId="59" fillId="0" borderId="61" xfId="0" applyNumberFormat="1" applyFont="1" applyBorder="1" applyAlignment="1">
      <alignment horizontal="left" vertical="top"/>
    </xf>
    <xf numFmtId="0" fontId="27" fillId="0" borderId="0" xfId="1" applyFont="1" applyAlignment="1">
      <alignment horizontal="left" vertical="top" wrapText="1"/>
    </xf>
    <xf numFmtId="0" fontId="68" fillId="0" borderId="0" xfId="1" applyFont="1" applyAlignment="1">
      <alignment horizontal="left" vertical="top" wrapText="1"/>
    </xf>
    <xf numFmtId="0" fontId="66" fillId="0" borderId="0" xfId="1" applyFont="1" applyAlignment="1">
      <alignment horizontal="left" vertical="top" wrapText="1"/>
    </xf>
    <xf numFmtId="0" fontId="27" fillId="0" borderId="0" xfId="1" applyFont="1" applyAlignment="1">
      <alignment horizontal="left" vertical="top"/>
    </xf>
    <xf numFmtId="0" fontId="27" fillId="0" borderId="34" xfId="1" applyFont="1" applyBorder="1" applyAlignment="1">
      <alignment horizontal="left" vertical="top" wrapText="1"/>
    </xf>
    <xf numFmtId="0" fontId="79" fillId="0" borderId="0" xfId="1" applyFont="1" applyAlignment="1">
      <alignment horizontal="left" vertical="top" wrapText="1"/>
    </xf>
    <xf numFmtId="0" fontId="79" fillId="0" borderId="34" xfId="1" applyFont="1" applyBorder="1" applyAlignment="1">
      <alignment horizontal="left" vertical="top" wrapText="1"/>
    </xf>
    <xf numFmtId="0" fontId="68" fillId="0" borderId="34" xfId="1" applyFont="1" applyBorder="1" applyAlignment="1">
      <alignment horizontal="left" vertical="top" wrapText="1"/>
    </xf>
    <xf numFmtId="0" fontId="27" fillId="0" borderId="34" xfId="0" applyFont="1" applyBorder="1" applyAlignment="1">
      <alignment horizontal="center"/>
    </xf>
    <xf numFmtId="0" fontId="27" fillId="0" borderId="34" xfId="1" applyFont="1" applyBorder="1" applyAlignment="1">
      <alignment horizontal="center" vertical="top" wrapText="1"/>
    </xf>
    <xf numFmtId="0" fontId="27" fillId="0" borderId="24" xfId="1" applyFont="1" applyBorder="1" applyAlignment="1">
      <alignment horizontal="center" vertical="top" wrapText="1"/>
    </xf>
    <xf numFmtId="0" fontId="27" fillId="0" borderId="24" xfId="1" applyFont="1" applyBorder="1" applyAlignment="1">
      <alignment horizontal="center" vertical="top"/>
    </xf>
    <xf numFmtId="0" fontId="66" fillId="0" borderId="34" xfId="1" applyFont="1" applyBorder="1" applyAlignment="1">
      <alignment horizontal="left" vertical="top" wrapText="1"/>
    </xf>
  </cellXfs>
  <cellStyles count="26">
    <cellStyle name="Comma" xfId="21" builtinId="3"/>
    <cellStyle name="Hyperlink" xfId="23" builtinId="8"/>
    <cellStyle name="Hyperlink 2" xfId="6" xr:uid="{00000000-0005-0000-0000-000002000000}"/>
    <cellStyle name="Normal" xfId="0" builtinId="0"/>
    <cellStyle name="Normal 2" xfId="1" xr:uid="{00000000-0005-0000-0000-000004000000}"/>
    <cellStyle name="Normal 2 2" xfId="2" xr:uid="{00000000-0005-0000-0000-000005000000}"/>
    <cellStyle name="Normal 2 2 2" xfId="7" xr:uid="{00000000-0005-0000-0000-000006000000}"/>
    <cellStyle name="Normal 2 3" xfId="3" xr:uid="{00000000-0005-0000-0000-000007000000}"/>
    <cellStyle name="Normal 2 3 2" xfId="8" xr:uid="{00000000-0005-0000-0000-000008000000}"/>
    <cellStyle name="Normal 2 4" xfId="5" xr:uid="{00000000-0005-0000-0000-000009000000}"/>
    <cellStyle name="Normal 2 4 2" xfId="9" xr:uid="{00000000-0005-0000-0000-00000A000000}"/>
    <cellStyle name="Normal 2 4 3" xfId="24" xr:uid="{00000000-0005-0000-0000-00000B000000}"/>
    <cellStyle name="Normal 2 5" xfId="10" xr:uid="{00000000-0005-0000-0000-00000C000000}"/>
    <cellStyle name="Normal 2 5 2" xfId="11" xr:uid="{00000000-0005-0000-0000-00000D000000}"/>
    <cellStyle name="Normal 2 5 2 2" xfId="12" xr:uid="{00000000-0005-0000-0000-00000E000000}"/>
    <cellStyle name="Normal 2 5 3" xfId="13" xr:uid="{00000000-0005-0000-0000-00000F000000}"/>
    <cellStyle name="Normal 2 6" xfId="14" xr:uid="{00000000-0005-0000-0000-000010000000}"/>
    <cellStyle name="Normal 2 7" xfId="25" xr:uid="{00000000-0005-0000-0000-000011000000}"/>
    <cellStyle name="Normal 3" xfId="4" xr:uid="{00000000-0005-0000-0000-000012000000}"/>
    <cellStyle name="Normal 3 2" xfId="15" xr:uid="{00000000-0005-0000-0000-000013000000}"/>
    <cellStyle name="Normal 4" xfId="16" xr:uid="{00000000-0005-0000-0000-000014000000}"/>
    <cellStyle name="Normal 5" xfId="17" xr:uid="{00000000-0005-0000-0000-000015000000}"/>
    <cellStyle name="Normal 5 2" xfId="18" xr:uid="{00000000-0005-0000-0000-000016000000}"/>
    <cellStyle name="Normal 6" xfId="19" xr:uid="{00000000-0005-0000-0000-000017000000}"/>
    <cellStyle name="Normal 6 2" xfId="20" xr:uid="{00000000-0005-0000-0000-000018000000}"/>
    <cellStyle name="Percent" xfId="22" builtinId="5"/>
  </cellStyles>
  <dxfs count="123">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vertical/>
        <horizontal/>
      </border>
    </dxf>
    <dxf>
      <border>
        <bottom/>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right/>
        <bottom/>
        <vertical/>
        <horizontal/>
      </border>
    </dxf>
    <dxf>
      <fill>
        <patternFill patternType="none">
          <bgColor auto="1"/>
        </patternFill>
      </fill>
      <border>
        <left/>
        <right/>
        <bottom/>
        <vertical/>
        <horizontal/>
      </border>
    </dxf>
    <dxf>
      <fill>
        <patternFill patternType="none">
          <bgColor auto="1"/>
        </patternFill>
      </fill>
      <border>
        <left/>
        <right/>
        <bottom/>
        <vertical/>
        <horizontal/>
      </border>
    </dxf>
    <dxf>
      <fill>
        <patternFill patternType="none">
          <bgColor auto="1"/>
        </patternFill>
      </fill>
      <border>
        <left/>
        <right/>
        <bottom/>
        <vertical/>
        <horizontal/>
      </border>
    </dxf>
    <dxf>
      <font>
        <color rgb="FFFF0000"/>
      </font>
    </dxf>
    <dxf>
      <font>
        <color theme="0"/>
      </font>
    </dxf>
    <dxf>
      <border>
        <left/>
        <right/>
        <bottom/>
        <vertical/>
        <horizontal/>
      </border>
    </dxf>
    <dxf>
      <border>
        <bottom/>
        <vertical/>
        <horizontal/>
      </border>
    </dxf>
    <dxf>
      <font>
        <color theme="0"/>
      </font>
    </dxf>
    <dxf>
      <font>
        <color theme="0"/>
      </font>
      <fill>
        <patternFill patternType="none">
          <bgColor auto="1"/>
        </patternFill>
      </fill>
    </dxf>
    <dxf>
      <border>
        <bottom/>
        <vertical/>
        <horizontal/>
      </border>
    </dxf>
    <dxf>
      <border>
        <left/>
        <right/>
        <top/>
        <bottom/>
        <vertical/>
        <horizontal/>
      </border>
    </dxf>
    <dxf>
      <font>
        <color theme="0"/>
      </font>
      <border>
        <left/>
        <right/>
        <top/>
        <bottom/>
      </border>
    </dxf>
    <dxf>
      <border>
        <bottom/>
        <vertical/>
        <horizontal/>
      </border>
    </dxf>
    <dxf>
      <font>
        <color theme="1"/>
      </font>
    </dxf>
    <dxf>
      <border>
        <bottom/>
        <vertical/>
        <horizontal/>
      </border>
    </dxf>
    <dxf>
      <border>
        <bottom/>
        <vertical/>
        <horizontal/>
      </border>
    </dxf>
    <dxf>
      <border>
        <bottom/>
        <vertical/>
        <horizontal/>
      </border>
    </dxf>
    <dxf>
      <border>
        <bottom/>
        <vertical/>
        <horizontal/>
      </border>
    </dxf>
    <dxf>
      <border>
        <bottom/>
        <vertical/>
        <horizontal/>
      </border>
    </dxf>
    <dxf>
      <border>
        <bottom/>
        <vertical/>
        <horizontal/>
      </border>
    </dxf>
    <dxf>
      <font>
        <color theme="0"/>
      </font>
    </dxf>
    <dxf>
      <font>
        <color theme="0"/>
      </font>
    </dxf>
    <dxf>
      <fill>
        <patternFill>
          <bgColor theme="0" tint="-4.9989318521683403E-2"/>
        </patternFill>
      </fill>
    </dxf>
  </dxfs>
  <tableStyles count="1" defaultTableStyle="TableStyleMedium2" defaultPivotStyle="PivotStyleLight16">
    <tableStyle name="Report Data" pivot="0" count="1" xr9:uid="{00000000-0011-0000-FFFF-FFFF00000000}">
      <tableStyleElement type="firstRowStripe" dxfId="122"/>
    </tableStyle>
  </tableStyles>
  <colors>
    <mruColors>
      <color rgb="FF84A5D2"/>
      <color rgb="FF007E39"/>
      <color rgb="FFCC3300"/>
      <color rgb="FFF2F2F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7.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9.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spPr>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bevelB prst="angle"/>
            </a:sp3d>
          </c:spPr>
          <c:dPt>
            <c:idx val="0"/>
            <c:bubble3D val="0"/>
            <c:explosion val="9"/>
            <c:extLst>
              <c:ext xmlns:c16="http://schemas.microsoft.com/office/drawing/2014/chart" uri="{C3380CC4-5D6E-409C-BE32-E72D297353CC}">
                <c16:uniqueId val="{00000000-3694-424D-80DF-87C1611B57A9}"/>
              </c:ext>
            </c:extLst>
          </c:dPt>
          <c:dPt>
            <c:idx val="1"/>
            <c:bubble3D val="0"/>
            <c:explosion val="36"/>
            <c:extLst>
              <c:ext xmlns:c16="http://schemas.microsoft.com/office/drawing/2014/chart" uri="{C3380CC4-5D6E-409C-BE32-E72D297353CC}">
                <c16:uniqueId val="{00000001-3694-424D-80DF-87C1611B57A9}"/>
              </c:ext>
            </c:extLst>
          </c:dPt>
          <c:dPt>
            <c:idx val="2"/>
            <c:bubble3D val="0"/>
            <c:explosion val="33"/>
            <c:extLst>
              <c:ext xmlns:c16="http://schemas.microsoft.com/office/drawing/2014/chart" uri="{C3380CC4-5D6E-409C-BE32-E72D297353CC}">
                <c16:uniqueId val="{00000002-3694-424D-80DF-87C1611B57A9}"/>
              </c:ext>
            </c:extLst>
          </c:dPt>
          <c:dPt>
            <c:idx val="3"/>
            <c:bubble3D val="0"/>
            <c:explosion val="22"/>
            <c:extLst>
              <c:ext xmlns:c16="http://schemas.microsoft.com/office/drawing/2014/chart" uri="{C3380CC4-5D6E-409C-BE32-E72D297353CC}">
                <c16:uniqueId val="{00000003-3694-424D-80DF-87C1611B57A9}"/>
              </c:ext>
            </c:extLst>
          </c:dPt>
          <c:dPt>
            <c:idx val="4"/>
            <c:bubble3D val="0"/>
            <c:explosion val="13"/>
            <c:extLst>
              <c:ext xmlns:c16="http://schemas.microsoft.com/office/drawing/2014/chart" uri="{C3380CC4-5D6E-409C-BE32-E72D297353CC}">
                <c16:uniqueId val="{00000004-3694-424D-80DF-87C1611B57A9}"/>
              </c:ext>
            </c:extLst>
          </c:dPt>
          <c:dPt>
            <c:idx val="5"/>
            <c:bubble3D val="0"/>
            <c:explosion val="28"/>
            <c:extLst>
              <c:ext xmlns:c16="http://schemas.microsoft.com/office/drawing/2014/chart" uri="{C3380CC4-5D6E-409C-BE32-E72D297353CC}">
                <c16:uniqueId val="{00000005-3694-424D-80DF-87C1611B57A9}"/>
              </c:ext>
            </c:extLst>
          </c:dPt>
          <c:dPt>
            <c:idx val="6"/>
            <c:bubble3D val="0"/>
            <c:explosion val="12"/>
            <c:extLst>
              <c:ext xmlns:c16="http://schemas.microsoft.com/office/drawing/2014/chart" uri="{C3380CC4-5D6E-409C-BE32-E72D297353CC}">
                <c16:uniqueId val="{00000006-3694-424D-80DF-87C1611B57A9}"/>
              </c:ext>
            </c:extLst>
          </c:dPt>
          <c:dLbls>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SUMMARY_DATA!$A$30:$A$49</c:f>
              <c:strCache>
                <c:ptCount val="8"/>
                <c:pt idx="0">
                  <c:v>Multi Strategy</c:v>
                </c:pt>
                <c:pt idx="1">
                  <c:v>Relative Value</c:v>
                </c:pt>
                <c:pt idx="2">
                  <c:v>Global Macro</c:v>
                </c:pt>
                <c:pt idx="3">
                  <c:v>Dockside</c:v>
                </c:pt>
                <c:pt idx="4">
                  <c:v>Equity Long Short</c:v>
                </c:pt>
                <c:pt idx="5">
                  <c:v>Credit</c:v>
                </c:pt>
                <c:pt idx="6">
                  <c:v>Specialty Finance</c:v>
                </c:pt>
                <c:pt idx="7">
                  <c:v>Coinvests</c:v>
                </c:pt>
              </c:strCache>
            </c:strRef>
          </c:cat>
          <c:val>
            <c:numRef>
              <c:f>SUMMARY_DATA!$B$30:$B$49</c:f>
              <c:numCache>
                <c:formatCode>General</c:formatCode>
                <c:ptCount val="20"/>
                <c:pt idx="0">
                  <c:v>29.910413520474709</c:v>
                </c:pt>
                <c:pt idx="1">
                  <c:v>19.285614181228112</c:v>
                </c:pt>
                <c:pt idx="2">
                  <c:v>14.563052203855554</c:v>
                </c:pt>
                <c:pt idx="3">
                  <c:v>13.58995647854081</c:v>
                </c:pt>
                <c:pt idx="4">
                  <c:v>8.6928087975345498</c:v>
                </c:pt>
                <c:pt idx="5">
                  <c:v>6.6920935905961025</c:v>
                </c:pt>
                <c:pt idx="6">
                  <c:v>5.1152413150393441</c:v>
                </c:pt>
                <c:pt idx="7">
                  <c:v>2.1508199127308192</c:v>
                </c:pt>
              </c:numCache>
            </c:numRef>
          </c:val>
          <c:extLst>
            <c:ext xmlns:c16="http://schemas.microsoft.com/office/drawing/2014/chart" uri="{C3380CC4-5D6E-409C-BE32-E72D297353CC}">
              <c16:uniqueId val="{00000007-3694-424D-80DF-87C1611B57A9}"/>
            </c:ext>
          </c:extLst>
        </c:ser>
        <c:dLbls>
          <c:showLegendKey val="0"/>
          <c:showVal val="0"/>
          <c:showCatName val="0"/>
          <c:showSerName val="0"/>
          <c:showPercent val="0"/>
          <c:showBubbleSize val="0"/>
          <c:showLeaderLines val="1"/>
        </c:dLbls>
        <c:firstSliceAng val="0"/>
      </c:pieChart>
    </c:plotArea>
    <c:plotVisOnly val="1"/>
    <c:dispBlanksAs val="gap"/>
    <c:showDLblsOverMax val="0"/>
  </c:chart>
  <c:spPr>
    <a:ln>
      <a:noFill/>
    </a:ln>
  </c:sp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36681244909193E-2"/>
          <c:y val="0.18853198424108072"/>
          <c:w val="0.87052836964014235"/>
          <c:h val="0.71835431230315072"/>
        </c:manualLayout>
      </c:layout>
      <c:barChart>
        <c:barDir val="col"/>
        <c:grouping val="clustered"/>
        <c:varyColors val="0"/>
        <c:ser>
          <c:idx val="1"/>
          <c:order val="1"/>
          <c:spPr>
            <a:solidFill>
              <a:schemeClr val="bg1">
                <a:lumMod val="75000"/>
              </a:schemeClr>
            </a:solidFill>
            <a:ln w="12700">
              <a:noFill/>
            </a:ln>
          </c:spPr>
          <c:invertIfNegative val="0"/>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Histogram!$T$3:$T$103</c:f>
              <c:numCache>
                <c:formatCode>0.00</c:formatCode>
                <c:ptCount val="101"/>
                <c:pt idx="0" formatCode="General">
                  <c:v>0</c:v>
                </c:pt>
                <c:pt idx="1">
                  <c:v>12</c:v>
                </c:pt>
                <c:pt idx="2">
                  <c:v>6</c:v>
                </c:pt>
                <c:pt idx="3">
                  <c:v>6</c:v>
                </c:pt>
                <c:pt idx="4">
                  <c:v>7</c:v>
                </c:pt>
                <c:pt idx="5">
                  <c:v>10</c:v>
                </c:pt>
                <c:pt idx="6">
                  <c:v>16</c:v>
                </c:pt>
                <c:pt idx="7">
                  <c:v>15</c:v>
                </c:pt>
                <c:pt idx="8">
                  <c:v>17</c:v>
                </c:pt>
                <c:pt idx="9">
                  <c:v>20</c:v>
                </c:pt>
                <c:pt idx="10">
                  <c:v>25</c:v>
                </c:pt>
                <c:pt idx="11">
                  <c:v>21</c:v>
                </c:pt>
                <c:pt idx="12">
                  <c:v>18</c:v>
                </c:pt>
                <c:pt idx="13">
                  <c:v>22</c:v>
                </c:pt>
                <c:pt idx="14">
                  <c:v>28</c:v>
                </c:pt>
                <c:pt idx="15">
                  <c:v>31</c:v>
                </c:pt>
                <c:pt idx="16">
                  <c:v>22</c:v>
                </c:pt>
                <c:pt idx="17">
                  <c:v>44</c:v>
                </c:pt>
                <c:pt idx="18">
                  <c:v>45</c:v>
                </c:pt>
                <c:pt idx="19">
                  <c:v>45</c:v>
                </c:pt>
                <c:pt idx="20">
                  <c:v>60</c:v>
                </c:pt>
                <c:pt idx="21">
                  <c:v>62</c:v>
                </c:pt>
                <c:pt idx="22">
                  <c:v>70</c:v>
                </c:pt>
                <c:pt idx="23">
                  <c:v>67</c:v>
                </c:pt>
                <c:pt idx="24">
                  <c:v>103</c:v>
                </c:pt>
                <c:pt idx="25">
                  <c:v>96</c:v>
                </c:pt>
                <c:pt idx="26">
                  <c:v>141</c:v>
                </c:pt>
                <c:pt idx="27">
                  <c:v>161</c:v>
                </c:pt>
                <c:pt idx="28">
                  <c:v>185</c:v>
                </c:pt>
                <c:pt idx="29">
                  <c:v>199</c:v>
                </c:pt>
                <c:pt idx="30">
                  <c:v>273</c:v>
                </c:pt>
                <c:pt idx="31">
                  <c:v>325</c:v>
                </c:pt>
                <c:pt idx="32">
                  <c:v>404</c:v>
                </c:pt>
                <c:pt idx="33">
                  <c:v>433</c:v>
                </c:pt>
                <c:pt idx="34">
                  <c:v>505</c:v>
                </c:pt>
                <c:pt idx="35">
                  <c:v>685</c:v>
                </c:pt>
                <c:pt idx="36">
                  <c:v>819</c:v>
                </c:pt>
                <c:pt idx="37">
                  <c:v>969</c:v>
                </c:pt>
                <c:pt idx="38">
                  <c:v>1229</c:v>
                </c:pt>
                <c:pt idx="39">
                  <c:v>1551</c:v>
                </c:pt>
                <c:pt idx="40">
                  <c:v>1827</c:v>
                </c:pt>
                <c:pt idx="41">
                  <c:v>2260</c:v>
                </c:pt>
                <c:pt idx="42">
                  <c:v>2624</c:v>
                </c:pt>
                <c:pt idx="43">
                  <c:v>3295</c:v>
                </c:pt>
                <c:pt idx="44">
                  <c:v>3844</c:v>
                </c:pt>
                <c:pt idx="45">
                  <c:v>4568</c:v>
                </c:pt>
                <c:pt idx="46">
                  <c:v>5332</c:v>
                </c:pt>
                <c:pt idx="47">
                  <c:v>6003</c:v>
                </c:pt>
                <c:pt idx="48">
                  <c:v>6696</c:v>
                </c:pt>
                <c:pt idx="49">
                  <c:v>7563</c:v>
                </c:pt>
                <c:pt idx="50">
                  <c:v>8109</c:v>
                </c:pt>
                <c:pt idx="51">
                  <c:v>8572</c:v>
                </c:pt>
                <c:pt idx="52">
                  <c:v>8803</c:v>
                </c:pt>
                <c:pt idx="53">
                  <c:v>8684</c:v>
                </c:pt>
                <c:pt idx="54">
                  <c:v>8451</c:v>
                </c:pt>
                <c:pt idx="55">
                  <c:v>8110</c:v>
                </c:pt>
                <c:pt idx="56">
                  <c:v>7577</c:v>
                </c:pt>
                <c:pt idx="57">
                  <c:v>6710</c:v>
                </c:pt>
                <c:pt idx="58">
                  <c:v>6028</c:v>
                </c:pt>
                <c:pt idx="59">
                  <c:v>5023</c:v>
                </c:pt>
                <c:pt idx="60">
                  <c:v>4265</c:v>
                </c:pt>
                <c:pt idx="61">
                  <c:v>3518</c:v>
                </c:pt>
                <c:pt idx="62">
                  <c:v>2941</c:v>
                </c:pt>
                <c:pt idx="63">
                  <c:v>2311</c:v>
                </c:pt>
                <c:pt idx="64">
                  <c:v>1778</c:v>
                </c:pt>
                <c:pt idx="65">
                  <c:v>1412</c:v>
                </c:pt>
                <c:pt idx="66">
                  <c:v>1148</c:v>
                </c:pt>
                <c:pt idx="67">
                  <c:v>847</c:v>
                </c:pt>
                <c:pt idx="68">
                  <c:v>638</c:v>
                </c:pt>
                <c:pt idx="69">
                  <c:v>518</c:v>
                </c:pt>
                <c:pt idx="70">
                  <c:v>374</c:v>
                </c:pt>
                <c:pt idx="71">
                  <c:v>305</c:v>
                </c:pt>
                <c:pt idx="72">
                  <c:v>215</c:v>
                </c:pt>
                <c:pt idx="73">
                  <c:v>182</c:v>
                </c:pt>
                <c:pt idx="74">
                  <c:v>134</c:v>
                </c:pt>
                <c:pt idx="75">
                  <c:v>92</c:v>
                </c:pt>
                <c:pt idx="76">
                  <c:v>93</c:v>
                </c:pt>
                <c:pt idx="77">
                  <c:v>69</c:v>
                </c:pt>
                <c:pt idx="78">
                  <c:v>66</c:v>
                </c:pt>
                <c:pt idx="79">
                  <c:v>39</c:v>
                </c:pt>
                <c:pt idx="80">
                  <c:v>35</c:v>
                </c:pt>
                <c:pt idx="81">
                  <c:v>39</c:v>
                </c:pt>
                <c:pt idx="82">
                  <c:v>24</c:v>
                </c:pt>
                <c:pt idx="83">
                  <c:v>16</c:v>
                </c:pt>
                <c:pt idx="84">
                  <c:v>15</c:v>
                </c:pt>
                <c:pt idx="85">
                  <c:v>13</c:v>
                </c:pt>
                <c:pt idx="86">
                  <c:v>9</c:v>
                </c:pt>
                <c:pt idx="87">
                  <c:v>6</c:v>
                </c:pt>
                <c:pt idx="88">
                  <c:v>7</c:v>
                </c:pt>
                <c:pt idx="89">
                  <c:v>2</c:v>
                </c:pt>
                <c:pt idx="90">
                  <c:v>2</c:v>
                </c:pt>
                <c:pt idx="91">
                  <c:v>2</c:v>
                </c:pt>
                <c:pt idx="92">
                  <c:v>1</c:v>
                </c:pt>
                <c:pt idx="93">
                  <c:v>3</c:v>
                </c:pt>
                <c:pt idx="94">
                  <c:v>1</c:v>
                </c:pt>
                <c:pt idx="95">
                  <c:v>1</c:v>
                </c:pt>
                <c:pt idx="96">
                  <c:v>1</c:v>
                </c:pt>
                <c:pt idx="97">
                  <c:v>2</c:v>
                </c:pt>
                <c:pt idx="98">
                  <c:v>0</c:v>
                </c:pt>
                <c:pt idx="99">
                  <c:v>0</c:v>
                </c:pt>
                <c:pt idx="100">
                  <c:v>1</c:v>
                </c:pt>
              </c:numCache>
            </c:numRef>
          </c:val>
          <c:extLst>
            <c:ext xmlns:c16="http://schemas.microsoft.com/office/drawing/2014/chart" uri="{C3380CC4-5D6E-409C-BE32-E72D297353CC}">
              <c16:uniqueId val="{00000000-60A2-4B17-8ABD-00C77A8E69B2}"/>
            </c:ext>
          </c:extLst>
        </c:ser>
        <c:dLbls>
          <c:showLegendKey val="0"/>
          <c:showVal val="0"/>
          <c:showCatName val="0"/>
          <c:showSerName val="0"/>
          <c:showPercent val="0"/>
          <c:showBubbleSize val="0"/>
        </c:dLbls>
        <c:gapWidth val="132"/>
        <c:overlap val="-77"/>
        <c:axId val="141221888"/>
        <c:axId val="141223424"/>
      </c:barChart>
      <c:barChart>
        <c:barDir val="col"/>
        <c:grouping val="clustered"/>
        <c:varyColors val="0"/>
        <c:ser>
          <c:idx val="2"/>
          <c:order val="0"/>
          <c:spPr>
            <a:solidFill>
              <a:schemeClr val="tx2">
                <a:lumMod val="75000"/>
                <a:alpha val="60000"/>
              </a:schemeClr>
            </a:solidFill>
          </c:spPr>
          <c:invertIfNegative val="0"/>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val>
          <c:extLst>
            <c:ext xmlns:c16="http://schemas.microsoft.com/office/drawing/2014/chart" uri="{C3380CC4-5D6E-409C-BE32-E72D297353CC}">
              <c16:uniqueId val="{00000001-60A2-4B17-8ABD-00C77A8E69B2}"/>
            </c:ext>
          </c:extLst>
        </c:ser>
        <c:ser>
          <c:idx val="8"/>
          <c:order val="4"/>
          <c:spPr>
            <a:solidFill>
              <a:schemeClr val="accent1">
                <a:lumMod val="75000"/>
              </a:schemeClr>
            </a:solidFill>
            <a:ln w="9525">
              <a:solidFill>
                <a:schemeClr val="accent1">
                  <a:lumMod val="75000"/>
                </a:schemeClr>
              </a:solidFill>
            </a:ln>
          </c:spPr>
          <c:invertIfNegative val="0"/>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Histogram!$V$3:$V$103</c:f>
              <c:numCache>
                <c:formatCode>General</c:formatCode>
                <c:ptCount val="101"/>
                <c:pt idx="0">
                  <c:v>0</c:v>
                </c:pt>
                <c:pt idx="1">
                  <c:v>12</c:v>
                </c:pt>
                <c:pt idx="2">
                  <c:v>6</c:v>
                </c:pt>
                <c:pt idx="3">
                  <c:v>6</c:v>
                </c:pt>
                <c:pt idx="4">
                  <c:v>7</c:v>
                </c:pt>
                <c:pt idx="5">
                  <c:v>10</c:v>
                </c:pt>
                <c:pt idx="6">
                  <c:v>16</c:v>
                </c:pt>
                <c:pt idx="7">
                  <c:v>15</c:v>
                </c:pt>
                <c:pt idx="8">
                  <c:v>17</c:v>
                </c:pt>
                <c:pt idx="9">
                  <c:v>20</c:v>
                </c:pt>
                <c:pt idx="10">
                  <c:v>25</c:v>
                </c:pt>
                <c:pt idx="11">
                  <c:v>21</c:v>
                </c:pt>
                <c:pt idx="12">
                  <c:v>18</c:v>
                </c:pt>
                <c:pt idx="13">
                  <c:v>22</c:v>
                </c:pt>
                <c:pt idx="14">
                  <c:v>28</c:v>
                </c:pt>
                <c:pt idx="15">
                  <c:v>31</c:v>
                </c:pt>
                <c:pt idx="16">
                  <c:v>22</c:v>
                </c:pt>
                <c:pt idx="17">
                  <c:v>44</c:v>
                </c:pt>
                <c:pt idx="18">
                  <c:v>45</c:v>
                </c:pt>
                <c:pt idx="19">
                  <c:v>45</c:v>
                </c:pt>
                <c:pt idx="20">
                  <c:v>60</c:v>
                </c:pt>
                <c:pt idx="21">
                  <c:v>62</c:v>
                </c:pt>
                <c:pt idx="22">
                  <c:v>70</c:v>
                </c:pt>
                <c:pt idx="23">
                  <c:v>67</c:v>
                </c:pt>
                <c:pt idx="24">
                  <c:v>103</c:v>
                </c:pt>
                <c:pt idx="25">
                  <c:v>96</c:v>
                </c:pt>
                <c:pt idx="26">
                  <c:v>141</c:v>
                </c:pt>
                <c:pt idx="27">
                  <c:v>161</c:v>
                </c:pt>
                <c:pt idx="28">
                  <c:v>185</c:v>
                </c:pt>
                <c:pt idx="29">
                  <c:v>199</c:v>
                </c:pt>
                <c:pt idx="30">
                  <c:v>273</c:v>
                </c:pt>
                <c:pt idx="31">
                  <c:v>325</c:v>
                </c:pt>
                <c:pt idx="32">
                  <c:v>404</c:v>
                </c:pt>
                <c:pt idx="33">
                  <c:v>433</c:v>
                </c:pt>
                <c:pt idx="34">
                  <c:v>505</c:v>
                </c:pt>
                <c:pt idx="35">
                  <c:v>685</c:v>
                </c:pt>
                <c:pt idx="36">
                  <c:v>819</c:v>
                </c:pt>
                <c:pt idx="37">
                  <c:v>969</c:v>
                </c:pt>
                <c:pt idx="38">
                  <c:v>1229</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1778</c:v>
                </c:pt>
                <c:pt idx="65">
                  <c:v>1412</c:v>
                </c:pt>
                <c:pt idx="66">
                  <c:v>1148</c:v>
                </c:pt>
                <c:pt idx="67">
                  <c:v>847</c:v>
                </c:pt>
                <c:pt idx="68">
                  <c:v>638</c:v>
                </c:pt>
                <c:pt idx="69">
                  <c:v>518</c:v>
                </c:pt>
                <c:pt idx="70">
                  <c:v>374</c:v>
                </c:pt>
                <c:pt idx="71">
                  <c:v>305</c:v>
                </c:pt>
                <c:pt idx="72">
                  <c:v>215</c:v>
                </c:pt>
                <c:pt idx="73">
                  <c:v>182</c:v>
                </c:pt>
                <c:pt idx="74">
                  <c:v>134</c:v>
                </c:pt>
                <c:pt idx="75">
                  <c:v>92</c:v>
                </c:pt>
                <c:pt idx="76">
                  <c:v>93</c:v>
                </c:pt>
                <c:pt idx="77">
                  <c:v>69</c:v>
                </c:pt>
                <c:pt idx="78">
                  <c:v>66</c:v>
                </c:pt>
                <c:pt idx="79">
                  <c:v>39</c:v>
                </c:pt>
                <c:pt idx="80">
                  <c:v>35</c:v>
                </c:pt>
                <c:pt idx="81">
                  <c:v>39</c:v>
                </c:pt>
                <c:pt idx="82">
                  <c:v>24</c:v>
                </c:pt>
                <c:pt idx="83">
                  <c:v>16</c:v>
                </c:pt>
                <c:pt idx="84">
                  <c:v>15</c:v>
                </c:pt>
                <c:pt idx="85">
                  <c:v>13</c:v>
                </c:pt>
                <c:pt idx="86">
                  <c:v>9</c:v>
                </c:pt>
                <c:pt idx="87">
                  <c:v>6</c:v>
                </c:pt>
                <c:pt idx="88">
                  <c:v>7</c:v>
                </c:pt>
                <c:pt idx="89">
                  <c:v>2</c:v>
                </c:pt>
                <c:pt idx="90">
                  <c:v>2</c:v>
                </c:pt>
                <c:pt idx="91">
                  <c:v>2</c:v>
                </c:pt>
                <c:pt idx="92">
                  <c:v>1</c:v>
                </c:pt>
                <c:pt idx="93">
                  <c:v>3</c:v>
                </c:pt>
                <c:pt idx="94">
                  <c:v>1</c:v>
                </c:pt>
                <c:pt idx="95">
                  <c:v>1</c:v>
                </c:pt>
                <c:pt idx="96">
                  <c:v>1</c:v>
                </c:pt>
                <c:pt idx="97">
                  <c:v>2</c:v>
                </c:pt>
                <c:pt idx="98">
                  <c:v>0</c:v>
                </c:pt>
                <c:pt idx="99">
                  <c:v>0</c:v>
                </c:pt>
                <c:pt idx="100">
                  <c:v>1</c:v>
                </c:pt>
              </c:numCache>
            </c:numRef>
          </c:val>
          <c:extLst>
            <c:ext xmlns:c16="http://schemas.microsoft.com/office/drawing/2014/chart" uri="{C3380CC4-5D6E-409C-BE32-E72D297353CC}">
              <c16:uniqueId val="{00000002-60A2-4B17-8ABD-00C77A8E69B2}"/>
            </c:ext>
          </c:extLst>
        </c:ser>
        <c:dLbls>
          <c:showLegendKey val="0"/>
          <c:showVal val="0"/>
          <c:showCatName val="0"/>
          <c:showSerName val="0"/>
          <c:showPercent val="0"/>
          <c:showBubbleSize val="0"/>
        </c:dLbls>
        <c:gapWidth val="259"/>
        <c:overlap val="82"/>
        <c:axId val="142148352"/>
        <c:axId val="141224960"/>
      </c:barChart>
      <c:lineChart>
        <c:grouping val="standard"/>
        <c:varyColors val="0"/>
        <c:ser>
          <c:idx val="5"/>
          <c:order val="2"/>
          <c:tx>
            <c:strRef>
              <c:f>Histogram!$X$2</c:f>
              <c:strCache>
                <c:ptCount val="1"/>
                <c:pt idx="0">
                  <c:v>VAR AT 95%,
-0.29%</c:v>
                </c:pt>
              </c:strCache>
            </c:strRef>
          </c:tx>
          <c:spPr>
            <a:ln w="12700">
              <a:solidFill>
                <a:schemeClr val="tx1"/>
              </a:solidFill>
              <a:bevel/>
            </a:ln>
          </c:spPr>
          <c:marker>
            <c:symbol val="circle"/>
            <c:size val="5"/>
            <c:spPr>
              <a:solidFill>
                <a:schemeClr val="accent1">
                  <a:lumMod val="75000"/>
                </a:schemeClr>
              </a:solidFill>
              <a:ln w="0">
                <a:noFill/>
              </a:ln>
            </c:spPr>
          </c:marker>
          <c:dPt>
            <c:idx val="38"/>
            <c:bubble3D val="0"/>
            <c:extLst>
              <c:ext xmlns:c16="http://schemas.microsoft.com/office/drawing/2014/chart" uri="{C3380CC4-5D6E-409C-BE32-E72D297353CC}">
                <c16:uniqueId val="{00000003-60A2-4B17-8ABD-00C77A8E69B2}"/>
              </c:ext>
            </c:extLst>
          </c:dPt>
          <c:dPt>
            <c:idx val="42"/>
            <c:bubble3D val="0"/>
            <c:extLst>
              <c:ext xmlns:c16="http://schemas.microsoft.com/office/drawing/2014/chart" uri="{C3380CC4-5D6E-409C-BE32-E72D297353CC}">
                <c16:uniqueId val="{00000004-60A2-4B17-8ABD-00C77A8E69B2}"/>
              </c:ext>
            </c:extLst>
          </c:dPt>
          <c:dLbls>
            <c:spPr>
              <a:noFill/>
              <a:ln>
                <a:noFill/>
              </a:ln>
              <a:effectLst/>
            </c:spPr>
            <c:txPr>
              <a:bodyPr/>
              <a:lstStyle/>
              <a:p>
                <a:pPr>
                  <a:defRPr sz="600">
                    <a:solidFill>
                      <a:sysClr val="windowText" lastClr="00000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Histogram!$X$3:$X$103</c:f>
              <c:numCache>
                <c:formatCode>General</c:formatCode>
                <c:ptCount val="1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9683.3000000000011</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smooth val="0"/>
          <c:extLst>
            <c:ext xmlns:c16="http://schemas.microsoft.com/office/drawing/2014/chart" uri="{C3380CC4-5D6E-409C-BE32-E72D297353CC}">
              <c16:uniqueId val="{00000005-60A2-4B17-8ABD-00C77A8E69B2}"/>
            </c:ext>
          </c:extLst>
        </c:ser>
        <c:ser>
          <c:idx val="6"/>
          <c:order val="3"/>
          <c:tx>
            <c:strRef>
              <c:f>Histogram!$Y$2</c:f>
              <c:strCache>
                <c:ptCount val="1"/>
                <c:pt idx="0">
                  <c:v>VAR AT 5%,
2.06%</c:v>
                </c:pt>
              </c:strCache>
            </c:strRef>
          </c:tx>
          <c:spPr>
            <a:ln w="9525">
              <a:noFill/>
            </a:ln>
          </c:spPr>
          <c:marker>
            <c:symbol val="circle"/>
            <c:size val="5"/>
            <c:spPr>
              <a:solidFill>
                <a:schemeClr val="accent1">
                  <a:lumMod val="75000"/>
                </a:schemeClr>
              </a:solidFill>
              <a:ln w="9525">
                <a:noFill/>
              </a:ln>
            </c:spPr>
          </c:marker>
          <c:dPt>
            <c:idx val="62"/>
            <c:marker>
              <c:spPr>
                <a:solidFill>
                  <a:schemeClr val="accent1">
                    <a:lumMod val="75000"/>
                  </a:schemeClr>
                </a:solidFill>
                <a:ln w="9525">
                  <a:solidFill>
                    <a:srgbClr val="558ED5"/>
                  </a:solidFill>
                </a:ln>
              </c:spPr>
            </c:marker>
            <c:bubble3D val="0"/>
            <c:spPr>
              <a:ln w="9525">
                <a:solidFill>
                  <a:srgbClr val="558ED5"/>
                </a:solidFill>
              </a:ln>
            </c:spPr>
            <c:extLst>
              <c:ext xmlns:c16="http://schemas.microsoft.com/office/drawing/2014/chart" uri="{C3380CC4-5D6E-409C-BE32-E72D297353CC}">
                <c16:uniqueId val="{00000007-60A2-4B17-8ABD-00C77A8E69B2}"/>
              </c:ext>
            </c:extLst>
          </c:dPt>
          <c:dPt>
            <c:idx val="65"/>
            <c:bubble3D val="0"/>
            <c:extLst>
              <c:ext xmlns:c16="http://schemas.microsoft.com/office/drawing/2014/chart" uri="{C3380CC4-5D6E-409C-BE32-E72D297353CC}">
                <c16:uniqueId val="{00000008-60A2-4B17-8ABD-00C77A8E69B2}"/>
              </c:ext>
            </c:extLst>
          </c:dPt>
          <c:dPt>
            <c:idx val="67"/>
            <c:bubble3D val="0"/>
            <c:extLst>
              <c:ext xmlns:c16="http://schemas.microsoft.com/office/drawing/2014/chart" uri="{C3380CC4-5D6E-409C-BE32-E72D297353CC}">
                <c16:uniqueId val="{00000009-60A2-4B17-8ABD-00C77A8E69B2}"/>
              </c:ext>
            </c:extLst>
          </c:dPt>
          <c:dPt>
            <c:idx val="70"/>
            <c:bubble3D val="0"/>
            <c:extLst>
              <c:ext xmlns:c16="http://schemas.microsoft.com/office/drawing/2014/chart" uri="{C3380CC4-5D6E-409C-BE32-E72D297353CC}">
                <c16:uniqueId val="{0000000A-60A2-4B17-8ABD-00C77A8E69B2}"/>
              </c:ext>
            </c:extLst>
          </c:dPt>
          <c:dLbls>
            <c:numFmt formatCode="@" sourceLinked="0"/>
            <c:spPr>
              <a:noFill/>
              <a:ln>
                <a:noFill/>
              </a:ln>
              <a:effectLst/>
            </c:spPr>
            <c:txPr>
              <a:bodyPr/>
              <a:lstStyle/>
              <a:p>
                <a:pPr>
                  <a:defRPr sz="600">
                    <a:solidFill>
                      <a:sysClr val="windowText" lastClr="00000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Histogram!$Y$3:$Y$103</c:f>
              <c:numCache>
                <c:formatCode>General</c:formatCode>
                <c:ptCount val="1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9683.3000000000011</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smooth val="1"/>
          <c:extLst>
            <c:ext xmlns:c16="http://schemas.microsoft.com/office/drawing/2014/chart" uri="{C3380CC4-5D6E-409C-BE32-E72D297353CC}">
              <c16:uniqueId val="{0000000B-60A2-4B17-8ABD-00C77A8E69B2}"/>
            </c:ext>
          </c:extLst>
        </c:ser>
        <c:ser>
          <c:idx val="0"/>
          <c:order val="5"/>
          <c:tx>
            <c:strRef>
              <c:f>Histogram!$Z$2</c:f>
              <c:strCache>
                <c:ptCount val="1"/>
                <c:pt idx="0">
                  <c:v>MEAN,
0.94%</c:v>
                </c:pt>
              </c:strCache>
            </c:strRef>
          </c:tx>
          <c:spPr>
            <a:ln w="12700"/>
          </c:spPr>
          <c:marker>
            <c:symbol val="circle"/>
            <c:size val="3"/>
            <c:spPr>
              <a:solidFill>
                <a:schemeClr val="tx1"/>
              </a:solidFill>
              <a:ln>
                <a:noFill/>
              </a:ln>
            </c:spPr>
          </c:marker>
          <c:dLbls>
            <c:spPr>
              <a:noFill/>
              <a:ln>
                <a:noFill/>
              </a:ln>
              <a:effectLst/>
            </c:spPr>
            <c:txPr>
              <a:bodyPr/>
              <a:lstStyle/>
              <a:p>
                <a:pPr>
                  <a:defRPr sz="600">
                    <a:solidFill>
                      <a:sysClr val="windowText" lastClr="00000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Histogram!$Z$3:$Z$103</c:f>
              <c:numCache>
                <c:formatCode>General</c:formatCode>
                <c:ptCount val="1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9683.3000000000011</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smooth val="0"/>
          <c:extLst>
            <c:ext xmlns:c16="http://schemas.microsoft.com/office/drawing/2014/chart" uri="{C3380CC4-5D6E-409C-BE32-E72D297353CC}">
              <c16:uniqueId val="{0000000C-60A2-4B17-8ABD-00C77A8E69B2}"/>
            </c:ext>
          </c:extLst>
        </c:ser>
        <c:dLbls>
          <c:showLegendKey val="0"/>
          <c:showVal val="0"/>
          <c:showCatName val="0"/>
          <c:showSerName val="0"/>
          <c:showPercent val="0"/>
          <c:showBubbleSize val="0"/>
        </c:dLbls>
        <c:dropLines>
          <c:spPr>
            <a:ln w="6350"/>
          </c:spPr>
        </c:dropLines>
        <c:upDownBars>
          <c:gapWidth val="150"/>
          <c:upBars/>
          <c:downBars/>
        </c:upDownBars>
        <c:marker val="1"/>
        <c:smooth val="0"/>
        <c:axId val="142148352"/>
        <c:axId val="141224960"/>
      </c:lineChart>
      <c:catAx>
        <c:axId val="141221888"/>
        <c:scaling>
          <c:orientation val="minMax"/>
        </c:scaling>
        <c:delete val="0"/>
        <c:axPos val="b"/>
        <c:numFmt formatCode="0.0%" sourceLinked="1"/>
        <c:majorTickMark val="cross"/>
        <c:minorTickMark val="none"/>
        <c:tickLblPos val="nextTo"/>
        <c:spPr>
          <a:ln>
            <a:noFill/>
          </a:ln>
        </c:spPr>
        <c:txPr>
          <a:bodyPr/>
          <a:lstStyle/>
          <a:p>
            <a:pPr>
              <a:defRPr sz="600">
                <a:latin typeface="+mn-lt"/>
              </a:defRPr>
            </a:pPr>
            <a:endParaRPr lang="en-US"/>
          </a:p>
        </c:txPr>
        <c:crossAx val="141223424"/>
        <c:crosses val="autoZero"/>
        <c:auto val="1"/>
        <c:lblAlgn val="ctr"/>
        <c:lblOffset val="100"/>
        <c:tickLblSkip val="10"/>
        <c:tickMarkSkip val="10"/>
        <c:noMultiLvlLbl val="0"/>
      </c:catAx>
      <c:valAx>
        <c:axId val="141223424"/>
        <c:scaling>
          <c:orientation val="minMax"/>
          <c:min val="0"/>
        </c:scaling>
        <c:delete val="1"/>
        <c:axPos val="l"/>
        <c:numFmt formatCode="General" sourceLinked="1"/>
        <c:majorTickMark val="out"/>
        <c:minorTickMark val="none"/>
        <c:tickLblPos val="nextTo"/>
        <c:crossAx val="141221888"/>
        <c:crosses val="autoZero"/>
        <c:crossBetween val="between"/>
      </c:valAx>
      <c:valAx>
        <c:axId val="141224960"/>
        <c:scaling>
          <c:orientation val="minMax"/>
        </c:scaling>
        <c:delete val="1"/>
        <c:axPos val="r"/>
        <c:numFmt formatCode="0.0%" sourceLinked="1"/>
        <c:majorTickMark val="out"/>
        <c:minorTickMark val="none"/>
        <c:tickLblPos val="nextTo"/>
        <c:crossAx val="142148352"/>
        <c:crosses val="max"/>
        <c:crossBetween val="between"/>
      </c:valAx>
      <c:catAx>
        <c:axId val="142148352"/>
        <c:scaling>
          <c:orientation val="minMax"/>
        </c:scaling>
        <c:delete val="1"/>
        <c:axPos val="b"/>
        <c:numFmt formatCode="0.0%" sourceLinked="1"/>
        <c:majorTickMark val="out"/>
        <c:minorTickMark val="none"/>
        <c:tickLblPos val="nextTo"/>
        <c:crossAx val="141224960"/>
        <c:crosses val="autoZero"/>
        <c:auto val="1"/>
        <c:lblAlgn val="ctr"/>
        <c:lblOffset val="100"/>
        <c:noMultiLvlLbl val="0"/>
      </c:catAx>
      <c:spPr>
        <a:noFill/>
      </c:spPr>
    </c:plotArea>
    <c:plotVisOnly val="1"/>
    <c:dispBlanksAs val="zero"/>
    <c:showDLblsOverMax val="0"/>
  </c:chart>
  <c:spPr>
    <a:noFill/>
    <a:ln>
      <a:noFill/>
    </a:ln>
  </c:spPr>
  <c:txPr>
    <a:bodyPr/>
    <a:lstStyle/>
    <a:p>
      <a:pPr>
        <a:defRPr sz="800">
          <a:solidFill>
            <a:schemeClr val="bg1">
              <a:lumMod val="50000"/>
            </a:schemeClr>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20207412776516E-2"/>
          <c:y val="0.1748784579582349"/>
          <c:w val="0.7283689193361591"/>
          <c:h val="0.70904834059482136"/>
        </c:manualLayout>
      </c:layout>
      <c:barChart>
        <c:barDir val="bar"/>
        <c:grouping val="clustered"/>
        <c:varyColors val="0"/>
        <c:ser>
          <c:idx val="0"/>
          <c:order val="0"/>
          <c:tx>
            <c:strRef>
              <c:f>SUMMARY!$N$48</c:f>
              <c:strCache>
                <c:ptCount val="1"/>
                <c:pt idx="0">
                  <c:v>PC to ETL  •</c:v>
                </c:pt>
              </c:strCache>
            </c:strRef>
          </c:tx>
          <c:spPr>
            <a:solidFill>
              <a:schemeClr val="accent2">
                <a:lumMod val="60000"/>
                <a:lumOff val="40000"/>
              </a:schemeClr>
            </a:solidFill>
          </c:spPr>
          <c:invertIfNegative val="0"/>
          <c:cat>
            <c:strRef>
              <c:f>SUMMARY!$A$49:$A$53</c:f>
              <c:strCache>
                <c:ptCount val="5"/>
                <c:pt idx="0">
                  <c:v>Silver Point Capital: Silver Point Distressed Opportunity Institutional Partners + Silver Point HF</c:v>
                </c:pt>
                <c:pt idx="1">
                  <c:v>LibreMax Partners LP: LibreMax Partners LP</c:v>
                </c:pt>
                <c:pt idx="2">
                  <c:v>PIMCO: PIMCO Commodity Alpha Fund</c:v>
                </c:pt>
                <c:pt idx="3">
                  <c:v>Graham Absolute Return Ltd: Graham Absolute Return Ltd</c:v>
                </c:pt>
                <c:pt idx="4">
                  <c:v>Saba: CEF1 MN - 2.75x</c:v>
                </c:pt>
              </c:strCache>
            </c:strRef>
          </c:cat>
          <c:val>
            <c:numRef>
              <c:f>SUMMARY!$N$49:$N$53</c:f>
              <c:numCache>
                <c:formatCode>0.00</c:formatCode>
                <c:ptCount val="5"/>
                <c:pt idx="0">
                  <c:v>7.5420822482864773</c:v>
                </c:pt>
                <c:pt idx="1">
                  <c:v>12.799680806506162</c:v>
                </c:pt>
                <c:pt idx="2">
                  <c:v>3.9419553973865011</c:v>
                </c:pt>
                <c:pt idx="3">
                  <c:v>12.454063299520126</c:v>
                </c:pt>
                <c:pt idx="4">
                  <c:v>4.6594918081542032</c:v>
                </c:pt>
              </c:numCache>
            </c:numRef>
          </c:val>
          <c:extLst>
            <c:ext xmlns:c16="http://schemas.microsoft.com/office/drawing/2014/chart" uri="{C3380CC4-5D6E-409C-BE32-E72D297353CC}">
              <c16:uniqueId val="{00000000-D073-4D7D-B8E1-DD5159005D1D}"/>
            </c:ext>
          </c:extLst>
        </c:ser>
        <c:ser>
          <c:idx val="1"/>
          <c:order val="1"/>
          <c:tx>
            <c:strRef>
              <c:f>SUMMARY!$P$48</c:f>
              <c:strCache>
                <c:ptCount val="1"/>
                <c:pt idx="0">
                  <c:v>PC to ETR  •</c:v>
                </c:pt>
              </c:strCache>
            </c:strRef>
          </c:tx>
          <c:spPr>
            <a:solidFill>
              <a:schemeClr val="accent1">
                <a:lumMod val="75000"/>
              </a:schemeClr>
            </a:solidFill>
          </c:spPr>
          <c:invertIfNegative val="0"/>
          <c:cat>
            <c:strRef>
              <c:f>SUMMARY!$A$49:$A$53</c:f>
              <c:strCache>
                <c:ptCount val="5"/>
                <c:pt idx="0">
                  <c:v>Silver Point Capital: Silver Point Distressed Opportunity Institutional Partners + Silver Point HF</c:v>
                </c:pt>
                <c:pt idx="1">
                  <c:v>LibreMax Partners LP: LibreMax Partners LP</c:v>
                </c:pt>
                <c:pt idx="2">
                  <c:v>PIMCO: PIMCO Commodity Alpha Fund</c:v>
                </c:pt>
                <c:pt idx="3">
                  <c:v>Graham Absolute Return Ltd: Graham Absolute Return Ltd</c:v>
                </c:pt>
                <c:pt idx="4">
                  <c:v>Saba: CEF1 MN - 2.75x</c:v>
                </c:pt>
              </c:strCache>
            </c:strRef>
          </c:cat>
          <c:val>
            <c:numRef>
              <c:f>SUMMARY!$P$49:$P$53</c:f>
              <c:numCache>
                <c:formatCode>0.00</c:formatCode>
                <c:ptCount val="5"/>
                <c:pt idx="0">
                  <c:v>2.0514521582783924</c:v>
                </c:pt>
                <c:pt idx="1">
                  <c:v>3.1550345274786862</c:v>
                </c:pt>
                <c:pt idx="2">
                  <c:v>0.76642304776837422</c:v>
                </c:pt>
                <c:pt idx="3">
                  <c:v>4.2246702460988628</c:v>
                </c:pt>
                <c:pt idx="4">
                  <c:v>1.867824396422195</c:v>
                </c:pt>
              </c:numCache>
            </c:numRef>
          </c:val>
          <c:extLst>
            <c:ext xmlns:c16="http://schemas.microsoft.com/office/drawing/2014/chart" uri="{C3380CC4-5D6E-409C-BE32-E72D297353CC}">
              <c16:uniqueId val="{00000001-D073-4D7D-B8E1-DD5159005D1D}"/>
            </c:ext>
          </c:extLst>
        </c:ser>
        <c:dLbls>
          <c:showLegendKey val="0"/>
          <c:showVal val="0"/>
          <c:showCatName val="0"/>
          <c:showSerName val="0"/>
          <c:showPercent val="0"/>
          <c:showBubbleSize val="0"/>
        </c:dLbls>
        <c:gapWidth val="50"/>
        <c:overlap val="-28"/>
        <c:axId val="142206848"/>
        <c:axId val="142208384"/>
      </c:barChart>
      <c:catAx>
        <c:axId val="142206848"/>
        <c:scaling>
          <c:orientation val="maxMin"/>
        </c:scaling>
        <c:delete val="1"/>
        <c:axPos val="l"/>
        <c:numFmt formatCode="General" sourceLinked="0"/>
        <c:majorTickMark val="out"/>
        <c:minorTickMark val="none"/>
        <c:tickLblPos val="nextTo"/>
        <c:crossAx val="142208384"/>
        <c:crosses val="autoZero"/>
        <c:auto val="1"/>
        <c:lblAlgn val="ctr"/>
        <c:lblOffset val="100"/>
        <c:noMultiLvlLbl val="0"/>
      </c:catAx>
      <c:valAx>
        <c:axId val="142208384"/>
        <c:scaling>
          <c:orientation val="minMax"/>
        </c:scaling>
        <c:delete val="0"/>
        <c:axPos val="t"/>
        <c:numFmt formatCode="0" sourceLinked="0"/>
        <c:majorTickMark val="out"/>
        <c:minorTickMark val="none"/>
        <c:tickLblPos val="low"/>
        <c:txPr>
          <a:bodyPr/>
          <a:lstStyle/>
          <a:p>
            <a:pPr>
              <a:defRPr sz="600">
                <a:solidFill>
                  <a:schemeClr val="tx1">
                    <a:lumMod val="50000"/>
                    <a:lumOff val="50000"/>
                  </a:schemeClr>
                </a:solidFill>
              </a:defRPr>
            </a:pPr>
            <a:endParaRPr lang="en-US"/>
          </a:p>
        </c:txPr>
        <c:crossAx val="142206848"/>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9940074639706"/>
          <c:y val="0.15497303338030224"/>
          <c:w val="0.7283689193361591"/>
          <c:h val="0.70904834059482136"/>
        </c:manualLayout>
      </c:layout>
      <c:barChart>
        <c:barDir val="bar"/>
        <c:grouping val="clustered"/>
        <c:varyColors val="0"/>
        <c:ser>
          <c:idx val="0"/>
          <c:order val="0"/>
          <c:tx>
            <c:strRef>
              <c:f>SUMMARY!$AC$48</c:f>
              <c:strCache>
                <c:ptCount val="1"/>
                <c:pt idx="0">
                  <c:v>MC to ETR •</c:v>
                </c:pt>
              </c:strCache>
            </c:strRef>
          </c:tx>
          <c:spPr>
            <a:solidFill>
              <a:schemeClr val="accent1">
                <a:lumMod val="75000"/>
              </a:schemeClr>
            </a:solidFill>
          </c:spPr>
          <c:invertIfNegative val="0"/>
          <c:cat>
            <c:strRef>
              <c:f>SUMMARY!$A$49:$A$53</c:f>
              <c:strCache>
                <c:ptCount val="5"/>
                <c:pt idx="0">
                  <c:v>Silver Point Capital: Silver Point Distressed Opportunity Institutional Partners + Silver Point HF</c:v>
                </c:pt>
                <c:pt idx="1">
                  <c:v>LibreMax Partners LP: LibreMax Partners LP</c:v>
                </c:pt>
                <c:pt idx="2">
                  <c:v>PIMCO: PIMCO Commodity Alpha Fund</c:v>
                </c:pt>
                <c:pt idx="3">
                  <c:v>Graham Absolute Return Ltd: Graham Absolute Return Ltd</c:v>
                </c:pt>
                <c:pt idx="4">
                  <c:v>Saba: CEF1 MN - 2.75x</c:v>
                </c:pt>
              </c:strCache>
            </c:strRef>
          </c:cat>
          <c:val>
            <c:numRef>
              <c:f>SUMMARY!$AC$49:$AC$53</c:f>
              <c:numCache>
                <c:formatCode>0.00</c:formatCode>
                <c:ptCount val="5"/>
                <c:pt idx="0">
                  <c:v>6.4643859674125403</c:v>
                </c:pt>
                <c:pt idx="1">
                  <c:v>3.1409309007457722</c:v>
                </c:pt>
                <c:pt idx="2">
                  <c:v>2.1536702027843031</c:v>
                </c:pt>
                <c:pt idx="3">
                  <c:v>3.4910394384723138</c:v>
                </c:pt>
                <c:pt idx="4">
                  <c:v>3.7325827549074546</c:v>
                </c:pt>
              </c:numCache>
            </c:numRef>
          </c:val>
          <c:extLst>
            <c:ext xmlns:c16="http://schemas.microsoft.com/office/drawing/2014/chart" uri="{C3380CC4-5D6E-409C-BE32-E72D297353CC}">
              <c16:uniqueId val="{00000000-84C3-4C19-9C99-19211ED7B5B3}"/>
            </c:ext>
          </c:extLst>
        </c:ser>
        <c:ser>
          <c:idx val="1"/>
          <c:order val="1"/>
          <c:tx>
            <c:strRef>
              <c:f>SUMMARY!$AA$48</c:f>
              <c:strCache>
                <c:ptCount val="1"/>
                <c:pt idx="0">
                  <c:v>MC to ETL •</c:v>
                </c:pt>
              </c:strCache>
            </c:strRef>
          </c:tx>
          <c:spPr>
            <a:solidFill>
              <a:schemeClr val="accent2">
                <a:lumMod val="60000"/>
                <a:lumOff val="40000"/>
              </a:schemeClr>
            </a:solidFill>
          </c:spPr>
          <c:invertIfNegative val="0"/>
          <c:cat>
            <c:strRef>
              <c:f>SUMMARY!$A$49:$A$53</c:f>
              <c:strCache>
                <c:ptCount val="5"/>
                <c:pt idx="0">
                  <c:v>Silver Point Capital: Silver Point Distressed Opportunity Institutional Partners + Silver Point HF</c:v>
                </c:pt>
                <c:pt idx="1">
                  <c:v>LibreMax Partners LP: LibreMax Partners LP</c:v>
                </c:pt>
                <c:pt idx="2">
                  <c:v>PIMCO: PIMCO Commodity Alpha Fund</c:v>
                </c:pt>
                <c:pt idx="3">
                  <c:v>Graham Absolute Return Ltd: Graham Absolute Return Ltd</c:v>
                </c:pt>
                <c:pt idx="4">
                  <c:v>Saba: CEF1 MN - 2.75x</c:v>
                </c:pt>
              </c:strCache>
            </c:strRef>
          </c:cat>
          <c:val>
            <c:numRef>
              <c:f>SUMMARY!$AA$49:$AA$53</c:f>
              <c:numCache>
                <c:formatCode>0.00</c:formatCode>
                <c:ptCount val="5"/>
                <c:pt idx="0">
                  <c:v>8.5089925743591461</c:v>
                </c:pt>
                <c:pt idx="1">
                  <c:v>4.5622008412224346</c:v>
                </c:pt>
                <c:pt idx="2">
                  <c:v>3.9659144711266996</c:v>
                </c:pt>
                <c:pt idx="3">
                  <c:v>3.6846310090976009</c:v>
                </c:pt>
                <c:pt idx="4">
                  <c:v>3.3337493887132088</c:v>
                </c:pt>
              </c:numCache>
            </c:numRef>
          </c:val>
          <c:extLst>
            <c:ext xmlns:c16="http://schemas.microsoft.com/office/drawing/2014/chart" uri="{C3380CC4-5D6E-409C-BE32-E72D297353CC}">
              <c16:uniqueId val="{00000001-84C3-4C19-9C99-19211ED7B5B3}"/>
            </c:ext>
          </c:extLst>
        </c:ser>
        <c:dLbls>
          <c:showLegendKey val="0"/>
          <c:showVal val="0"/>
          <c:showCatName val="0"/>
          <c:showSerName val="0"/>
          <c:showPercent val="0"/>
          <c:showBubbleSize val="0"/>
        </c:dLbls>
        <c:gapWidth val="50"/>
        <c:overlap val="-28"/>
        <c:axId val="142216576"/>
        <c:axId val="142222464"/>
      </c:barChart>
      <c:catAx>
        <c:axId val="142216576"/>
        <c:scaling>
          <c:orientation val="maxMin"/>
        </c:scaling>
        <c:delete val="1"/>
        <c:axPos val="l"/>
        <c:numFmt formatCode="General" sourceLinked="0"/>
        <c:majorTickMark val="out"/>
        <c:minorTickMark val="none"/>
        <c:tickLblPos val="nextTo"/>
        <c:crossAx val="142222464"/>
        <c:crosses val="autoZero"/>
        <c:auto val="1"/>
        <c:lblAlgn val="ctr"/>
        <c:lblOffset val="100"/>
        <c:noMultiLvlLbl val="0"/>
      </c:catAx>
      <c:valAx>
        <c:axId val="142222464"/>
        <c:scaling>
          <c:orientation val="minMax"/>
        </c:scaling>
        <c:delete val="0"/>
        <c:axPos val="t"/>
        <c:numFmt formatCode="0" sourceLinked="0"/>
        <c:majorTickMark val="out"/>
        <c:minorTickMark val="none"/>
        <c:tickLblPos val="low"/>
        <c:txPr>
          <a:bodyPr/>
          <a:lstStyle/>
          <a:p>
            <a:pPr>
              <a:defRPr sz="600">
                <a:solidFill>
                  <a:schemeClr val="tx1">
                    <a:lumMod val="50000"/>
                    <a:lumOff val="50000"/>
                  </a:schemeClr>
                </a:solidFill>
              </a:defRPr>
            </a:pPr>
            <a:endParaRPr lang="en-US"/>
          </a:p>
        </c:txPr>
        <c:crossAx val="14221657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20207412776516E-2"/>
          <c:y val="0.1748784579582349"/>
          <c:w val="0.7283689193361591"/>
          <c:h val="0.70904834059482136"/>
        </c:manualLayout>
      </c:layout>
      <c:barChart>
        <c:barDir val="bar"/>
        <c:grouping val="clustered"/>
        <c:varyColors val="0"/>
        <c:ser>
          <c:idx val="0"/>
          <c:order val="0"/>
          <c:tx>
            <c:strRef>
              <c:f>SUMMARY!$N$58</c:f>
              <c:strCache>
                <c:ptCount val="1"/>
                <c:pt idx="0">
                  <c:v>PC to ETL  •</c:v>
                </c:pt>
              </c:strCache>
            </c:strRef>
          </c:tx>
          <c:spPr>
            <a:solidFill>
              <a:schemeClr val="accent2">
                <a:lumMod val="60000"/>
                <a:lumOff val="40000"/>
              </a:schemeClr>
            </a:solidFill>
          </c:spPr>
          <c:invertIfNegative val="0"/>
          <c:cat>
            <c:strRef>
              <c:f>SUMMARY!$A$59:$A$63</c:f>
              <c:strCache>
                <c:ptCount val="5"/>
                <c:pt idx="0">
                  <c:v>DYAL: DYAL II - Aksia</c:v>
                </c:pt>
                <c:pt idx="1">
                  <c:v>LibreMax CLO: LibreMax CLO</c:v>
                </c:pt>
                <c:pt idx="2">
                  <c:v>DE Shaw Composite Fund LLC: DE Shaw Composite Fund LLC</c:v>
                </c:pt>
                <c:pt idx="3">
                  <c:v>Brevan Howard MB Macro Fund: Brevan Howard MB Macro Fund with proforma</c:v>
                </c:pt>
                <c:pt idx="4">
                  <c:v>Ares: Ares Pathfinder II</c:v>
                </c:pt>
              </c:strCache>
            </c:strRef>
          </c:cat>
          <c:val>
            <c:numRef>
              <c:f>SUMMARY!$N$59:$N$63</c:f>
              <c:numCache>
                <c:formatCode>0.00</c:formatCode>
                <c:ptCount val="5"/>
                <c:pt idx="0">
                  <c:v>-4.9577198765206525</c:v>
                </c:pt>
                <c:pt idx="1">
                  <c:v>-1.5395183276857445</c:v>
                </c:pt>
                <c:pt idx="2">
                  <c:v>-7.0757864472449414</c:v>
                </c:pt>
                <c:pt idx="3">
                  <c:v>-1.7935204515218881</c:v>
                </c:pt>
                <c:pt idx="4">
                  <c:v>-0.97570762184885218</c:v>
                </c:pt>
              </c:numCache>
            </c:numRef>
          </c:val>
          <c:extLst>
            <c:ext xmlns:c16="http://schemas.microsoft.com/office/drawing/2014/chart" uri="{C3380CC4-5D6E-409C-BE32-E72D297353CC}">
              <c16:uniqueId val="{00000000-D767-4EB6-8910-D8A245D53370}"/>
            </c:ext>
          </c:extLst>
        </c:ser>
        <c:ser>
          <c:idx val="1"/>
          <c:order val="1"/>
          <c:tx>
            <c:strRef>
              <c:f>SUMMARY!$P$58</c:f>
              <c:strCache>
                <c:ptCount val="1"/>
                <c:pt idx="0">
                  <c:v>PC to ETR  •</c:v>
                </c:pt>
              </c:strCache>
            </c:strRef>
          </c:tx>
          <c:spPr>
            <a:solidFill>
              <a:schemeClr val="accent1">
                <a:lumMod val="75000"/>
              </a:schemeClr>
            </a:solidFill>
          </c:spPr>
          <c:invertIfNegative val="0"/>
          <c:cat>
            <c:strRef>
              <c:f>SUMMARY!$A$59:$A$63</c:f>
              <c:strCache>
                <c:ptCount val="5"/>
                <c:pt idx="0">
                  <c:v>DYAL: DYAL II - Aksia</c:v>
                </c:pt>
                <c:pt idx="1">
                  <c:v>LibreMax CLO: LibreMax CLO</c:v>
                </c:pt>
                <c:pt idx="2">
                  <c:v>DE Shaw Composite Fund LLC: DE Shaw Composite Fund LLC</c:v>
                </c:pt>
                <c:pt idx="3">
                  <c:v>Brevan Howard MB Macro Fund: Brevan Howard MB Macro Fund with proforma</c:v>
                </c:pt>
                <c:pt idx="4">
                  <c:v>Ares: Ares Pathfinder II</c:v>
                </c:pt>
              </c:strCache>
            </c:strRef>
          </c:cat>
          <c:val>
            <c:numRef>
              <c:f>SUMMARY!$P$59:$P$63</c:f>
              <c:numCache>
                <c:formatCode>0.00</c:formatCode>
                <c:ptCount val="5"/>
                <c:pt idx="0">
                  <c:v>2.6406144756086971</c:v>
                </c:pt>
                <c:pt idx="1">
                  <c:v>2.8637600861786409E-2</c:v>
                </c:pt>
                <c:pt idx="2">
                  <c:v>9.7672503944406657</c:v>
                </c:pt>
                <c:pt idx="3">
                  <c:v>1.808041741768756</c:v>
                </c:pt>
                <c:pt idx="4">
                  <c:v>1.3646659393379772</c:v>
                </c:pt>
              </c:numCache>
            </c:numRef>
          </c:val>
          <c:extLst>
            <c:ext xmlns:c16="http://schemas.microsoft.com/office/drawing/2014/chart" uri="{C3380CC4-5D6E-409C-BE32-E72D297353CC}">
              <c16:uniqueId val="{00000001-D767-4EB6-8910-D8A245D53370}"/>
            </c:ext>
          </c:extLst>
        </c:ser>
        <c:dLbls>
          <c:showLegendKey val="0"/>
          <c:showVal val="0"/>
          <c:showCatName val="0"/>
          <c:showSerName val="0"/>
          <c:showPercent val="0"/>
          <c:showBubbleSize val="0"/>
        </c:dLbls>
        <c:gapWidth val="50"/>
        <c:overlap val="-28"/>
        <c:axId val="142234752"/>
        <c:axId val="142236288"/>
      </c:barChart>
      <c:catAx>
        <c:axId val="142234752"/>
        <c:scaling>
          <c:orientation val="maxMin"/>
        </c:scaling>
        <c:delete val="1"/>
        <c:axPos val="l"/>
        <c:numFmt formatCode="General" sourceLinked="0"/>
        <c:majorTickMark val="out"/>
        <c:minorTickMark val="none"/>
        <c:tickLblPos val="nextTo"/>
        <c:crossAx val="142236288"/>
        <c:crosses val="autoZero"/>
        <c:auto val="1"/>
        <c:lblAlgn val="ctr"/>
        <c:lblOffset val="100"/>
        <c:noMultiLvlLbl val="0"/>
      </c:catAx>
      <c:valAx>
        <c:axId val="142236288"/>
        <c:scaling>
          <c:orientation val="minMax"/>
        </c:scaling>
        <c:delete val="0"/>
        <c:axPos val="t"/>
        <c:numFmt formatCode="0" sourceLinked="0"/>
        <c:majorTickMark val="out"/>
        <c:minorTickMark val="none"/>
        <c:tickLblPos val="low"/>
        <c:txPr>
          <a:bodyPr/>
          <a:lstStyle/>
          <a:p>
            <a:pPr>
              <a:defRPr sz="600">
                <a:solidFill>
                  <a:schemeClr val="tx1">
                    <a:lumMod val="50000"/>
                    <a:lumOff val="50000"/>
                  </a:schemeClr>
                </a:solidFill>
              </a:defRPr>
            </a:pPr>
            <a:endParaRPr lang="en-US"/>
          </a:p>
        </c:txPr>
        <c:crossAx val="142234752"/>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99940074639706"/>
          <c:y val="0.15497303338030224"/>
          <c:w val="0.7283689193361591"/>
          <c:h val="0.70904834059482136"/>
        </c:manualLayout>
      </c:layout>
      <c:barChart>
        <c:barDir val="bar"/>
        <c:grouping val="clustered"/>
        <c:varyColors val="0"/>
        <c:ser>
          <c:idx val="0"/>
          <c:order val="0"/>
          <c:tx>
            <c:strRef>
              <c:f>SUMMARY!$AA$58</c:f>
              <c:strCache>
                <c:ptCount val="1"/>
                <c:pt idx="0">
                  <c:v>MC to ETL •</c:v>
                </c:pt>
              </c:strCache>
            </c:strRef>
          </c:tx>
          <c:spPr>
            <a:solidFill>
              <a:schemeClr val="accent2">
                <a:lumMod val="60000"/>
                <a:lumOff val="40000"/>
              </a:schemeClr>
            </a:solidFill>
          </c:spPr>
          <c:invertIfNegative val="0"/>
          <c:cat>
            <c:strRef>
              <c:f>SUMMARY!$A$59:$A$63</c:f>
              <c:strCache>
                <c:ptCount val="5"/>
                <c:pt idx="0">
                  <c:v>DYAL: DYAL II - Aksia</c:v>
                </c:pt>
                <c:pt idx="1">
                  <c:v>LibreMax CLO: LibreMax CLO</c:v>
                </c:pt>
                <c:pt idx="2">
                  <c:v>DE Shaw Composite Fund LLC: DE Shaw Composite Fund LLC</c:v>
                </c:pt>
                <c:pt idx="3">
                  <c:v>Brevan Howard MB Macro Fund: Brevan Howard MB Macro Fund with proforma</c:v>
                </c:pt>
                <c:pt idx="4">
                  <c:v>Ares: Ares Pathfinder II</c:v>
                </c:pt>
              </c:strCache>
            </c:strRef>
          </c:cat>
          <c:val>
            <c:numRef>
              <c:f>SUMMARY!$AA$59:$AA$63</c:f>
              <c:numCache>
                <c:formatCode>0.00</c:formatCode>
                <c:ptCount val="5"/>
                <c:pt idx="0">
                  <c:v>-2.264879627312316</c:v>
                </c:pt>
                <c:pt idx="1">
                  <c:v>-0.66547759197340295</c:v>
                </c:pt>
                <c:pt idx="2">
                  <c:v>-0.65923582946166093</c:v>
                </c:pt>
                <c:pt idx="3">
                  <c:v>-0.60281091627904182</c:v>
                </c:pt>
                <c:pt idx="4">
                  <c:v>-0.51724379112747854</c:v>
                </c:pt>
              </c:numCache>
            </c:numRef>
          </c:val>
          <c:extLst>
            <c:ext xmlns:c16="http://schemas.microsoft.com/office/drawing/2014/chart" uri="{C3380CC4-5D6E-409C-BE32-E72D297353CC}">
              <c16:uniqueId val="{00000000-3E27-4937-BBF5-594B990721E1}"/>
            </c:ext>
          </c:extLst>
        </c:ser>
        <c:ser>
          <c:idx val="1"/>
          <c:order val="1"/>
          <c:tx>
            <c:strRef>
              <c:f>SUMMARY!$AC$58</c:f>
              <c:strCache>
                <c:ptCount val="1"/>
                <c:pt idx="0">
                  <c:v>MC to ETR •</c:v>
                </c:pt>
              </c:strCache>
            </c:strRef>
          </c:tx>
          <c:spPr>
            <a:solidFill>
              <a:schemeClr val="accent1">
                <a:lumMod val="75000"/>
              </a:schemeClr>
            </a:solidFill>
          </c:spPr>
          <c:invertIfNegative val="0"/>
          <c:cat>
            <c:strRef>
              <c:f>SUMMARY!$A$59:$A$63</c:f>
              <c:strCache>
                <c:ptCount val="5"/>
                <c:pt idx="0">
                  <c:v>DYAL: DYAL II - Aksia</c:v>
                </c:pt>
                <c:pt idx="1">
                  <c:v>LibreMax CLO: LibreMax CLO</c:v>
                </c:pt>
                <c:pt idx="2">
                  <c:v>DE Shaw Composite Fund LLC: DE Shaw Composite Fund LLC</c:v>
                </c:pt>
                <c:pt idx="3">
                  <c:v>Brevan Howard MB Macro Fund: Brevan Howard MB Macro Fund with proforma</c:v>
                </c:pt>
                <c:pt idx="4">
                  <c:v>Ares: Ares Pathfinder II</c:v>
                </c:pt>
              </c:strCache>
            </c:strRef>
          </c:cat>
          <c:val>
            <c:numRef>
              <c:f>SUMMARY!$AC$59:$AC$63</c:f>
              <c:numCache>
                <c:formatCode>0.00</c:formatCode>
                <c:ptCount val="5"/>
                <c:pt idx="0">
                  <c:v>3.3693579049059874</c:v>
                </c:pt>
                <c:pt idx="1">
                  <c:v>3.4575160902893518E-2</c:v>
                </c:pt>
                <c:pt idx="2">
                  <c:v>2.5416597574968138</c:v>
                </c:pt>
                <c:pt idx="3">
                  <c:v>1.6973141539247178</c:v>
                </c:pt>
                <c:pt idx="4">
                  <c:v>2.0206027787280196</c:v>
                </c:pt>
              </c:numCache>
            </c:numRef>
          </c:val>
          <c:extLst>
            <c:ext xmlns:c16="http://schemas.microsoft.com/office/drawing/2014/chart" uri="{C3380CC4-5D6E-409C-BE32-E72D297353CC}">
              <c16:uniqueId val="{00000001-3E27-4937-BBF5-594B990721E1}"/>
            </c:ext>
          </c:extLst>
        </c:ser>
        <c:dLbls>
          <c:showLegendKey val="0"/>
          <c:showVal val="0"/>
          <c:showCatName val="0"/>
          <c:showSerName val="0"/>
          <c:showPercent val="0"/>
          <c:showBubbleSize val="0"/>
        </c:dLbls>
        <c:gapWidth val="50"/>
        <c:overlap val="-28"/>
        <c:axId val="142260864"/>
        <c:axId val="142262656"/>
      </c:barChart>
      <c:catAx>
        <c:axId val="142260864"/>
        <c:scaling>
          <c:orientation val="maxMin"/>
        </c:scaling>
        <c:delete val="1"/>
        <c:axPos val="l"/>
        <c:numFmt formatCode="General" sourceLinked="0"/>
        <c:majorTickMark val="out"/>
        <c:minorTickMark val="none"/>
        <c:tickLblPos val="nextTo"/>
        <c:crossAx val="142262656"/>
        <c:crosses val="autoZero"/>
        <c:auto val="1"/>
        <c:lblAlgn val="ctr"/>
        <c:lblOffset val="100"/>
        <c:noMultiLvlLbl val="0"/>
      </c:catAx>
      <c:valAx>
        <c:axId val="142262656"/>
        <c:scaling>
          <c:orientation val="minMax"/>
        </c:scaling>
        <c:delete val="0"/>
        <c:axPos val="t"/>
        <c:numFmt formatCode="0" sourceLinked="0"/>
        <c:majorTickMark val="out"/>
        <c:minorTickMark val="none"/>
        <c:tickLblPos val="low"/>
        <c:txPr>
          <a:bodyPr/>
          <a:lstStyle/>
          <a:p>
            <a:pPr>
              <a:defRPr sz="600">
                <a:solidFill>
                  <a:schemeClr val="tx1">
                    <a:lumMod val="50000"/>
                    <a:lumOff val="50000"/>
                  </a:schemeClr>
                </a:solidFill>
              </a:defRPr>
            </a:pPr>
            <a:endParaRPr lang="en-US"/>
          </a:p>
        </c:txPr>
        <c:crossAx val="142260864"/>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0"/>
    <c:plotArea>
      <c:layout/>
      <c:barChart>
        <c:barDir val="col"/>
        <c:grouping val="clustered"/>
        <c:varyColors val="1"/>
        <c:ser>
          <c:idx val="0"/>
          <c:order val="0"/>
          <c:invertIfNegative val="0"/>
          <c:dPt>
            <c:idx val="0"/>
            <c:invertIfNegative val="0"/>
            <c:bubble3D val="0"/>
            <c:spPr>
              <a:gradFill>
                <a:gsLst>
                  <a:gs pos="0">
                    <a:schemeClr val="accent5">
                      <a:shade val="41000"/>
                    </a:schemeClr>
                  </a:gs>
                  <a:gs pos="100000">
                    <a:schemeClr val="accent5">
                      <a:shade val="41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BF5F-414C-A874-1E7F1193101F}"/>
              </c:ext>
            </c:extLst>
          </c:dPt>
          <c:dPt>
            <c:idx val="1"/>
            <c:invertIfNegative val="0"/>
            <c:bubble3D val="0"/>
            <c:spPr>
              <a:gradFill>
                <a:gsLst>
                  <a:gs pos="0">
                    <a:schemeClr val="accent5">
                      <a:shade val="53000"/>
                    </a:schemeClr>
                  </a:gs>
                  <a:gs pos="100000">
                    <a:schemeClr val="accent5">
                      <a:shade val="53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BF5F-414C-A874-1E7F1193101F}"/>
              </c:ext>
            </c:extLst>
          </c:dPt>
          <c:dPt>
            <c:idx val="2"/>
            <c:invertIfNegative val="0"/>
            <c:bubble3D val="0"/>
            <c:spPr>
              <a:gradFill>
                <a:gsLst>
                  <a:gs pos="0">
                    <a:schemeClr val="accent5">
                      <a:shade val="65000"/>
                    </a:schemeClr>
                  </a:gs>
                  <a:gs pos="100000">
                    <a:schemeClr val="accent5">
                      <a:shade val="65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BF5F-414C-A874-1E7F1193101F}"/>
              </c:ext>
            </c:extLst>
          </c:dPt>
          <c:dPt>
            <c:idx val="3"/>
            <c:invertIfNegative val="0"/>
            <c:bubble3D val="0"/>
            <c:spPr>
              <a:gradFill>
                <a:gsLst>
                  <a:gs pos="0">
                    <a:schemeClr val="accent5">
                      <a:shade val="76000"/>
                    </a:schemeClr>
                  </a:gs>
                  <a:gs pos="100000">
                    <a:schemeClr val="accent5">
                      <a:shade val="76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BF5F-414C-A874-1E7F1193101F}"/>
              </c:ext>
            </c:extLst>
          </c:dPt>
          <c:dPt>
            <c:idx val="4"/>
            <c:invertIfNegative val="0"/>
            <c:bubble3D val="0"/>
            <c:spPr>
              <a:gradFill>
                <a:gsLst>
                  <a:gs pos="0">
                    <a:schemeClr val="accent5">
                      <a:shade val="88000"/>
                    </a:schemeClr>
                  </a:gs>
                  <a:gs pos="100000">
                    <a:schemeClr val="accent5">
                      <a:shade val="88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BF5F-414C-A874-1E7F1193101F}"/>
              </c:ext>
            </c:extLst>
          </c:dPt>
          <c:dPt>
            <c:idx val="5"/>
            <c:invertIfNegative val="0"/>
            <c:bubble3D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BF5F-414C-A874-1E7F1193101F}"/>
              </c:ext>
            </c:extLst>
          </c:dPt>
          <c:dPt>
            <c:idx val="6"/>
            <c:invertIfNegative val="0"/>
            <c:bubble3D val="0"/>
            <c:spPr>
              <a:gradFill>
                <a:gsLst>
                  <a:gs pos="0">
                    <a:schemeClr val="accent5">
                      <a:tint val="89000"/>
                    </a:schemeClr>
                  </a:gs>
                  <a:gs pos="100000">
                    <a:schemeClr val="accent5">
                      <a:tint val="89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BF5F-414C-A874-1E7F1193101F}"/>
              </c:ext>
            </c:extLst>
          </c:dPt>
          <c:dPt>
            <c:idx val="7"/>
            <c:invertIfNegative val="0"/>
            <c:bubble3D val="0"/>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F-BF5F-414C-A874-1E7F1193101F}"/>
              </c:ext>
            </c:extLst>
          </c:dPt>
          <c:dPt>
            <c:idx val="8"/>
            <c:invertIfNegative val="0"/>
            <c:bubble3D val="0"/>
            <c:spPr>
              <a:gradFill>
                <a:gsLst>
                  <a:gs pos="0">
                    <a:schemeClr val="accent5">
                      <a:tint val="65000"/>
                    </a:schemeClr>
                  </a:gs>
                  <a:gs pos="100000">
                    <a:schemeClr val="accent5">
                      <a:tint val="65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1-BF5F-414C-A874-1E7F1193101F}"/>
              </c:ext>
            </c:extLst>
          </c:dPt>
          <c:dPt>
            <c:idx val="9"/>
            <c:invertIfNegative val="0"/>
            <c:bubble3D val="0"/>
            <c:spPr>
              <a:gradFill>
                <a:gsLst>
                  <a:gs pos="0">
                    <a:schemeClr val="accent5">
                      <a:tint val="54000"/>
                    </a:schemeClr>
                  </a:gs>
                  <a:gs pos="100000">
                    <a:schemeClr val="accent5">
                      <a:tint val="54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3-BF5F-414C-A874-1E7F1193101F}"/>
              </c:ext>
            </c:extLst>
          </c:dPt>
          <c:dPt>
            <c:idx val="10"/>
            <c:invertIfNegative val="0"/>
            <c:bubble3D val="0"/>
            <c:spPr>
              <a:gradFill>
                <a:gsLst>
                  <a:gs pos="0">
                    <a:schemeClr val="accent5">
                      <a:tint val="42000"/>
                    </a:schemeClr>
                  </a:gs>
                  <a:gs pos="100000">
                    <a:schemeClr val="accent5">
                      <a:tint val="42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5-BF5F-414C-A874-1E7F1193101F}"/>
              </c:ext>
            </c:extLst>
          </c:dPt>
          <c:cat>
            <c:strRef>
              <c:f>SUMMARY!$I$31:$I$41</c:f>
              <c:strCache>
                <c:ptCount val="11"/>
                <c:pt idx="0">
                  <c:v>2008 Lehman Blow-Up</c:v>
                </c:pt>
                <c:pt idx="1">
                  <c:v>2002 Market Downturn</c:v>
                </c:pt>
                <c:pt idx="2">
                  <c:v>2001 WTC Attack</c:v>
                </c:pt>
                <c:pt idx="3">
                  <c:v>1987 Black Monday</c:v>
                </c:pt>
                <c:pt idx="4">
                  <c:v>1998 Russian Crisis</c:v>
                </c:pt>
                <c:pt idx="5">
                  <c:v>2008 January Crisis</c:v>
                </c:pt>
                <c:pt idx="6">
                  <c:v>2007 August Crisis</c:v>
                </c:pt>
                <c:pt idx="7">
                  <c:v>2001 Nasdaq</c:v>
                </c:pt>
                <c:pt idx="8">
                  <c:v>1997 - 1998 Asian Crisis</c:v>
                </c:pt>
                <c:pt idx="9">
                  <c:v>1990 Kuwait Invasion</c:v>
                </c:pt>
                <c:pt idx="10">
                  <c:v>2005 Katrina</c:v>
                </c:pt>
              </c:strCache>
            </c:strRef>
          </c:cat>
          <c:val>
            <c:numRef>
              <c:f>SUMMARY!$O$31:$O$41</c:f>
              <c:numCache>
                <c:formatCode>0.00</c:formatCode>
                <c:ptCount val="11"/>
                <c:pt idx="0">
                  <c:v>-3.5256818272930803</c:v>
                </c:pt>
                <c:pt idx="1">
                  <c:v>-1.7508843568673358</c:v>
                </c:pt>
                <c:pt idx="2">
                  <c:v>-1.1625695239190361</c:v>
                </c:pt>
                <c:pt idx="3">
                  <c:v>-0.69521190211696082</c:v>
                </c:pt>
                <c:pt idx="4">
                  <c:v>-0.68043189072259702</c:v>
                </c:pt>
                <c:pt idx="5">
                  <c:v>-0.30050480784091632</c:v>
                </c:pt>
                <c:pt idx="6">
                  <c:v>-2.4435815019009169E-2</c:v>
                </c:pt>
                <c:pt idx="7">
                  <c:v>7.205590222263708E-2</c:v>
                </c:pt>
                <c:pt idx="8">
                  <c:v>0.10203680349010974</c:v>
                </c:pt>
                <c:pt idx="9">
                  <c:v>0.2926616784079466</c:v>
                </c:pt>
                <c:pt idx="10">
                  <c:v>1.1043835732221836</c:v>
                </c:pt>
              </c:numCache>
            </c:numRef>
          </c:val>
          <c:extLst>
            <c:ext xmlns:c16="http://schemas.microsoft.com/office/drawing/2014/chart" uri="{C3380CC4-5D6E-409C-BE32-E72D297353CC}">
              <c16:uniqueId val="{00000016-BF5F-414C-A874-1E7F1193101F}"/>
            </c:ext>
          </c:extLst>
        </c:ser>
        <c:dLbls>
          <c:showLegendKey val="0"/>
          <c:showVal val="0"/>
          <c:showCatName val="0"/>
          <c:showSerName val="0"/>
          <c:showPercent val="0"/>
          <c:showBubbleSize val="0"/>
        </c:dLbls>
        <c:gapWidth val="41"/>
        <c:axId val="142274560"/>
        <c:axId val="142276096"/>
      </c:barChart>
      <c:catAx>
        <c:axId val="142274560"/>
        <c:scaling>
          <c:orientation val="minMax"/>
        </c:scaling>
        <c:delete val="0"/>
        <c:axPos val="b"/>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2276096"/>
        <c:crosses val="autoZero"/>
        <c:auto val="1"/>
        <c:lblAlgn val="ctr"/>
        <c:lblOffset val="100"/>
        <c:noMultiLvlLbl val="0"/>
      </c:catAx>
      <c:valAx>
        <c:axId val="142276096"/>
        <c:scaling>
          <c:orientation val="minMax"/>
        </c:scaling>
        <c:delete val="1"/>
        <c:axPos val="l"/>
        <c:numFmt formatCode="0.00" sourceLinked="1"/>
        <c:majorTickMark val="none"/>
        <c:minorTickMark val="none"/>
        <c:tickLblPos val="nextTo"/>
        <c:crossAx val="14227456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36681244909193E-2"/>
          <c:y val="0.18853198424108072"/>
          <c:w val="0.87052836964014235"/>
          <c:h val="0.71835431230315072"/>
        </c:manualLayout>
      </c:layout>
      <c:barChart>
        <c:barDir val="col"/>
        <c:grouping val="clustered"/>
        <c:varyColors val="0"/>
        <c:ser>
          <c:idx val="1"/>
          <c:order val="1"/>
          <c:spPr>
            <a:solidFill>
              <a:schemeClr val="bg1">
                <a:lumMod val="75000"/>
              </a:schemeClr>
            </a:solidFill>
            <a:ln w="12700">
              <a:noFill/>
            </a:ln>
          </c:spPr>
          <c:invertIfNegative val="0"/>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Histogram!$T$3:$T$103</c:f>
              <c:numCache>
                <c:formatCode>0.00</c:formatCode>
                <c:ptCount val="101"/>
                <c:pt idx="0" formatCode="General">
                  <c:v>0</c:v>
                </c:pt>
                <c:pt idx="1">
                  <c:v>12</c:v>
                </c:pt>
                <c:pt idx="2">
                  <c:v>6</c:v>
                </c:pt>
                <c:pt idx="3">
                  <c:v>6</c:v>
                </c:pt>
                <c:pt idx="4">
                  <c:v>7</c:v>
                </c:pt>
                <c:pt idx="5">
                  <c:v>10</c:v>
                </c:pt>
                <c:pt idx="6">
                  <c:v>16</c:v>
                </c:pt>
                <c:pt idx="7">
                  <c:v>15</c:v>
                </c:pt>
                <c:pt idx="8">
                  <c:v>17</c:v>
                </c:pt>
                <c:pt idx="9">
                  <c:v>20</c:v>
                </c:pt>
                <c:pt idx="10">
                  <c:v>25</c:v>
                </c:pt>
                <c:pt idx="11">
                  <c:v>21</c:v>
                </c:pt>
                <c:pt idx="12">
                  <c:v>18</c:v>
                </c:pt>
                <c:pt idx="13">
                  <c:v>22</c:v>
                </c:pt>
                <c:pt idx="14">
                  <c:v>28</c:v>
                </c:pt>
                <c:pt idx="15">
                  <c:v>31</c:v>
                </c:pt>
                <c:pt idx="16">
                  <c:v>22</c:v>
                </c:pt>
                <c:pt idx="17">
                  <c:v>44</c:v>
                </c:pt>
                <c:pt idx="18">
                  <c:v>45</c:v>
                </c:pt>
                <c:pt idx="19">
                  <c:v>45</c:v>
                </c:pt>
                <c:pt idx="20">
                  <c:v>60</c:v>
                </c:pt>
                <c:pt idx="21">
                  <c:v>62</c:v>
                </c:pt>
                <c:pt idx="22">
                  <c:v>70</c:v>
                </c:pt>
                <c:pt idx="23">
                  <c:v>67</c:v>
                </c:pt>
                <c:pt idx="24">
                  <c:v>103</c:v>
                </c:pt>
                <c:pt idx="25">
                  <c:v>96</c:v>
                </c:pt>
                <c:pt idx="26">
                  <c:v>141</c:v>
                </c:pt>
                <c:pt idx="27">
                  <c:v>161</c:v>
                </c:pt>
                <c:pt idx="28">
                  <c:v>185</c:v>
                </c:pt>
                <c:pt idx="29">
                  <c:v>199</c:v>
                </c:pt>
                <c:pt idx="30">
                  <c:v>273</c:v>
                </c:pt>
                <c:pt idx="31">
                  <c:v>325</c:v>
                </c:pt>
                <c:pt idx="32">
                  <c:v>404</c:v>
                </c:pt>
                <c:pt idx="33">
                  <c:v>433</c:v>
                </c:pt>
                <c:pt idx="34">
                  <c:v>505</c:v>
                </c:pt>
                <c:pt idx="35">
                  <c:v>685</c:v>
                </c:pt>
                <c:pt idx="36">
                  <c:v>819</c:v>
                </c:pt>
                <c:pt idx="37">
                  <c:v>969</c:v>
                </c:pt>
                <c:pt idx="38">
                  <c:v>1229</c:v>
                </c:pt>
                <c:pt idx="39">
                  <c:v>1551</c:v>
                </c:pt>
                <c:pt idx="40">
                  <c:v>1827</c:v>
                </c:pt>
                <c:pt idx="41">
                  <c:v>2260</c:v>
                </c:pt>
                <c:pt idx="42">
                  <c:v>2624</c:v>
                </c:pt>
                <c:pt idx="43">
                  <c:v>3295</c:v>
                </c:pt>
                <c:pt idx="44">
                  <c:v>3844</c:v>
                </c:pt>
                <c:pt idx="45">
                  <c:v>4568</c:v>
                </c:pt>
                <c:pt idx="46">
                  <c:v>5332</c:v>
                </c:pt>
                <c:pt idx="47">
                  <c:v>6003</c:v>
                </c:pt>
                <c:pt idx="48">
                  <c:v>6696</c:v>
                </c:pt>
                <c:pt idx="49">
                  <c:v>7563</c:v>
                </c:pt>
                <c:pt idx="50">
                  <c:v>8109</c:v>
                </c:pt>
                <c:pt idx="51">
                  <c:v>8572</c:v>
                </c:pt>
                <c:pt idx="52">
                  <c:v>8803</c:v>
                </c:pt>
                <c:pt idx="53">
                  <c:v>8684</c:v>
                </c:pt>
                <c:pt idx="54">
                  <c:v>8451</c:v>
                </c:pt>
                <c:pt idx="55">
                  <c:v>8110</c:v>
                </c:pt>
                <c:pt idx="56">
                  <c:v>7577</c:v>
                </c:pt>
                <c:pt idx="57">
                  <c:v>6710</c:v>
                </c:pt>
                <c:pt idx="58">
                  <c:v>6028</c:v>
                </c:pt>
                <c:pt idx="59">
                  <c:v>5023</c:v>
                </c:pt>
                <c:pt idx="60">
                  <c:v>4265</c:v>
                </c:pt>
                <c:pt idx="61">
                  <c:v>3518</c:v>
                </c:pt>
                <c:pt idx="62">
                  <c:v>2941</c:v>
                </c:pt>
                <c:pt idx="63">
                  <c:v>2311</c:v>
                </c:pt>
                <c:pt idx="64">
                  <c:v>1778</c:v>
                </c:pt>
                <c:pt idx="65">
                  <c:v>1412</c:v>
                </c:pt>
                <c:pt idx="66">
                  <c:v>1148</c:v>
                </c:pt>
                <c:pt idx="67">
                  <c:v>847</c:v>
                </c:pt>
                <c:pt idx="68">
                  <c:v>638</c:v>
                </c:pt>
                <c:pt idx="69">
                  <c:v>518</c:v>
                </c:pt>
                <c:pt idx="70">
                  <c:v>374</c:v>
                </c:pt>
                <c:pt idx="71">
                  <c:v>305</c:v>
                </c:pt>
                <c:pt idx="72">
                  <c:v>215</c:v>
                </c:pt>
                <c:pt idx="73">
                  <c:v>182</c:v>
                </c:pt>
                <c:pt idx="74">
                  <c:v>134</c:v>
                </c:pt>
                <c:pt idx="75">
                  <c:v>92</c:v>
                </c:pt>
                <c:pt idx="76">
                  <c:v>93</c:v>
                </c:pt>
                <c:pt idx="77">
                  <c:v>69</c:v>
                </c:pt>
                <c:pt idx="78">
                  <c:v>66</c:v>
                </c:pt>
                <c:pt idx="79">
                  <c:v>39</c:v>
                </c:pt>
                <c:pt idx="80">
                  <c:v>35</c:v>
                </c:pt>
                <c:pt idx="81">
                  <c:v>39</c:v>
                </c:pt>
                <c:pt idx="82">
                  <c:v>24</c:v>
                </c:pt>
                <c:pt idx="83">
                  <c:v>16</c:v>
                </c:pt>
                <c:pt idx="84">
                  <c:v>15</c:v>
                </c:pt>
                <c:pt idx="85">
                  <c:v>13</c:v>
                </c:pt>
                <c:pt idx="86">
                  <c:v>9</c:v>
                </c:pt>
                <c:pt idx="87">
                  <c:v>6</c:v>
                </c:pt>
                <c:pt idx="88">
                  <c:v>7</c:v>
                </c:pt>
                <c:pt idx="89">
                  <c:v>2</c:v>
                </c:pt>
                <c:pt idx="90">
                  <c:v>2</c:v>
                </c:pt>
                <c:pt idx="91">
                  <c:v>2</c:v>
                </c:pt>
                <c:pt idx="92">
                  <c:v>1</c:v>
                </c:pt>
                <c:pt idx="93">
                  <c:v>3</c:v>
                </c:pt>
                <c:pt idx="94">
                  <c:v>1</c:v>
                </c:pt>
                <c:pt idx="95">
                  <c:v>1</c:v>
                </c:pt>
                <c:pt idx="96">
                  <c:v>1</c:v>
                </c:pt>
                <c:pt idx="97">
                  <c:v>2</c:v>
                </c:pt>
                <c:pt idx="98">
                  <c:v>0</c:v>
                </c:pt>
                <c:pt idx="99">
                  <c:v>0</c:v>
                </c:pt>
                <c:pt idx="100">
                  <c:v>1</c:v>
                </c:pt>
              </c:numCache>
            </c:numRef>
          </c:val>
          <c:extLst>
            <c:ext xmlns:c16="http://schemas.microsoft.com/office/drawing/2014/chart" uri="{C3380CC4-5D6E-409C-BE32-E72D297353CC}">
              <c16:uniqueId val="{00000000-D76E-4365-AF63-BBBCB0B0876B}"/>
            </c:ext>
          </c:extLst>
        </c:ser>
        <c:dLbls>
          <c:showLegendKey val="0"/>
          <c:showVal val="0"/>
          <c:showCatName val="0"/>
          <c:showSerName val="0"/>
          <c:showPercent val="0"/>
          <c:showBubbleSize val="0"/>
        </c:dLbls>
        <c:gapWidth val="132"/>
        <c:overlap val="-77"/>
        <c:axId val="142375552"/>
        <c:axId val="142381440"/>
      </c:barChart>
      <c:barChart>
        <c:barDir val="col"/>
        <c:grouping val="clustered"/>
        <c:varyColors val="0"/>
        <c:ser>
          <c:idx val="2"/>
          <c:order val="0"/>
          <c:spPr>
            <a:solidFill>
              <a:schemeClr val="tx2">
                <a:lumMod val="75000"/>
                <a:alpha val="60000"/>
              </a:schemeClr>
            </a:solidFill>
          </c:spPr>
          <c:invertIfNegative val="0"/>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val>
          <c:extLst>
            <c:ext xmlns:c16="http://schemas.microsoft.com/office/drawing/2014/chart" uri="{C3380CC4-5D6E-409C-BE32-E72D297353CC}">
              <c16:uniqueId val="{00000001-D76E-4365-AF63-BBBCB0B0876B}"/>
            </c:ext>
          </c:extLst>
        </c:ser>
        <c:ser>
          <c:idx val="8"/>
          <c:order val="4"/>
          <c:spPr>
            <a:solidFill>
              <a:schemeClr val="accent1">
                <a:lumMod val="75000"/>
              </a:schemeClr>
            </a:solidFill>
            <a:ln w="9525">
              <a:solidFill>
                <a:schemeClr val="accent1">
                  <a:lumMod val="75000"/>
                </a:schemeClr>
              </a:solidFill>
            </a:ln>
          </c:spPr>
          <c:invertIfNegative val="0"/>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Histogram!$V$3:$V$103</c:f>
              <c:numCache>
                <c:formatCode>General</c:formatCode>
                <c:ptCount val="101"/>
                <c:pt idx="0">
                  <c:v>0</c:v>
                </c:pt>
                <c:pt idx="1">
                  <c:v>12</c:v>
                </c:pt>
                <c:pt idx="2">
                  <c:v>6</c:v>
                </c:pt>
                <c:pt idx="3">
                  <c:v>6</c:v>
                </c:pt>
                <c:pt idx="4">
                  <c:v>7</c:v>
                </c:pt>
                <c:pt idx="5">
                  <c:v>10</c:v>
                </c:pt>
                <c:pt idx="6">
                  <c:v>16</c:v>
                </c:pt>
                <c:pt idx="7">
                  <c:v>15</c:v>
                </c:pt>
                <c:pt idx="8">
                  <c:v>17</c:v>
                </c:pt>
                <c:pt idx="9">
                  <c:v>20</c:v>
                </c:pt>
                <c:pt idx="10">
                  <c:v>25</c:v>
                </c:pt>
                <c:pt idx="11">
                  <c:v>21</c:v>
                </c:pt>
                <c:pt idx="12">
                  <c:v>18</c:v>
                </c:pt>
                <c:pt idx="13">
                  <c:v>22</c:v>
                </c:pt>
                <c:pt idx="14">
                  <c:v>28</c:v>
                </c:pt>
                <c:pt idx="15">
                  <c:v>31</c:v>
                </c:pt>
                <c:pt idx="16">
                  <c:v>22</c:v>
                </c:pt>
                <c:pt idx="17">
                  <c:v>44</c:v>
                </c:pt>
                <c:pt idx="18">
                  <c:v>45</c:v>
                </c:pt>
                <c:pt idx="19">
                  <c:v>45</c:v>
                </c:pt>
                <c:pt idx="20">
                  <c:v>60</c:v>
                </c:pt>
                <c:pt idx="21">
                  <c:v>62</c:v>
                </c:pt>
                <c:pt idx="22">
                  <c:v>70</c:v>
                </c:pt>
                <c:pt idx="23">
                  <c:v>67</c:v>
                </c:pt>
                <c:pt idx="24">
                  <c:v>103</c:v>
                </c:pt>
                <c:pt idx="25">
                  <c:v>96</c:v>
                </c:pt>
                <c:pt idx="26">
                  <c:v>141</c:v>
                </c:pt>
                <c:pt idx="27">
                  <c:v>161</c:v>
                </c:pt>
                <c:pt idx="28">
                  <c:v>185</c:v>
                </c:pt>
                <c:pt idx="29">
                  <c:v>199</c:v>
                </c:pt>
                <c:pt idx="30">
                  <c:v>273</c:v>
                </c:pt>
                <c:pt idx="31">
                  <c:v>325</c:v>
                </c:pt>
                <c:pt idx="32">
                  <c:v>404</c:v>
                </c:pt>
                <c:pt idx="33">
                  <c:v>433</c:v>
                </c:pt>
                <c:pt idx="34">
                  <c:v>505</c:v>
                </c:pt>
                <c:pt idx="35">
                  <c:v>685</c:v>
                </c:pt>
                <c:pt idx="36">
                  <c:v>819</c:v>
                </c:pt>
                <c:pt idx="37">
                  <c:v>969</c:v>
                </c:pt>
                <c:pt idx="38">
                  <c:v>1229</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1778</c:v>
                </c:pt>
                <c:pt idx="65">
                  <c:v>1412</c:v>
                </c:pt>
                <c:pt idx="66">
                  <c:v>1148</c:v>
                </c:pt>
                <c:pt idx="67">
                  <c:v>847</c:v>
                </c:pt>
                <c:pt idx="68">
                  <c:v>638</c:v>
                </c:pt>
                <c:pt idx="69">
                  <c:v>518</c:v>
                </c:pt>
                <c:pt idx="70">
                  <c:v>374</c:v>
                </c:pt>
                <c:pt idx="71">
                  <c:v>305</c:v>
                </c:pt>
                <c:pt idx="72">
                  <c:v>215</c:v>
                </c:pt>
                <c:pt idx="73">
                  <c:v>182</c:v>
                </c:pt>
                <c:pt idx="74">
                  <c:v>134</c:v>
                </c:pt>
                <c:pt idx="75">
                  <c:v>92</c:v>
                </c:pt>
                <c:pt idx="76">
                  <c:v>93</c:v>
                </c:pt>
                <c:pt idx="77">
                  <c:v>69</c:v>
                </c:pt>
                <c:pt idx="78">
                  <c:v>66</c:v>
                </c:pt>
                <c:pt idx="79">
                  <c:v>39</c:v>
                </c:pt>
                <c:pt idx="80">
                  <c:v>35</c:v>
                </c:pt>
                <c:pt idx="81">
                  <c:v>39</c:v>
                </c:pt>
                <c:pt idx="82">
                  <c:v>24</c:v>
                </c:pt>
                <c:pt idx="83">
                  <c:v>16</c:v>
                </c:pt>
                <c:pt idx="84">
                  <c:v>15</c:v>
                </c:pt>
                <c:pt idx="85">
                  <c:v>13</c:v>
                </c:pt>
                <c:pt idx="86">
                  <c:v>9</c:v>
                </c:pt>
                <c:pt idx="87">
                  <c:v>6</c:v>
                </c:pt>
                <c:pt idx="88">
                  <c:v>7</c:v>
                </c:pt>
                <c:pt idx="89">
                  <c:v>2</c:v>
                </c:pt>
                <c:pt idx="90">
                  <c:v>2</c:v>
                </c:pt>
                <c:pt idx="91">
                  <c:v>2</c:v>
                </c:pt>
                <c:pt idx="92">
                  <c:v>1</c:v>
                </c:pt>
                <c:pt idx="93">
                  <c:v>3</c:v>
                </c:pt>
                <c:pt idx="94">
                  <c:v>1</c:v>
                </c:pt>
                <c:pt idx="95">
                  <c:v>1</c:v>
                </c:pt>
                <c:pt idx="96">
                  <c:v>1</c:v>
                </c:pt>
                <c:pt idx="97">
                  <c:v>2</c:v>
                </c:pt>
                <c:pt idx="98">
                  <c:v>0</c:v>
                </c:pt>
                <c:pt idx="99">
                  <c:v>0</c:v>
                </c:pt>
                <c:pt idx="100">
                  <c:v>1</c:v>
                </c:pt>
              </c:numCache>
            </c:numRef>
          </c:val>
          <c:extLst>
            <c:ext xmlns:c16="http://schemas.microsoft.com/office/drawing/2014/chart" uri="{C3380CC4-5D6E-409C-BE32-E72D297353CC}">
              <c16:uniqueId val="{00000002-D76E-4365-AF63-BBBCB0B0876B}"/>
            </c:ext>
          </c:extLst>
        </c:ser>
        <c:dLbls>
          <c:showLegendKey val="0"/>
          <c:showVal val="0"/>
          <c:showCatName val="0"/>
          <c:showSerName val="0"/>
          <c:showPercent val="0"/>
          <c:showBubbleSize val="0"/>
        </c:dLbls>
        <c:gapWidth val="259"/>
        <c:overlap val="82"/>
        <c:axId val="142384512"/>
        <c:axId val="142382976"/>
      </c:barChart>
      <c:lineChart>
        <c:grouping val="standard"/>
        <c:varyColors val="0"/>
        <c:ser>
          <c:idx val="5"/>
          <c:order val="2"/>
          <c:tx>
            <c:strRef>
              <c:f>Histogram!$X$2</c:f>
              <c:strCache>
                <c:ptCount val="1"/>
                <c:pt idx="0">
                  <c:v>VAR AT 95%,
-0.29%</c:v>
                </c:pt>
              </c:strCache>
            </c:strRef>
          </c:tx>
          <c:spPr>
            <a:ln w="12700">
              <a:solidFill>
                <a:schemeClr val="tx1"/>
              </a:solidFill>
              <a:bevel/>
            </a:ln>
          </c:spPr>
          <c:marker>
            <c:symbol val="circle"/>
            <c:size val="5"/>
            <c:spPr>
              <a:solidFill>
                <a:schemeClr val="accent1">
                  <a:lumMod val="75000"/>
                </a:schemeClr>
              </a:solidFill>
              <a:ln w="0">
                <a:noFill/>
              </a:ln>
            </c:spPr>
          </c:marker>
          <c:dPt>
            <c:idx val="38"/>
            <c:bubble3D val="0"/>
            <c:extLst>
              <c:ext xmlns:c16="http://schemas.microsoft.com/office/drawing/2014/chart" uri="{C3380CC4-5D6E-409C-BE32-E72D297353CC}">
                <c16:uniqueId val="{00000003-D76E-4365-AF63-BBBCB0B0876B}"/>
              </c:ext>
            </c:extLst>
          </c:dPt>
          <c:dPt>
            <c:idx val="42"/>
            <c:bubble3D val="0"/>
            <c:extLst>
              <c:ext xmlns:c16="http://schemas.microsoft.com/office/drawing/2014/chart" uri="{C3380CC4-5D6E-409C-BE32-E72D297353CC}">
                <c16:uniqueId val="{00000004-D76E-4365-AF63-BBBCB0B0876B}"/>
              </c:ext>
            </c:extLst>
          </c:dPt>
          <c:dLbls>
            <c:spPr>
              <a:noFill/>
              <a:ln>
                <a:noFill/>
              </a:ln>
              <a:effectLst/>
            </c:spPr>
            <c:txPr>
              <a:bodyPr/>
              <a:lstStyle/>
              <a:p>
                <a:pPr>
                  <a:defRPr sz="700">
                    <a:solidFill>
                      <a:sysClr val="windowText" lastClr="00000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Histogram!$X$3:$X$103</c:f>
              <c:numCache>
                <c:formatCode>General</c:formatCode>
                <c:ptCount val="1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9683.3000000000011</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smooth val="0"/>
          <c:extLst>
            <c:ext xmlns:c16="http://schemas.microsoft.com/office/drawing/2014/chart" uri="{C3380CC4-5D6E-409C-BE32-E72D297353CC}">
              <c16:uniqueId val="{00000005-D76E-4365-AF63-BBBCB0B0876B}"/>
            </c:ext>
          </c:extLst>
        </c:ser>
        <c:ser>
          <c:idx val="6"/>
          <c:order val="3"/>
          <c:tx>
            <c:strRef>
              <c:f>Histogram!$Y$2</c:f>
              <c:strCache>
                <c:ptCount val="1"/>
                <c:pt idx="0">
                  <c:v>VAR AT 5%,
2.06%</c:v>
                </c:pt>
              </c:strCache>
            </c:strRef>
          </c:tx>
          <c:spPr>
            <a:ln w="9525">
              <a:noFill/>
            </a:ln>
          </c:spPr>
          <c:marker>
            <c:symbol val="circle"/>
            <c:size val="5"/>
            <c:spPr>
              <a:solidFill>
                <a:schemeClr val="accent1">
                  <a:lumMod val="75000"/>
                </a:schemeClr>
              </a:solidFill>
              <a:ln w="9525">
                <a:noFill/>
              </a:ln>
            </c:spPr>
          </c:marker>
          <c:dPt>
            <c:idx val="62"/>
            <c:marker>
              <c:spPr>
                <a:solidFill>
                  <a:schemeClr val="accent1">
                    <a:lumMod val="75000"/>
                  </a:schemeClr>
                </a:solidFill>
                <a:ln w="9525">
                  <a:solidFill>
                    <a:srgbClr val="558ED5"/>
                  </a:solidFill>
                </a:ln>
              </c:spPr>
            </c:marker>
            <c:bubble3D val="0"/>
            <c:spPr>
              <a:ln w="9525">
                <a:solidFill>
                  <a:srgbClr val="558ED5"/>
                </a:solidFill>
              </a:ln>
            </c:spPr>
            <c:extLst>
              <c:ext xmlns:c16="http://schemas.microsoft.com/office/drawing/2014/chart" uri="{C3380CC4-5D6E-409C-BE32-E72D297353CC}">
                <c16:uniqueId val="{00000007-D76E-4365-AF63-BBBCB0B0876B}"/>
              </c:ext>
            </c:extLst>
          </c:dPt>
          <c:dPt>
            <c:idx val="65"/>
            <c:bubble3D val="0"/>
            <c:extLst>
              <c:ext xmlns:c16="http://schemas.microsoft.com/office/drawing/2014/chart" uri="{C3380CC4-5D6E-409C-BE32-E72D297353CC}">
                <c16:uniqueId val="{00000008-D76E-4365-AF63-BBBCB0B0876B}"/>
              </c:ext>
            </c:extLst>
          </c:dPt>
          <c:dPt>
            <c:idx val="67"/>
            <c:bubble3D val="0"/>
            <c:extLst>
              <c:ext xmlns:c16="http://schemas.microsoft.com/office/drawing/2014/chart" uri="{C3380CC4-5D6E-409C-BE32-E72D297353CC}">
                <c16:uniqueId val="{00000009-D76E-4365-AF63-BBBCB0B0876B}"/>
              </c:ext>
            </c:extLst>
          </c:dPt>
          <c:dPt>
            <c:idx val="70"/>
            <c:bubble3D val="0"/>
            <c:extLst>
              <c:ext xmlns:c16="http://schemas.microsoft.com/office/drawing/2014/chart" uri="{C3380CC4-5D6E-409C-BE32-E72D297353CC}">
                <c16:uniqueId val="{0000000A-D76E-4365-AF63-BBBCB0B0876B}"/>
              </c:ext>
            </c:extLst>
          </c:dPt>
          <c:dLbls>
            <c:numFmt formatCode="@" sourceLinked="0"/>
            <c:spPr>
              <a:noFill/>
              <a:ln>
                <a:noFill/>
              </a:ln>
              <a:effectLst/>
            </c:spPr>
            <c:txPr>
              <a:bodyPr/>
              <a:lstStyle/>
              <a:p>
                <a:pPr>
                  <a:defRPr sz="700">
                    <a:solidFill>
                      <a:sysClr val="windowText" lastClr="00000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Histogram!$Y$3:$Y$103</c:f>
              <c:numCache>
                <c:formatCode>General</c:formatCode>
                <c:ptCount val="1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9683.3000000000011</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smooth val="1"/>
          <c:extLst>
            <c:ext xmlns:c16="http://schemas.microsoft.com/office/drawing/2014/chart" uri="{C3380CC4-5D6E-409C-BE32-E72D297353CC}">
              <c16:uniqueId val="{0000000B-D76E-4365-AF63-BBBCB0B0876B}"/>
            </c:ext>
          </c:extLst>
        </c:ser>
        <c:ser>
          <c:idx val="0"/>
          <c:order val="5"/>
          <c:tx>
            <c:strRef>
              <c:f>Histogram!$Z$2</c:f>
              <c:strCache>
                <c:ptCount val="1"/>
                <c:pt idx="0">
                  <c:v>MEAN,
0.94%</c:v>
                </c:pt>
              </c:strCache>
            </c:strRef>
          </c:tx>
          <c:spPr>
            <a:ln w="12700"/>
          </c:spPr>
          <c:marker>
            <c:symbol val="circle"/>
            <c:size val="3"/>
            <c:spPr>
              <a:solidFill>
                <a:schemeClr val="tx1"/>
              </a:solidFill>
              <a:ln>
                <a:noFill/>
              </a:ln>
            </c:spPr>
          </c:marker>
          <c:dLbls>
            <c:spPr>
              <a:noFill/>
              <a:ln>
                <a:noFill/>
              </a:ln>
              <a:effectLst/>
            </c:spPr>
            <c:txPr>
              <a:bodyPr/>
              <a:lstStyle/>
              <a:p>
                <a:pPr>
                  <a:defRPr sz="700">
                    <a:solidFill>
                      <a:sysClr val="windowText" lastClr="00000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Histogram!$R$3:$R$103</c:f>
              <c:numCache>
                <c:formatCode>0.00%</c:formatCode>
                <c:ptCount val="101"/>
                <c:pt idx="0" formatCode="0.0%">
                  <c:v>-3.8627502680157313E-2</c:v>
                </c:pt>
                <c:pt idx="1">
                  <c:v>-3.7691282299964206E-2</c:v>
                </c:pt>
                <c:pt idx="2">
                  <c:v>-3.6755061919771098E-2</c:v>
                </c:pt>
                <c:pt idx="3">
                  <c:v>-3.581884153957799E-2</c:v>
                </c:pt>
                <c:pt idx="4">
                  <c:v>-3.4882621159384883E-2</c:v>
                </c:pt>
                <c:pt idx="5">
                  <c:v>-3.3946400779191775E-2</c:v>
                </c:pt>
                <c:pt idx="6">
                  <c:v>-3.3010180398998668E-2</c:v>
                </c:pt>
                <c:pt idx="7">
                  <c:v>-3.207396001880556E-2</c:v>
                </c:pt>
                <c:pt idx="8">
                  <c:v>-3.1137739638612456E-2</c:v>
                </c:pt>
                <c:pt idx="9">
                  <c:v>-3.0201519258419351E-2</c:v>
                </c:pt>
                <c:pt idx="10">
                  <c:v>-2.9265298878226247E-2</c:v>
                </c:pt>
                <c:pt idx="11">
                  <c:v>-2.8329078498033143E-2</c:v>
                </c:pt>
                <c:pt idx="12">
                  <c:v>-2.7392858117840039E-2</c:v>
                </c:pt>
                <c:pt idx="13">
                  <c:v>-2.6456637737646935E-2</c:v>
                </c:pt>
                <c:pt idx="14">
                  <c:v>-2.5520417357453831E-2</c:v>
                </c:pt>
                <c:pt idx="15">
                  <c:v>-2.4584196977260726E-2</c:v>
                </c:pt>
                <c:pt idx="16">
                  <c:v>-2.3647976597067622E-2</c:v>
                </c:pt>
                <c:pt idx="17">
                  <c:v>-2.2711756216874518E-2</c:v>
                </c:pt>
                <c:pt idx="18">
                  <c:v>-2.1775535836681414E-2</c:v>
                </c:pt>
                <c:pt idx="19">
                  <c:v>-2.083931545648831E-2</c:v>
                </c:pt>
                <c:pt idx="20">
                  <c:v>-1.9903095076295205E-2</c:v>
                </c:pt>
                <c:pt idx="21">
                  <c:v>-1.8966874696102101E-2</c:v>
                </c:pt>
                <c:pt idx="22">
                  <c:v>-1.8030654315908997E-2</c:v>
                </c:pt>
                <c:pt idx="23">
                  <c:v>-1.7094433935715893E-2</c:v>
                </c:pt>
                <c:pt idx="24">
                  <c:v>-1.6158213555522789E-2</c:v>
                </c:pt>
                <c:pt idx="25">
                  <c:v>-1.5221993175329684E-2</c:v>
                </c:pt>
                <c:pt idx="26">
                  <c:v>-1.428577279513658E-2</c:v>
                </c:pt>
                <c:pt idx="27">
                  <c:v>-1.3349552414943476E-2</c:v>
                </c:pt>
                <c:pt idx="28">
                  <c:v>-1.2413332034750372E-2</c:v>
                </c:pt>
                <c:pt idx="29">
                  <c:v>-1.1477111654557268E-2</c:v>
                </c:pt>
                <c:pt idx="30">
                  <c:v>-1.0540891274364163E-2</c:v>
                </c:pt>
                <c:pt idx="31">
                  <c:v>-9.6046708941710593E-3</c:v>
                </c:pt>
                <c:pt idx="32">
                  <c:v>-8.6684505139779551E-3</c:v>
                </c:pt>
                <c:pt idx="33">
                  <c:v>-7.7322301337848509E-3</c:v>
                </c:pt>
                <c:pt idx="34">
                  <c:v>-6.7960097535917467E-3</c:v>
                </c:pt>
                <c:pt idx="35">
                  <c:v>-5.8597893733986425E-3</c:v>
                </c:pt>
                <c:pt idx="36">
                  <c:v>-4.9235689932055383E-3</c:v>
                </c:pt>
                <c:pt idx="37">
                  <c:v>-3.9873486130124342E-3</c:v>
                </c:pt>
                <c:pt idx="38">
                  <c:v>-3.0511282328193295E-3</c:v>
                </c:pt>
                <c:pt idx="39">
                  <c:v>-2.1149078526262249E-3</c:v>
                </c:pt>
                <c:pt idx="40">
                  <c:v>-1.1786874724331203E-3</c:v>
                </c:pt>
                <c:pt idx="41">
                  <c:v>-2.4246709224001566E-4</c:v>
                </c:pt>
                <c:pt idx="42">
                  <c:v>6.9375328795308897E-4</c:v>
                </c:pt>
                <c:pt idx="43">
                  <c:v>1.6299736681461936E-3</c:v>
                </c:pt>
                <c:pt idx="44">
                  <c:v>2.5661940483392982E-3</c:v>
                </c:pt>
                <c:pt idx="45">
                  <c:v>3.5024144285324028E-3</c:v>
                </c:pt>
                <c:pt idx="46">
                  <c:v>4.438634808725507E-3</c:v>
                </c:pt>
                <c:pt idx="47">
                  <c:v>5.3748551889186112E-3</c:v>
                </c:pt>
                <c:pt idx="48">
                  <c:v>6.3110755691117154E-3</c:v>
                </c:pt>
                <c:pt idx="49">
                  <c:v>7.2472959493048196E-3</c:v>
                </c:pt>
                <c:pt idx="50">
                  <c:v>8.1835163294979238E-3</c:v>
                </c:pt>
                <c:pt idx="51">
                  <c:v>9.119736709691028E-3</c:v>
                </c:pt>
                <c:pt idx="52">
                  <c:v>1.0055957089884132E-2</c:v>
                </c:pt>
                <c:pt idx="53">
                  <c:v>1.0992177470077236E-2</c:v>
                </c:pt>
                <c:pt idx="54">
                  <c:v>1.1928397850270341E-2</c:v>
                </c:pt>
                <c:pt idx="55">
                  <c:v>1.2864618230463445E-2</c:v>
                </c:pt>
                <c:pt idx="56">
                  <c:v>1.3800838610656549E-2</c:v>
                </c:pt>
                <c:pt idx="57">
                  <c:v>1.4737058990849653E-2</c:v>
                </c:pt>
                <c:pt idx="58">
                  <c:v>1.5673279371042757E-2</c:v>
                </c:pt>
                <c:pt idx="59">
                  <c:v>1.6609499751235862E-2</c:v>
                </c:pt>
                <c:pt idx="60">
                  <c:v>1.7545720131428966E-2</c:v>
                </c:pt>
                <c:pt idx="61">
                  <c:v>1.848194051162207E-2</c:v>
                </c:pt>
                <c:pt idx="62">
                  <c:v>1.9418160891815174E-2</c:v>
                </c:pt>
                <c:pt idx="63">
                  <c:v>2.0354381272008278E-2</c:v>
                </c:pt>
                <c:pt idx="64">
                  <c:v>2.1290601652201382E-2</c:v>
                </c:pt>
                <c:pt idx="65">
                  <c:v>2.2226822032394487E-2</c:v>
                </c:pt>
                <c:pt idx="66">
                  <c:v>2.3163042412587591E-2</c:v>
                </c:pt>
                <c:pt idx="67">
                  <c:v>2.4099262792780695E-2</c:v>
                </c:pt>
                <c:pt idx="68">
                  <c:v>2.5035483172973799E-2</c:v>
                </c:pt>
                <c:pt idx="69">
                  <c:v>2.5971703553166903E-2</c:v>
                </c:pt>
                <c:pt idx="70">
                  <c:v>2.6907923933360008E-2</c:v>
                </c:pt>
                <c:pt idx="71">
                  <c:v>2.7844144313553112E-2</c:v>
                </c:pt>
                <c:pt idx="72">
                  <c:v>2.8780364693746216E-2</c:v>
                </c:pt>
                <c:pt idx="73">
                  <c:v>2.971658507393932E-2</c:v>
                </c:pt>
                <c:pt idx="74">
                  <c:v>3.0652805454132424E-2</c:v>
                </c:pt>
                <c:pt idx="75">
                  <c:v>3.1589025834325532E-2</c:v>
                </c:pt>
                <c:pt idx="76">
                  <c:v>3.252524621451864E-2</c:v>
                </c:pt>
                <c:pt idx="77">
                  <c:v>3.3461466594711747E-2</c:v>
                </c:pt>
                <c:pt idx="78">
                  <c:v>3.4397686974904855E-2</c:v>
                </c:pt>
                <c:pt idx="79">
                  <c:v>3.5333907355097963E-2</c:v>
                </c:pt>
                <c:pt idx="80">
                  <c:v>3.627012773529107E-2</c:v>
                </c:pt>
                <c:pt idx="81">
                  <c:v>3.7206348115484178E-2</c:v>
                </c:pt>
                <c:pt idx="82">
                  <c:v>3.8142568495677286E-2</c:v>
                </c:pt>
                <c:pt idx="83">
                  <c:v>3.9078788875870393E-2</c:v>
                </c:pt>
                <c:pt idx="84">
                  <c:v>4.0015009256063501E-2</c:v>
                </c:pt>
                <c:pt idx="85">
                  <c:v>4.0951229636256609E-2</c:v>
                </c:pt>
                <c:pt idx="86">
                  <c:v>4.1887450016449716E-2</c:v>
                </c:pt>
                <c:pt idx="87">
                  <c:v>4.2823670396642824E-2</c:v>
                </c:pt>
                <c:pt idx="88">
                  <c:v>4.3759890776835932E-2</c:v>
                </c:pt>
                <c:pt idx="89">
                  <c:v>4.4696111157029039E-2</c:v>
                </c:pt>
                <c:pt idx="90">
                  <c:v>4.5632331537222147E-2</c:v>
                </c:pt>
                <c:pt idx="91">
                  <c:v>4.6568551917415255E-2</c:v>
                </c:pt>
                <c:pt idx="92">
                  <c:v>4.7504772297608362E-2</c:v>
                </c:pt>
                <c:pt idx="93">
                  <c:v>4.844099267780147E-2</c:v>
                </c:pt>
                <c:pt idx="94">
                  <c:v>4.9377213057994578E-2</c:v>
                </c:pt>
                <c:pt idx="95">
                  <c:v>5.0313433438187685E-2</c:v>
                </c:pt>
                <c:pt idx="96">
                  <c:v>5.1249653818380793E-2</c:v>
                </c:pt>
                <c:pt idx="97">
                  <c:v>5.2185874198573901E-2</c:v>
                </c:pt>
                <c:pt idx="98">
                  <c:v>5.3122094578767008E-2</c:v>
                </c:pt>
                <c:pt idx="99">
                  <c:v>5.4058314958960116E-2</c:v>
                </c:pt>
                <c:pt idx="100">
                  <c:v>5.4994535339153224E-2</c:v>
                </c:pt>
              </c:numCache>
            </c:numRef>
          </c:cat>
          <c:val>
            <c:numRef>
              <c:f>Histogram!$Z$3:$Z$103</c:f>
              <c:numCache>
                <c:formatCode>General</c:formatCode>
                <c:ptCount val="1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9683.3000000000011</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numCache>
            </c:numRef>
          </c:val>
          <c:smooth val="0"/>
          <c:extLst>
            <c:ext xmlns:c16="http://schemas.microsoft.com/office/drawing/2014/chart" uri="{C3380CC4-5D6E-409C-BE32-E72D297353CC}">
              <c16:uniqueId val="{0000000C-D76E-4365-AF63-BBBCB0B0876B}"/>
            </c:ext>
          </c:extLst>
        </c:ser>
        <c:dLbls>
          <c:showLegendKey val="0"/>
          <c:showVal val="0"/>
          <c:showCatName val="0"/>
          <c:showSerName val="0"/>
          <c:showPercent val="0"/>
          <c:showBubbleSize val="0"/>
        </c:dLbls>
        <c:dropLines>
          <c:spPr>
            <a:ln w="6350"/>
          </c:spPr>
        </c:dropLines>
        <c:upDownBars>
          <c:gapWidth val="150"/>
          <c:upBars/>
          <c:downBars/>
        </c:upDownBars>
        <c:marker val="1"/>
        <c:smooth val="0"/>
        <c:axId val="142384512"/>
        <c:axId val="142382976"/>
      </c:lineChart>
      <c:catAx>
        <c:axId val="142375552"/>
        <c:scaling>
          <c:orientation val="minMax"/>
        </c:scaling>
        <c:delete val="0"/>
        <c:axPos val="b"/>
        <c:numFmt formatCode="0.0%" sourceLinked="1"/>
        <c:majorTickMark val="cross"/>
        <c:minorTickMark val="none"/>
        <c:tickLblPos val="nextTo"/>
        <c:spPr>
          <a:ln>
            <a:noFill/>
          </a:ln>
        </c:spPr>
        <c:txPr>
          <a:bodyPr/>
          <a:lstStyle/>
          <a:p>
            <a:pPr>
              <a:defRPr sz="600">
                <a:latin typeface="+mn-lt"/>
              </a:defRPr>
            </a:pPr>
            <a:endParaRPr lang="en-US"/>
          </a:p>
        </c:txPr>
        <c:crossAx val="142381440"/>
        <c:crosses val="autoZero"/>
        <c:auto val="1"/>
        <c:lblAlgn val="ctr"/>
        <c:lblOffset val="100"/>
        <c:tickLblSkip val="10"/>
        <c:tickMarkSkip val="10"/>
        <c:noMultiLvlLbl val="0"/>
      </c:catAx>
      <c:valAx>
        <c:axId val="142381440"/>
        <c:scaling>
          <c:orientation val="minMax"/>
          <c:min val="0"/>
        </c:scaling>
        <c:delete val="1"/>
        <c:axPos val="l"/>
        <c:numFmt formatCode="General" sourceLinked="1"/>
        <c:majorTickMark val="out"/>
        <c:minorTickMark val="none"/>
        <c:tickLblPos val="nextTo"/>
        <c:crossAx val="142375552"/>
        <c:crosses val="autoZero"/>
        <c:crossBetween val="between"/>
      </c:valAx>
      <c:valAx>
        <c:axId val="142382976"/>
        <c:scaling>
          <c:orientation val="minMax"/>
        </c:scaling>
        <c:delete val="1"/>
        <c:axPos val="r"/>
        <c:numFmt formatCode="0.0%" sourceLinked="1"/>
        <c:majorTickMark val="out"/>
        <c:minorTickMark val="none"/>
        <c:tickLblPos val="nextTo"/>
        <c:crossAx val="142384512"/>
        <c:crosses val="max"/>
        <c:crossBetween val="between"/>
      </c:valAx>
      <c:catAx>
        <c:axId val="142384512"/>
        <c:scaling>
          <c:orientation val="minMax"/>
        </c:scaling>
        <c:delete val="1"/>
        <c:axPos val="b"/>
        <c:numFmt formatCode="0.0%" sourceLinked="1"/>
        <c:majorTickMark val="out"/>
        <c:minorTickMark val="none"/>
        <c:tickLblPos val="nextTo"/>
        <c:crossAx val="142382976"/>
        <c:crosses val="autoZero"/>
        <c:auto val="1"/>
        <c:lblAlgn val="ctr"/>
        <c:lblOffset val="100"/>
        <c:noMultiLvlLbl val="0"/>
      </c:catAx>
      <c:spPr>
        <a:noFill/>
      </c:spPr>
    </c:plotArea>
    <c:plotVisOnly val="1"/>
    <c:dispBlanksAs val="zero"/>
    <c:showDLblsOverMax val="0"/>
  </c:chart>
  <c:spPr>
    <a:noFill/>
    <a:ln>
      <a:noFill/>
    </a:ln>
  </c:spPr>
  <c:txPr>
    <a:bodyPr/>
    <a:lstStyle/>
    <a:p>
      <a:pPr>
        <a:defRPr sz="800">
          <a:solidFill>
            <a:schemeClr val="bg1">
              <a:lumMod val="50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20207412776516E-2"/>
          <c:y val="1.8052208393081848E-2"/>
          <c:w val="0.7283689193361591"/>
          <c:h val="0.97800861293311714"/>
        </c:manualLayout>
      </c:layout>
      <c:barChart>
        <c:barDir val="bar"/>
        <c:grouping val="clustered"/>
        <c:varyColors val="0"/>
        <c:ser>
          <c:idx val="0"/>
          <c:order val="0"/>
          <c:tx>
            <c:v>PC to ETL</c:v>
          </c:tx>
          <c:spPr>
            <a:solidFill>
              <a:schemeClr val="accent2">
                <a:alpha val="89000"/>
              </a:schemeClr>
            </a:solidFill>
          </c:spPr>
          <c:invertIfNegative val="0"/>
          <c:val>
            <c:numRef>
              <c:f>'SIMULATED RISK'!$Q$10:$Q$82</c:f>
              <c:numCache>
                <c:formatCode>0.00</c:formatCode>
                <c:ptCount val="73"/>
                <c:pt idx="0">
                  <c:v>1.8814123717764768</c:v>
                </c:pt>
                <c:pt idx="1">
                  <c:v>-0.35162447286244924</c:v>
                </c:pt>
                <c:pt idx="2">
                  <c:v>2.2330368446394151</c:v>
                </c:pt>
                <c:pt idx="3">
                  <c:v>18.998553636777704</c:v>
                </c:pt>
                <c:pt idx="4">
                  <c:v>-4.1206617878793136E-2</c:v>
                </c:pt>
                <c:pt idx="5">
                  <c:v>-7.715614201097723E-2</c:v>
                </c:pt>
                <c:pt idx="6">
                  <c:v>0.14474074781001958</c:v>
                </c:pt>
                <c:pt idx="7">
                  <c:v>-1.5395183276857445</c:v>
                </c:pt>
                <c:pt idx="8">
                  <c:v>12.799680806506162</c:v>
                </c:pt>
                <c:pt idx="9">
                  <c:v>0.16993092174530189</c:v>
                </c:pt>
                <c:pt idx="10">
                  <c:v>7.5420822482864773</c:v>
                </c:pt>
                <c:pt idx="11">
                  <c:v>25.089922983019019</c:v>
                </c:pt>
                <c:pt idx="12">
                  <c:v>0.28308841571643062</c:v>
                </c:pt>
                <c:pt idx="13">
                  <c:v>17.27161087065906</c:v>
                </c:pt>
                <c:pt idx="14">
                  <c:v>2.8757318884935712</c:v>
                </c:pt>
                <c:pt idx="15">
                  <c:v>4.6594918081542032</c:v>
                </c:pt>
                <c:pt idx="16">
                  <c:v>-0.68603623674334091</c:v>
                </c:pt>
                <c:pt idx="17">
                  <c:v>0.13394920978005598</c:v>
                </c:pt>
                <c:pt idx="18">
                  <c:v>1.7525497243171342</c:v>
                </c:pt>
                <c:pt idx="19">
                  <c:v>-2.5725351708336208</c:v>
                </c:pt>
                <c:pt idx="20">
                  <c:v>35.780904503456256</c:v>
                </c:pt>
                <c:pt idx="21">
                  <c:v>-1.7935204515218881</c:v>
                </c:pt>
                <c:pt idx="22">
                  <c:v>12.454063299520126</c:v>
                </c:pt>
                <c:pt idx="23">
                  <c:v>7.9169232747051348</c:v>
                </c:pt>
                <c:pt idx="24">
                  <c:v>3.9419553973865011</c:v>
                </c:pt>
                <c:pt idx="25">
                  <c:v>13.261482983365591</c:v>
                </c:pt>
                <c:pt idx="26">
                  <c:v>4.7744053189444582</c:v>
                </c:pt>
                <c:pt idx="27">
                  <c:v>-1.0718946273533785</c:v>
                </c:pt>
                <c:pt idx="28">
                  <c:v>5.0199836889153575</c:v>
                </c:pt>
                <c:pt idx="29">
                  <c:v>-7.0757864472449414</c:v>
                </c:pt>
                <c:pt idx="30">
                  <c:v>-4.9577198765206525</c:v>
                </c:pt>
                <c:pt idx="31">
                  <c:v>1.4674244042017675</c:v>
                </c:pt>
                <c:pt idx="32">
                  <c:v>11.392398176958878</c:v>
                </c:pt>
                <c:pt idx="33">
                  <c:v>8.0898124116242265</c:v>
                </c:pt>
                <c:pt idx="34">
                  <c:v>0.87266335500103254</c:v>
                </c:pt>
                <c:pt idx="35">
                  <c:v>1.3099146695672548</c:v>
                </c:pt>
                <c:pt idx="36">
                  <c:v>0.79315571983354283</c:v>
                </c:pt>
                <c:pt idx="37">
                  <c:v>0.3368264338216162</c:v>
                </c:pt>
                <c:pt idx="38">
                  <c:v>0.95403144294634068</c:v>
                </c:pt>
                <c:pt idx="39">
                  <c:v>-0.5382587975228198</c:v>
                </c:pt>
                <c:pt idx="40">
                  <c:v>-0.86672468950971437</c:v>
                </c:pt>
                <c:pt idx="41">
                  <c:v>5.2282042774751307</c:v>
                </c:pt>
                <c:pt idx="42">
                  <c:v>6.0710250111409936</c:v>
                </c:pt>
                <c:pt idx="43">
                  <c:v>-0.97570762184885218</c:v>
                </c:pt>
                <c:pt idx="44">
                  <c:v>7.0467326329868483</c:v>
                </c:pt>
              </c:numCache>
            </c:numRef>
          </c:val>
          <c:extLst>
            <c:ext xmlns:c16="http://schemas.microsoft.com/office/drawing/2014/chart" uri="{C3380CC4-5D6E-409C-BE32-E72D297353CC}">
              <c16:uniqueId val="{00000000-1467-4215-97C5-062C7AF8BFB9}"/>
            </c:ext>
          </c:extLst>
        </c:ser>
        <c:ser>
          <c:idx val="1"/>
          <c:order val="1"/>
          <c:tx>
            <c:v>PC to ETR</c:v>
          </c:tx>
          <c:spPr>
            <a:solidFill>
              <a:schemeClr val="accent1">
                <a:alpha val="84000"/>
              </a:schemeClr>
            </a:solidFill>
          </c:spPr>
          <c:invertIfNegative val="0"/>
          <c:val>
            <c:numRef>
              <c:f>'SIMULATED RISK'!$S$10:$S$82</c:f>
              <c:numCache>
                <c:formatCode>0.00</c:formatCode>
                <c:ptCount val="73"/>
                <c:pt idx="0">
                  <c:v>1.8035227915651266</c:v>
                </c:pt>
                <c:pt idx="1">
                  <c:v>0.36461956351597213</c:v>
                </c:pt>
                <c:pt idx="2">
                  <c:v>1.4389032280490128</c:v>
                </c:pt>
                <c:pt idx="3">
                  <c:v>6.9948531633509665</c:v>
                </c:pt>
                <c:pt idx="4">
                  <c:v>3.4903800877601476E-2</c:v>
                </c:pt>
                <c:pt idx="5">
                  <c:v>0.19093010871863222</c:v>
                </c:pt>
                <c:pt idx="6">
                  <c:v>1.9131273721564413E-2</c:v>
                </c:pt>
                <c:pt idx="7">
                  <c:v>2.8637600861786409E-2</c:v>
                </c:pt>
                <c:pt idx="8">
                  <c:v>3.1550345274786862</c:v>
                </c:pt>
                <c:pt idx="9">
                  <c:v>1.5147636934134165</c:v>
                </c:pt>
                <c:pt idx="10">
                  <c:v>2.0514521582783924</c:v>
                </c:pt>
                <c:pt idx="11">
                  <c:v>17.643214073794869</c:v>
                </c:pt>
                <c:pt idx="12">
                  <c:v>3.0713060027957493</c:v>
                </c:pt>
                <c:pt idx="13">
                  <c:v>10.564452198559481</c:v>
                </c:pt>
                <c:pt idx="14">
                  <c:v>2.1396314760176671</c:v>
                </c:pt>
                <c:pt idx="15">
                  <c:v>1.867824396422195</c:v>
                </c:pt>
                <c:pt idx="16">
                  <c:v>5.8903197003391696</c:v>
                </c:pt>
                <c:pt idx="17">
                  <c:v>1.6517269468354885</c:v>
                </c:pt>
                <c:pt idx="18">
                  <c:v>0.90102320319918072</c:v>
                </c:pt>
                <c:pt idx="19">
                  <c:v>3.3375695503040532</c:v>
                </c:pt>
                <c:pt idx="20">
                  <c:v>17.542421771426675</c:v>
                </c:pt>
                <c:pt idx="21">
                  <c:v>1.808041741768756</c:v>
                </c:pt>
                <c:pt idx="22">
                  <c:v>4.2246702460988628</c:v>
                </c:pt>
                <c:pt idx="23">
                  <c:v>2.7220868833344016</c:v>
                </c:pt>
                <c:pt idx="24">
                  <c:v>0.76642304776837422</c:v>
                </c:pt>
                <c:pt idx="25">
                  <c:v>8.0211998524535915</c:v>
                </c:pt>
                <c:pt idx="26">
                  <c:v>29.906161524189269</c:v>
                </c:pt>
                <c:pt idx="27">
                  <c:v>4.0326767293305466</c:v>
                </c:pt>
                <c:pt idx="28">
                  <c:v>3.1043284106614486</c:v>
                </c:pt>
                <c:pt idx="29">
                  <c:v>9.7672503944406657</c:v>
                </c:pt>
                <c:pt idx="30">
                  <c:v>2.6406144756086971</c:v>
                </c:pt>
                <c:pt idx="31">
                  <c:v>4.3730822650611465</c:v>
                </c:pt>
                <c:pt idx="32">
                  <c:v>5.988209249087836</c:v>
                </c:pt>
                <c:pt idx="33">
                  <c:v>15.164867257958901</c:v>
                </c:pt>
                <c:pt idx="34">
                  <c:v>0.13637968814458337</c:v>
                </c:pt>
                <c:pt idx="35">
                  <c:v>1.289262456271294</c:v>
                </c:pt>
                <c:pt idx="36">
                  <c:v>3.1458068477975369</c:v>
                </c:pt>
                <c:pt idx="37">
                  <c:v>0.22717667692601945</c:v>
                </c:pt>
                <c:pt idx="38">
                  <c:v>3.3372762721579425</c:v>
                </c:pt>
                <c:pt idx="39">
                  <c:v>0.55649157969454932</c:v>
                </c:pt>
                <c:pt idx="40">
                  <c:v>2.834087126669508</c:v>
                </c:pt>
                <c:pt idx="41">
                  <c:v>3.6383866102991256</c:v>
                </c:pt>
                <c:pt idx="42">
                  <c:v>5.0546397173766469</c:v>
                </c:pt>
                <c:pt idx="43">
                  <c:v>1.3646659393379772</c:v>
                </c:pt>
                <c:pt idx="44">
                  <c:v>3.6899737780392061</c:v>
                </c:pt>
              </c:numCache>
            </c:numRef>
          </c:val>
          <c:extLst>
            <c:ext xmlns:c16="http://schemas.microsoft.com/office/drawing/2014/chart" uri="{C3380CC4-5D6E-409C-BE32-E72D297353CC}">
              <c16:uniqueId val="{00000001-1467-4215-97C5-062C7AF8BFB9}"/>
            </c:ext>
          </c:extLst>
        </c:ser>
        <c:dLbls>
          <c:showLegendKey val="0"/>
          <c:showVal val="0"/>
          <c:showCatName val="0"/>
          <c:showSerName val="0"/>
          <c:showPercent val="0"/>
          <c:showBubbleSize val="0"/>
        </c:dLbls>
        <c:gapWidth val="60"/>
        <c:overlap val="-7"/>
        <c:axId val="145022336"/>
        <c:axId val="145028224"/>
      </c:barChart>
      <c:catAx>
        <c:axId val="145022336"/>
        <c:scaling>
          <c:orientation val="maxMin"/>
        </c:scaling>
        <c:delete val="1"/>
        <c:axPos val="l"/>
        <c:numFmt formatCode="0.00" sourceLinked="1"/>
        <c:majorTickMark val="out"/>
        <c:minorTickMark val="none"/>
        <c:tickLblPos val="nextTo"/>
        <c:crossAx val="145028224"/>
        <c:crosses val="autoZero"/>
        <c:auto val="1"/>
        <c:lblAlgn val="ctr"/>
        <c:lblOffset val="100"/>
        <c:noMultiLvlLbl val="0"/>
      </c:catAx>
      <c:valAx>
        <c:axId val="145028224"/>
        <c:scaling>
          <c:orientation val="minMax"/>
        </c:scaling>
        <c:delete val="0"/>
        <c:axPos val="t"/>
        <c:numFmt formatCode="0" sourceLinked="0"/>
        <c:majorTickMark val="out"/>
        <c:minorTickMark val="none"/>
        <c:tickLblPos val="low"/>
        <c:txPr>
          <a:bodyPr/>
          <a:lstStyle/>
          <a:p>
            <a:pPr>
              <a:defRPr sz="600">
                <a:solidFill>
                  <a:schemeClr val="tx1">
                    <a:lumMod val="50000"/>
                    <a:lumOff val="50000"/>
                  </a:schemeClr>
                </a:solidFill>
              </a:defRPr>
            </a:pPr>
            <a:endParaRPr lang="en-US"/>
          </a:p>
        </c:txPr>
        <c:crossAx val="14502233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647509467220661E-2"/>
          <c:y val="1.2056491598939956E-2"/>
          <c:w val="0.88532178865095734"/>
          <c:h val="0.92020471271455162"/>
        </c:manualLayout>
      </c:layout>
      <c:scatterChart>
        <c:scatterStyle val="smoothMarker"/>
        <c:varyColors val="0"/>
        <c:ser>
          <c:idx val="4"/>
          <c:order val="4"/>
          <c:tx>
            <c:v>line</c:v>
          </c:tx>
          <c:spPr>
            <a:ln w="12700">
              <a:solidFill>
                <a:schemeClr val="tx1">
                  <a:lumMod val="95000"/>
                  <a:lumOff val="5000"/>
                </a:schemeClr>
              </a:solidFill>
            </a:ln>
          </c:spPr>
          <c:marker>
            <c:symbol val="none"/>
          </c:marker>
          <c:xVal>
            <c:numRef>
              <c:f>'RISK BUDGETING (ETL)'!$AD$11:$AD$87</c:f>
              <c:numCache>
                <c:formatCode>0.00</c:formatCode>
                <c:ptCount val="77"/>
                <c:pt idx="0">
                  <c:v>0.76447256455201174</c:v>
                </c:pt>
                <c:pt idx="1">
                  <c:v>-0.48610383221778891</c:v>
                </c:pt>
                <c:pt idx="2">
                  <c:v>1.2850481348084899</c:v>
                </c:pt>
                <c:pt idx="3">
                  <c:v>2.4810784144745837</c:v>
                </c:pt>
                <c:pt idx="4">
                  <c:v>-0.48203512894296996</c:v>
                </c:pt>
                <c:pt idx="5">
                  <c:v>-0.21583425689737501</c:v>
                </c:pt>
                <c:pt idx="6">
                  <c:v>2.0657822450594341</c:v>
                </c:pt>
                <c:pt idx="7">
                  <c:v>-0.66547759197340295</c:v>
                </c:pt>
                <c:pt idx="8">
                  <c:v>4.5622008412224346</c:v>
                </c:pt>
                <c:pt idx="9">
                  <c:v>0.1491950547596631</c:v>
                </c:pt>
                <c:pt idx="10">
                  <c:v>8.5089925743591461</c:v>
                </c:pt>
                <c:pt idx="11">
                  <c:v>1.6134786363166522</c:v>
                </c:pt>
                <c:pt idx="12">
                  <c:v>7.9299843185739863E-2</c:v>
                </c:pt>
                <c:pt idx="13">
                  <c:v>2.413451607491222</c:v>
                </c:pt>
                <c:pt idx="14">
                  <c:v>0.83931385375139567</c:v>
                </c:pt>
                <c:pt idx="15">
                  <c:v>3.3337493887132088</c:v>
                </c:pt>
                <c:pt idx="16">
                  <c:v>-6.8971375279234068E-2</c:v>
                </c:pt>
                <c:pt idx="17">
                  <c:v>5.4908593816934047E-2</c:v>
                </c:pt>
                <c:pt idx="18">
                  <c:v>0.87795681949155957</c:v>
                </c:pt>
                <c:pt idx="19">
                  <c:v>-0.46679857445270523</c:v>
                </c:pt>
                <c:pt idx="20">
                  <c:v>2.147241368679035</c:v>
                </c:pt>
                <c:pt idx="21">
                  <c:v>-0.60281091627904182</c:v>
                </c:pt>
                <c:pt idx="22">
                  <c:v>3.6846310090976009</c:v>
                </c:pt>
                <c:pt idx="23">
                  <c:v>2.6105921263060146</c:v>
                </c:pt>
                <c:pt idx="24">
                  <c:v>3.9659144711266996</c:v>
                </c:pt>
                <c:pt idx="25">
                  <c:v>2.111088475260992</c:v>
                </c:pt>
                <c:pt idx="26">
                  <c:v>0.13950148318753869</c:v>
                </c:pt>
                <c:pt idx="27">
                  <c:v>-0.18409756111793116</c:v>
                </c:pt>
                <c:pt idx="28">
                  <c:v>2.2178291229613043</c:v>
                </c:pt>
                <c:pt idx="29">
                  <c:v>-0.65923582946166093</c:v>
                </c:pt>
                <c:pt idx="30">
                  <c:v>-2.264879627312316</c:v>
                </c:pt>
                <c:pt idx="31">
                  <c:v>0.16092826100120697</c:v>
                </c:pt>
                <c:pt idx="32">
                  <c:v>2.7799232957931466</c:v>
                </c:pt>
                <c:pt idx="33">
                  <c:v>0.36659533493995389</c:v>
                </c:pt>
                <c:pt idx="34">
                  <c:v>1.9869707103934462</c:v>
                </c:pt>
                <c:pt idx="35">
                  <c:v>0.50817707819248614</c:v>
                </c:pt>
                <c:pt idx="36">
                  <c:v>0.29927866651738322</c:v>
                </c:pt>
                <c:pt idx="37">
                  <c:v>0.41708352334018872</c:v>
                </c:pt>
                <c:pt idx="38">
                  <c:v>0.22079253197842122</c:v>
                </c:pt>
                <c:pt idx="39">
                  <c:v>-0.19166953958387264</c:v>
                </c:pt>
                <c:pt idx="40">
                  <c:v>-0.21440134630106125</c:v>
                </c:pt>
                <c:pt idx="41">
                  <c:v>1.1825809274189345</c:v>
                </c:pt>
                <c:pt idx="42">
                  <c:v>1.0372366468029455</c:v>
                </c:pt>
                <c:pt idx="43">
                  <c:v>-0.51724379112747854</c:v>
                </c:pt>
                <c:pt idx="44">
                  <c:v>1.7764647612689379</c:v>
                </c:pt>
              </c:numCache>
            </c:numRef>
          </c:xVal>
          <c:yVal>
            <c:numRef>
              <c:f>'RISK BUDGETING (ETL)'!$AF$11:$AF$87</c:f>
              <c:numCache>
                <c:formatCode>0.00</c:formatCode>
                <c:ptCount val="77"/>
                <c:pt idx="0">
                  <c:v>0.82020124829641639</c:v>
                </c:pt>
                <c:pt idx="1">
                  <c:v>-0.52153993285598943</c:v>
                </c:pt>
                <c:pt idx="2">
                  <c:v>1.3787258472886574</c:v>
                </c:pt>
                <c:pt idx="3">
                  <c:v>2.6619445968814675</c:v>
                </c:pt>
                <c:pt idx="4">
                  <c:v>-0.51717462838373562</c:v>
                </c:pt>
                <c:pt idx="5">
                  <c:v>-0.2315681885014359</c:v>
                </c:pt>
                <c:pt idx="6">
                  <c:v>2.2163740789039705</c:v>
                </c:pt>
                <c:pt idx="7">
                  <c:v>-0.71398971913365827</c:v>
                </c:pt>
                <c:pt idx="8">
                  <c:v>4.8947771293040514</c:v>
                </c:pt>
                <c:pt idx="9">
                  <c:v>0.16007110762076576</c:v>
                </c:pt>
                <c:pt idx="10">
                  <c:v>9.1292829263586732</c:v>
                </c:pt>
                <c:pt idx="11">
                  <c:v>1.7310983454089415</c:v>
                </c:pt>
                <c:pt idx="12">
                  <c:v>8.5080660034894826E-2</c:v>
                </c:pt>
                <c:pt idx="13">
                  <c:v>2.5893879165268787</c:v>
                </c:pt>
                <c:pt idx="14">
                  <c:v>0.90049833372736299</c:v>
                </c:pt>
                <c:pt idx="15">
                  <c:v>3.5767737613086763</c:v>
                </c:pt>
                <c:pt idx="16">
                  <c:v>-7.3999265276313966E-2</c:v>
                </c:pt>
                <c:pt idx="17">
                  <c:v>5.8911332177423233E-2</c:v>
                </c:pt>
                <c:pt idx="18">
                  <c:v>0.94195830261000268</c:v>
                </c:pt>
                <c:pt idx="19">
                  <c:v>-0.50082735630082587</c:v>
                </c:pt>
                <c:pt idx="20">
                  <c:v>2.3037714270574412</c:v>
                </c:pt>
                <c:pt idx="21">
                  <c:v>-0.64675475477464028</c:v>
                </c:pt>
                <c:pt idx="22">
                  <c:v>3.9532340247482121</c:v>
                </c:pt>
                <c:pt idx="23">
                  <c:v>2.8008996268476407</c:v>
                </c:pt>
                <c:pt idx="24">
                  <c:v>4.2550225484692721</c:v>
                </c:pt>
                <c:pt idx="25">
                  <c:v>2.2649830523191237</c:v>
                </c:pt>
                <c:pt idx="26">
                  <c:v>0.14967089200470077</c:v>
                </c:pt>
                <c:pt idx="27">
                  <c:v>-0.19751794431725442</c:v>
                </c:pt>
                <c:pt idx="28">
                  <c:v>2.3795049024774335</c:v>
                </c:pt>
                <c:pt idx="29">
                  <c:v>-0.70729294328964787</c:v>
                </c:pt>
                <c:pt idx="30">
                  <c:v>-2.4299853045102915</c:v>
                </c:pt>
                <c:pt idx="31">
                  <c:v>0.17265964362855971</c:v>
                </c:pt>
                <c:pt idx="32">
                  <c:v>2.9825747359736647</c:v>
                </c:pt>
                <c:pt idx="33">
                  <c:v>0.39331947970375558</c:v>
                </c:pt>
                <c:pt idx="34">
                  <c:v>2.1318173242072471</c:v>
                </c:pt>
                <c:pt idx="35">
                  <c:v>0.54522227901449405</c:v>
                </c:pt>
                <c:pt idx="36">
                  <c:v>0.32109554645678046</c:v>
                </c:pt>
                <c:pt idx="37">
                  <c:v>0.44748816680943909</c:v>
                </c:pt>
                <c:pt idx="38">
                  <c:v>0.23688791297481096</c:v>
                </c:pt>
                <c:pt idx="39">
                  <c:v>-0.2056419064812573</c:v>
                </c:pt>
                <c:pt idx="40">
                  <c:v>-0.2300308212834476</c:v>
                </c:pt>
                <c:pt idx="41">
                  <c:v>1.2687889636025673</c:v>
                </c:pt>
                <c:pt idx="42">
                  <c:v>1.1128493446787175</c:v>
                </c:pt>
                <c:pt idx="43">
                  <c:v>-0.55494993911905754</c:v>
                </c:pt>
                <c:pt idx="44">
                  <c:v>1.9059658675929441</c:v>
                </c:pt>
              </c:numCache>
            </c:numRef>
          </c:yVal>
          <c:smooth val="1"/>
          <c:extLst>
            <c:ext xmlns:c16="http://schemas.microsoft.com/office/drawing/2014/chart" uri="{C3380CC4-5D6E-409C-BE32-E72D297353CC}">
              <c16:uniqueId val="{00000000-981C-4B7B-A379-3A18DF4F6DF6}"/>
            </c:ext>
          </c:extLst>
        </c:ser>
        <c:dLbls>
          <c:showLegendKey val="0"/>
          <c:showVal val="0"/>
          <c:showCatName val="0"/>
          <c:showSerName val="0"/>
          <c:showPercent val="0"/>
          <c:showBubbleSize val="0"/>
        </c:dLbls>
        <c:axId val="179119616"/>
        <c:axId val="179121536"/>
      </c:scatterChart>
      <c:scatterChart>
        <c:scatterStyle val="lineMarker"/>
        <c:varyColors val="0"/>
        <c:ser>
          <c:idx val="0"/>
          <c:order val="0"/>
          <c:tx>
            <c:strRef>
              <c:f>RB_ETL!$A$3:$A$33</c:f>
              <c:strCache>
                <c:ptCount val="31"/>
                <c:pt idx="0">
                  <c:v>1</c:v>
                </c:pt>
                <c:pt idx="1">
                  <c:v>4</c:v>
                </c:pt>
                <c:pt idx="2">
                  <c:v>12</c:v>
                </c:pt>
                <c:pt idx="3">
                  <c:v>17</c:v>
                </c:pt>
                <c:pt idx="4">
                  <c:v>21</c:v>
                </c:pt>
                <c:pt idx="5">
                  <c:v>27</c:v>
                </c:pt>
                <c:pt idx="6">
                  <c:v>34</c:v>
                </c:pt>
                <c:pt idx="7">
                  <c:v>43</c:v>
                </c:pt>
              </c:strCache>
            </c:strRef>
          </c:tx>
          <c:spPr>
            <a:ln w="28575">
              <a:noFill/>
            </a:ln>
          </c:spPr>
          <c:marker>
            <c:symbol val="square"/>
            <c:size val="7"/>
            <c:spPr>
              <a:solidFill>
                <a:schemeClr val="accent2"/>
              </a:solidFill>
              <a:ln>
                <a:noFill/>
              </a:ln>
            </c:spPr>
          </c:marker>
          <c:dLbls>
            <c:dLbl>
              <c:idx val="0"/>
              <c:tx>
                <c:rich>
                  <a:bodyPr/>
                  <a:lstStyle/>
                  <a:p>
                    <a:r>
                      <a:rPr lang="en-US"/>
                      <a:t>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81C-4B7B-A379-3A18DF4F6DF6}"/>
                </c:ext>
              </c:extLst>
            </c:dLbl>
            <c:dLbl>
              <c:idx val="1"/>
              <c:tx>
                <c:rich>
                  <a:bodyPr/>
                  <a:lstStyle/>
                  <a:p>
                    <a:r>
                      <a:rPr lang="en-US"/>
                      <a:t>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81C-4B7B-A379-3A18DF4F6DF6}"/>
                </c:ext>
              </c:extLst>
            </c:dLbl>
            <c:dLbl>
              <c:idx val="2"/>
              <c:tx>
                <c:rich>
                  <a:bodyPr/>
                  <a:lstStyle/>
                  <a:p>
                    <a:r>
                      <a:rPr lang="en-US"/>
                      <a:t>12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81C-4B7B-A379-3A18DF4F6DF6}"/>
                </c:ext>
              </c:extLst>
            </c:dLbl>
            <c:dLbl>
              <c:idx val="3"/>
              <c:tx>
                <c:rich>
                  <a:bodyPr/>
                  <a:lstStyle/>
                  <a:p>
                    <a:r>
                      <a:rPr lang="en-US"/>
                      <a:t>17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81C-4B7B-A379-3A18DF4F6DF6}"/>
                </c:ext>
              </c:extLst>
            </c:dLbl>
            <c:dLbl>
              <c:idx val="4"/>
              <c:tx>
                <c:rich>
                  <a:bodyPr/>
                  <a:lstStyle/>
                  <a:p>
                    <a:r>
                      <a:rPr lang="en-US"/>
                      <a:t>21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81C-4B7B-A379-3A18DF4F6DF6}"/>
                </c:ext>
              </c:extLst>
            </c:dLbl>
            <c:dLbl>
              <c:idx val="5"/>
              <c:tx>
                <c:rich>
                  <a:bodyPr/>
                  <a:lstStyle/>
                  <a:p>
                    <a:r>
                      <a:rPr lang="en-US"/>
                      <a:t>27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81C-4B7B-A379-3A18DF4F6DF6}"/>
                </c:ext>
              </c:extLst>
            </c:dLbl>
            <c:dLbl>
              <c:idx val="6"/>
              <c:tx>
                <c:rich>
                  <a:bodyPr/>
                  <a:lstStyle/>
                  <a:p>
                    <a:r>
                      <a:rPr lang="en-US"/>
                      <a:t>34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81C-4B7B-A379-3A18DF4F6DF6}"/>
                </c:ext>
              </c:extLst>
            </c:dLbl>
            <c:dLbl>
              <c:idx val="7"/>
              <c:tx>
                <c:rich>
                  <a:bodyPr/>
                  <a:lstStyle/>
                  <a:p>
                    <a:r>
                      <a:rPr lang="en-US"/>
                      <a:t>43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81C-4B7B-A379-3A18DF4F6DF6}"/>
                </c:ext>
              </c:extLst>
            </c:dLbl>
            <c:dLbl>
              <c:idx val="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81C-4B7B-A379-3A18DF4F6DF6}"/>
                </c:ext>
              </c:extLst>
            </c:dLbl>
            <c:dLbl>
              <c:idx val="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81C-4B7B-A379-3A18DF4F6DF6}"/>
                </c:ext>
              </c:extLst>
            </c:dLbl>
            <c:dLbl>
              <c:idx val="1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81C-4B7B-A379-3A18DF4F6DF6}"/>
                </c:ext>
              </c:extLst>
            </c:dLbl>
            <c:dLbl>
              <c:idx val="1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81C-4B7B-A379-3A18DF4F6DF6}"/>
                </c:ext>
              </c:extLst>
            </c:dLbl>
            <c:dLbl>
              <c:idx val="1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81C-4B7B-A379-3A18DF4F6DF6}"/>
                </c:ext>
              </c:extLst>
            </c:dLbl>
            <c:dLbl>
              <c:idx val="1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81C-4B7B-A379-3A18DF4F6DF6}"/>
                </c:ext>
              </c:extLst>
            </c:dLbl>
            <c:dLbl>
              <c:idx val="1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81C-4B7B-A379-3A18DF4F6DF6}"/>
                </c:ext>
              </c:extLst>
            </c:dLbl>
            <c:dLbl>
              <c:idx val="1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81C-4B7B-A379-3A18DF4F6DF6}"/>
                </c:ext>
              </c:extLst>
            </c:dLbl>
            <c:dLbl>
              <c:idx val="1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81C-4B7B-A379-3A18DF4F6DF6}"/>
                </c:ext>
              </c:extLst>
            </c:dLbl>
            <c:dLbl>
              <c:idx val="1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81C-4B7B-A379-3A18DF4F6DF6}"/>
                </c:ext>
              </c:extLst>
            </c:dLbl>
            <c:dLbl>
              <c:idx val="1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81C-4B7B-A379-3A18DF4F6DF6}"/>
                </c:ext>
              </c:extLst>
            </c:dLbl>
            <c:dLbl>
              <c:idx val="1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81C-4B7B-A379-3A18DF4F6DF6}"/>
                </c:ext>
              </c:extLst>
            </c:dLbl>
            <c:dLbl>
              <c:idx val="2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81C-4B7B-A379-3A18DF4F6DF6}"/>
                </c:ext>
              </c:extLst>
            </c:dLbl>
            <c:dLbl>
              <c:idx val="2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81C-4B7B-A379-3A18DF4F6DF6}"/>
                </c:ext>
              </c:extLst>
            </c:dLbl>
            <c:dLbl>
              <c:idx val="2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81C-4B7B-A379-3A18DF4F6DF6}"/>
                </c:ext>
              </c:extLst>
            </c:dLbl>
            <c:dLbl>
              <c:idx val="2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81C-4B7B-A379-3A18DF4F6DF6}"/>
                </c:ext>
              </c:extLst>
            </c:dLbl>
            <c:dLbl>
              <c:idx val="2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81C-4B7B-A379-3A18DF4F6DF6}"/>
                </c:ext>
              </c:extLst>
            </c:dLbl>
            <c:dLbl>
              <c:idx val="2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81C-4B7B-A379-3A18DF4F6DF6}"/>
                </c:ext>
              </c:extLst>
            </c:dLbl>
            <c:dLbl>
              <c:idx val="2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81C-4B7B-A379-3A18DF4F6DF6}"/>
                </c:ext>
              </c:extLst>
            </c:dLbl>
            <c:dLbl>
              <c:idx val="2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81C-4B7B-A379-3A18DF4F6DF6}"/>
                </c:ext>
              </c:extLst>
            </c:dLbl>
            <c:dLbl>
              <c:idx val="2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81C-4B7B-A379-3A18DF4F6DF6}"/>
                </c:ext>
              </c:extLst>
            </c:dLbl>
            <c:dLbl>
              <c:idx val="2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81C-4B7B-A379-3A18DF4F6DF6}"/>
                </c:ext>
              </c:extLst>
            </c:dLbl>
            <c:dLbl>
              <c:idx val="3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81C-4B7B-A379-3A18DF4F6DF6}"/>
                </c:ext>
              </c:extLst>
            </c:dLbl>
            <c:spPr>
              <a:noFill/>
              <a:ln>
                <a:noFill/>
              </a:ln>
              <a:effectLst/>
            </c:spPr>
            <c:txPr>
              <a:bodyPr/>
              <a:lstStyle/>
              <a:p>
                <a:pPr>
                  <a:defRPr sz="700"/>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ext>
            </c:extLst>
          </c:dLbls>
          <c:xVal>
            <c:numRef>
              <c:f>RB_ETL!$D$3:$D$33</c:f>
              <c:numCache>
                <c:formatCode>General</c:formatCode>
                <c:ptCount val="31"/>
                <c:pt idx="0">
                  <c:v>0.76447256455201174</c:v>
                </c:pt>
                <c:pt idx="1">
                  <c:v>2.4810784144745837</c:v>
                </c:pt>
                <c:pt idx="2">
                  <c:v>1.6134786363166522</c:v>
                </c:pt>
                <c:pt idx="3">
                  <c:v>-6.8971375279234068E-2</c:v>
                </c:pt>
                <c:pt idx="4">
                  <c:v>2.147241368679035</c:v>
                </c:pt>
                <c:pt idx="5">
                  <c:v>0.13950148318753869</c:v>
                </c:pt>
                <c:pt idx="6">
                  <c:v>0.36659533493995389</c:v>
                </c:pt>
                <c:pt idx="7">
                  <c:v>1.0372366468029455</c:v>
                </c:pt>
              </c:numCache>
            </c:numRef>
          </c:xVal>
          <c:yVal>
            <c:numRef>
              <c:f>RB_ETL!$C$3:$C$33</c:f>
              <c:numCache>
                <c:formatCode>General</c:formatCode>
                <c:ptCount val="31"/>
                <c:pt idx="0">
                  <c:v>0.52696580394678449</c:v>
                </c:pt>
                <c:pt idx="1">
                  <c:v>0.71084486914380762</c:v>
                </c:pt>
                <c:pt idx="2">
                  <c:v>0.97744841860439702</c:v>
                </c:pt>
                <c:pt idx="3">
                  <c:v>0.82495861727283271</c:v>
                </c:pt>
                <c:pt idx="4">
                  <c:v>0.96297433745027849</c:v>
                </c:pt>
                <c:pt idx="5">
                  <c:v>1.098552404780093</c:v>
                </c:pt>
                <c:pt idx="6">
                  <c:v>0.82337776998936218</c:v>
                </c:pt>
                <c:pt idx="7">
                  <c:v>0.91070065104020836</c:v>
                </c:pt>
              </c:numCache>
            </c:numRef>
          </c:yVal>
          <c:smooth val="0"/>
          <c:extLst>
            <c:ext xmlns:c16="http://schemas.microsoft.com/office/drawing/2014/chart" uri="{C3380CC4-5D6E-409C-BE32-E72D297353CC}">
              <c16:uniqueId val="{00000020-981C-4B7B-A379-3A18DF4F6DF6}"/>
            </c:ext>
          </c:extLst>
        </c:ser>
        <c:ser>
          <c:idx val="1"/>
          <c:order val="1"/>
          <c:tx>
            <c:strRef>
              <c:f>RB_ETL!$A$3:$A$33</c:f>
              <c:strCache>
                <c:ptCount val="31"/>
                <c:pt idx="0">
                  <c:v>1</c:v>
                </c:pt>
                <c:pt idx="1">
                  <c:v>4</c:v>
                </c:pt>
                <c:pt idx="2">
                  <c:v>12</c:v>
                </c:pt>
                <c:pt idx="3">
                  <c:v>17</c:v>
                </c:pt>
                <c:pt idx="4">
                  <c:v>21</c:v>
                </c:pt>
                <c:pt idx="5">
                  <c:v>27</c:v>
                </c:pt>
                <c:pt idx="6">
                  <c:v>34</c:v>
                </c:pt>
                <c:pt idx="7">
                  <c:v>43</c:v>
                </c:pt>
              </c:strCache>
            </c:strRef>
          </c:tx>
          <c:spPr>
            <a:ln w="28575">
              <a:noFill/>
            </a:ln>
          </c:spPr>
          <c:marker>
            <c:symbol val="square"/>
            <c:size val="7"/>
            <c:spPr>
              <a:solidFill>
                <a:schemeClr val="accent1"/>
              </a:solidFill>
              <a:ln>
                <a:noFill/>
              </a:ln>
            </c:spPr>
          </c:marker>
          <c:dLbls>
            <c:dLbl>
              <c:idx val="0"/>
              <c:tx>
                <c:rich>
                  <a:bodyPr/>
                  <a:lstStyle/>
                  <a:p>
                    <a:r>
                      <a:rPr lang="en-US"/>
                      <a:t>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81C-4B7B-A379-3A18DF4F6DF6}"/>
                </c:ext>
              </c:extLst>
            </c:dLbl>
            <c:dLbl>
              <c:idx val="1"/>
              <c:tx>
                <c:rich>
                  <a:bodyPr/>
                  <a:lstStyle/>
                  <a:p>
                    <a:r>
                      <a:rPr lang="en-US"/>
                      <a:t>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81C-4B7B-A379-3A18DF4F6DF6}"/>
                </c:ext>
              </c:extLst>
            </c:dLbl>
            <c:dLbl>
              <c:idx val="2"/>
              <c:tx>
                <c:rich>
                  <a:bodyPr/>
                  <a:lstStyle/>
                  <a:p>
                    <a:r>
                      <a:rPr lang="en-US"/>
                      <a:t>12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81C-4B7B-A379-3A18DF4F6DF6}"/>
                </c:ext>
              </c:extLst>
            </c:dLbl>
            <c:dLbl>
              <c:idx val="3"/>
              <c:tx>
                <c:rich>
                  <a:bodyPr/>
                  <a:lstStyle/>
                  <a:p>
                    <a:r>
                      <a:rPr lang="en-US"/>
                      <a:t>17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81C-4B7B-A379-3A18DF4F6DF6}"/>
                </c:ext>
              </c:extLst>
            </c:dLbl>
            <c:dLbl>
              <c:idx val="4"/>
              <c:tx>
                <c:rich>
                  <a:bodyPr/>
                  <a:lstStyle/>
                  <a:p>
                    <a:r>
                      <a:rPr lang="en-US"/>
                      <a:t>21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81C-4B7B-A379-3A18DF4F6DF6}"/>
                </c:ext>
              </c:extLst>
            </c:dLbl>
            <c:dLbl>
              <c:idx val="5"/>
              <c:tx>
                <c:rich>
                  <a:bodyPr/>
                  <a:lstStyle/>
                  <a:p>
                    <a:r>
                      <a:rPr lang="en-US"/>
                      <a:t>27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81C-4B7B-A379-3A18DF4F6DF6}"/>
                </c:ext>
              </c:extLst>
            </c:dLbl>
            <c:dLbl>
              <c:idx val="6"/>
              <c:tx>
                <c:rich>
                  <a:bodyPr/>
                  <a:lstStyle/>
                  <a:p>
                    <a:r>
                      <a:rPr lang="en-US"/>
                      <a:t>34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81C-4B7B-A379-3A18DF4F6DF6}"/>
                </c:ext>
              </c:extLst>
            </c:dLbl>
            <c:dLbl>
              <c:idx val="7"/>
              <c:tx>
                <c:rich>
                  <a:bodyPr/>
                  <a:lstStyle/>
                  <a:p>
                    <a:r>
                      <a:rPr lang="en-US"/>
                      <a:t>43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81C-4B7B-A379-3A18DF4F6DF6}"/>
                </c:ext>
              </c:extLst>
            </c:dLbl>
            <c:dLbl>
              <c:idx val="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81C-4B7B-A379-3A18DF4F6DF6}"/>
                </c:ext>
              </c:extLst>
            </c:dLbl>
            <c:dLbl>
              <c:idx val="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81C-4B7B-A379-3A18DF4F6DF6}"/>
                </c:ext>
              </c:extLst>
            </c:dLbl>
            <c:dLbl>
              <c:idx val="1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81C-4B7B-A379-3A18DF4F6DF6}"/>
                </c:ext>
              </c:extLst>
            </c:dLbl>
            <c:dLbl>
              <c:idx val="1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81C-4B7B-A379-3A18DF4F6DF6}"/>
                </c:ext>
              </c:extLst>
            </c:dLbl>
            <c:dLbl>
              <c:idx val="1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81C-4B7B-A379-3A18DF4F6DF6}"/>
                </c:ext>
              </c:extLst>
            </c:dLbl>
            <c:dLbl>
              <c:idx val="1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81C-4B7B-A379-3A18DF4F6DF6}"/>
                </c:ext>
              </c:extLst>
            </c:dLbl>
            <c:dLbl>
              <c:idx val="1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81C-4B7B-A379-3A18DF4F6DF6}"/>
                </c:ext>
              </c:extLst>
            </c:dLbl>
            <c:dLbl>
              <c:idx val="1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81C-4B7B-A379-3A18DF4F6DF6}"/>
                </c:ext>
              </c:extLst>
            </c:dLbl>
            <c:dLbl>
              <c:idx val="1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81C-4B7B-A379-3A18DF4F6DF6}"/>
                </c:ext>
              </c:extLst>
            </c:dLbl>
            <c:dLbl>
              <c:idx val="1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81C-4B7B-A379-3A18DF4F6DF6}"/>
                </c:ext>
              </c:extLst>
            </c:dLbl>
            <c:dLbl>
              <c:idx val="1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81C-4B7B-A379-3A18DF4F6DF6}"/>
                </c:ext>
              </c:extLst>
            </c:dLbl>
            <c:dLbl>
              <c:idx val="1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81C-4B7B-A379-3A18DF4F6DF6}"/>
                </c:ext>
              </c:extLst>
            </c:dLbl>
            <c:dLbl>
              <c:idx val="2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81C-4B7B-A379-3A18DF4F6DF6}"/>
                </c:ext>
              </c:extLst>
            </c:dLbl>
            <c:dLbl>
              <c:idx val="2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81C-4B7B-A379-3A18DF4F6DF6}"/>
                </c:ext>
              </c:extLst>
            </c:dLbl>
            <c:dLbl>
              <c:idx val="2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81C-4B7B-A379-3A18DF4F6DF6}"/>
                </c:ext>
              </c:extLst>
            </c:dLbl>
            <c:dLbl>
              <c:idx val="2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81C-4B7B-A379-3A18DF4F6DF6}"/>
                </c:ext>
              </c:extLst>
            </c:dLbl>
            <c:dLbl>
              <c:idx val="2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81C-4B7B-A379-3A18DF4F6DF6}"/>
                </c:ext>
              </c:extLst>
            </c:dLbl>
            <c:dLbl>
              <c:idx val="2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81C-4B7B-A379-3A18DF4F6DF6}"/>
                </c:ext>
              </c:extLst>
            </c:dLbl>
            <c:dLbl>
              <c:idx val="2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81C-4B7B-A379-3A18DF4F6DF6}"/>
                </c:ext>
              </c:extLst>
            </c:dLbl>
            <c:dLbl>
              <c:idx val="2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81C-4B7B-A379-3A18DF4F6DF6}"/>
                </c:ext>
              </c:extLst>
            </c:dLbl>
            <c:dLbl>
              <c:idx val="2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81C-4B7B-A379-3A18DF4F6DF6}"/>
                </c:ext>
              </c:extLst>
            </c:dLbl>
            <c:dLbl>
              <c:idx val="2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81C-4B7B-A379-3A18DF4F6DF6}"/>
                </c:ext>
              </c:extLst>
            </c:dLbl>
            <c:dLbl>
              <c:idx val="3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81C-4B7B-A379-3A18DF4F6DF6}"/>
                </c:ext>
              </c:extLst>
            </c:dLbl>
            <c:spPr>
              <a:noFill/>
              <a:ln>
                <a:noFill/>
              </a:ln>
              <a:effectLst/>
            </c:spPr>
            <c:txPr>
              <a:bodyPr/>
              <a:lstStyle/>
              <a:p>
                <a:pPr>
                  <a:defRPr sz="700"/>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ext>
            </c:extLst>
          </c:dLbls>
          <c:xVal>
            <c:numRef>
              <c:f>RB_ETL!$D$3:$D$33</c:f>
              <c:numCache>
                <c:formatCode>General</c:formatCode>
                <c:ptCount val="31"/>
                <c:pt idx="0">
                  <c:v>0.76447256455201174</c:v>
                </c:pt>
                <c:pt idx="1">
                  <c:v>2.4810784144745837</c:v>
                </c:pt>
                <c:pt idx="2">
                  <c:v>1.6134786363166522</c:v>
                </c:pt>
                <c:pt idx="3">
                  <c:v>-6.8971375279234068E-2</c:v>
                </c:pt>
                <c:pt idx="4">
                  <c:v>2.147241368679035</c:v>
                </c:pt>
                <c:pt idx="5">
                  <c:v>0.13950148318753869</c:v>
                </c:pt>
                <c:pt idx="6">
                  <c:v>0.36659533493995389</c:v>
                </c:pt>
                <c:pt idx="7">
                  <c:v>1.0372366468029455</c:v>
                </c:pt>
              </c:numCache>
            </c:numRef>
          </c:xVal>
          <c:yVal>
            <c:numRef>
              <c:f>RB_ETL!$E$3:$E$33</c:f>
              <c:numCache>
                <c:formatCode>General</c:formatCode>
                <c:ptCount val="31"/>
                <c:pt idx="0">
                  <c:v>0.82020124829641639</c:v>
                </c:pt>
                <c:pt idx="1">
                  <c:v>2.6619445968814675</c:v>
                </c:pt>
                <c:pt idx="2">
                  <c:v>1.7310983454089415</c:v>
                </c:pt>
                <c:pt idx="3">
                  <c:v>-7.3999265276313966E-2</c:v>
                </c:pt>
                <c:pt idx="4">
                  <c:v>2.3037714270574412</c:v>
                </c:pt>
                <c:pt idx="5">
                  <c:v>0.14967089200470077</c:v>
                </c:pt>
                <c:pt idx="6">
                  <c:v>0.39331947970375558</c:v>
                </c:pt>
                <c:pt idx="7">
                  <c:v>1.1128493446787175</c:v>
                </c:pt>
              </c:numCache>
            </c:numRef>
          </c:yVal>
          <c:smooth val="0"/>
          <c:extLst>
            <c:ext xmlns:c16="http://schemas.microsoft.com/office/drawing/2014/chart" uri="{C3380CC4-5D6E-409C-BE32-E72D297353CC}">
              <c16:uniqueId val="{00000040-981C-4B7B-A379-3A18DF4F6DF6}"/>
            </c:ext>
          </c:extLst>
        </c:ser>
        <c:ser>
          <c:idx val="2"/>
          <c:order val="2"/>
          <c:tx>
            <c:strRef>
              <c:f>RB_ETL!$H$3:$H$103</c:f>
              <c:strCache>
                <c:ptCount val="101"/>
                <c:pt idx="0">
                  <c:v>13</c:v>
                </c:pt>
                <c:pt idx="1">
                  <c:v>35</c:v>
                </c:pt>
                <c:pt idx="2">
                  <c:v>44</c:v>
                </c:pt>
                <c:pt idx="3">
                  <c:v>36</c:v>
                </c:pt>
                <c:pt idx="4">
                  <c:v>5</c:v>
                </c:pt>
                <c:pt idx="5">
                  <c:v>37</c:v>
                </c:pt>
                <c:pt idx="6">
                  <c:v>28</c:v>
                </c:pt>
                <c:pt idx="7">
                  <c:v>6</c:v>
                </c:pt>
                <c:pt idx="8">
                  <c:v>2</c:v>
                </c:pt>
                <c:pt idx="9">
                  <c:v>22</c:v>
                </c:pt>
                <c:pt idx="10">
                  <c:v>29</c:v>
                </c:pt>
                <c:pt idx="11">
                  <c:v>30</c:v>
                </c:pt>
                <c:pt idx="12">
                  <c:v>31</c:v>
                </c:pt>
                <c:pt idx="13">
                  <c:v>14</c:v>
                </c:pt>
                <c:pt idx="14">
                  <c:v>15</c:v>
                </c:pt>
                <c:pt idx="15">
                  <c:v>32</c:v>
                </c:pt>
                <c:pt idx="16">
                  <c:v>18</c:v>
                </c:pt>
                <c:pt idx="17">
                  <c:v>19</c:v>
                </c:pt>
                <c:pt idx="18">
                  <c:v>23</c:v>
                </c:pt>
                <c:pt idx="19">
                  <c:v>3</c:v>
                </c:pt>
                <c:pt idx="20">
                  <c:v>45</c:v>
                </c:pt>
                <c:pt idx="21">
                  <c:v>20</c:v>
                </c:pt>
                <c:pt idx="22">
                  <c:v>38</c:v>
                </c:pt>
                <c:pt idx="23">
                  <c:v>7</c:v>
                </c:pt>
                <c:pt idx="24">
                  <c:v>8</c:v>
                </c:pt>
                <c:pt idx="25">
                  <c:v>9</c:v>
                </c:pt>
                <c:pt idx="26">
                  <c:v>24</c:v>
                </c:pt>
                <c:pt idx="27">
                  <c:v>39</c:v>
                </c:pt>
                <c:pt idx="28">
                  <c:v>25</c:v>
                </c:pt>
                <c:pt idx="29">
                  <c:v>40</c:v>
                </c:pt>
                <c:pt idx="30">
                  <c:v>26</c:v>
                </c:pt>
                <c:pt idx="31">
                  <c:v>16</c:v>
                </c:pt>
                <c:pt idx="32">
                  <c:v>10</c:v>
                </c:pt>
                <c:pt idx="33">
                  <c:v>11</c:v>
                </c:pt>
                <c:pt idx="34">
                  <c:v>41</c:v>
                </c:pt>
                <c:pt idx="35">
                  <c:v>42</c:v>
                </c:pt>
                <c:pt idx="36">
                  <c:v>33</c:v>
                </c:pt>
              </c:strCache>
            </c:strRef>
          </c:tx>
          <c:spPr>
            <a:ln w="28575">
              <a:noFill/>
            </a:ln>
          </c:spPr>
          <c:marker>
            <c:symbol val="circle"/>
            <c:size val="5"/>
            <c:spPr>
              <a:solidFill>
                <a:schemeClr val="accent2"/>
              </a:solidFill>
              <a:ln>
                <a:noFill/>
              </a:ln>
            </c:spPr>
          </c:marker>
          <c:dLbls>
            <c:dLbl>
              <c:idx val="0"/>
              <c:tx>
                <c:rich>
                  <a:bodyPr/>
                  <a:lstStyle/>
                  <a:p>
                    <a:r>
                      <a:rPr lang="en-US"/>
                      <a:t>13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81C-4B7B-A379-3A18DF4F6DF6}"/>
                </c:ext>
              </c:extLst>
            </c:dLbl>
            <c:dLbl>
              <c:idx val="1"/>
              <c:tx>
                <c:rich>
                  <a:bodyPr/>
                  <a:lstStyle/>
                  <a:p>
                    <a:r>
                      <a:rPr lang="en-US"/>
                      <a:t>35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81C-4B7B-A379-3A18DF4F6DF6}"/>
                </c:ext>
              </c:extLst>
            </c:dLbl>
            <c:dLbl>
              <c:idx val="2"/>
              <c:tx>
                <c:rich>
                  <a:bodyPr/>
                  <a:lstStyle/>
                  <a:p>
                    <a:r>
                      <a:rPr lang="en-US"/>
                      <a:t>44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81C-4B7B-A379-3A18DF4F6DF6}"/>
                </c:ext>
              </c:extLst>
            </c:dLbl>
            <c:dLbl>
              <c:idx val="3"/>
              <c:tx>
                <c:rich>
                  <a:bodyPr/>
                  <a:lstStyle/>
                  <a:p>
                    <a:r>
                      <a:rPr lang="en-US"/>
                      <a:t>36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81C-4B7B-A379-3A18DF4F6DF6}"/>
                </c:ext>
              </c:extLst>
            </c:dLbl>
            <c:dLbl>
              <c:idx val="4"/>
              <c:tx>
                <c:rich>
                  <a:bodyPr/>
                  <a:lstStyle/>
                  <a:p>
                    <a:r>
                      <a:rPr lang="en-US"/>
                      <a:t>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81C-4B7B-A379-3A18DF4F6DF6}"/>
                </c:ext>
              </c:extLst>
            </c:dLbl>
            <c:dLbl>
              <c:idx val="5"/>
              <c:tx>
                <c:rich>
                  <a:bodyPr/>
                  <a:lstStyle/>
                  <a:p>
                    <a:r>
                      <a:rPr lang="en-US"/>
                      <a:t>37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81C-4B7B-A379-3A18DF4F6DF6}"/>
                </c:ext>
              </c:extLst>
            </c:dLbl>
            <c:dLbl>
              <c:idx val="6"/>
              <c:tx>
                <c:rich>
                  <a:bodyPr/>
                  <a:lstStyle/>
                  <a:p>
                    <a:r>
                      <a:rPr lang="en-US"/>
                      <a:t>28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81C-4B7B-A379-3A18DF4F6DF6}"/>
                </c:ext>
              </c:extLst>
            </c:dLbl>
            <c:dLbl>
              <c:idx val="7"/>
              <c:tx>
                <c:rich>
                  <a:bodyPr/>
                  <a:lstStyle/>
                  <a:p>
                    <a:r>
                      <a:rPr lang="en-US"/>
                      <a:t>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81C-4B7B-A379-3A18DF4F6DF6}"/>
                </c:ext>
              </c:extLst>
            </c:dLbl>
            <c:dLbl>
              <c:idx val="8"/>
              <c:tx>
                <c:rich>
                  <a:bodyPr/>
                  <a:lstStyle/>
                  <a:p>
                    <a:r>
                      <a:rPr lang="en-US"/>
                      <a:t>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81C-4B7B-A379-3A18DF4F6DF6}"/>
                </c:ext>
              </c:extLst>
            </c:dLbl>
            <c:dLbl>
              <c:idx val="9"/>
              <c:tx>
                <c:rich>
                  <a:bodyPr/>
                  <a:lstStyle/>
                  <a:p>
                    <a:r>
                      <a:rPr lang="en-US"/>
                      <a:t>22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81C-4B7B-A379-3A18DF4F6DF6}"/>
                </c:ext>
              </c:extLst>
            </c:dLbl>
            <c:dLbl>
              <c:idx val="10"/>
              <c:tx>
                <c:rich>
                  <a:bodyPr/>
                  <a:lstStyle/>
                  <a:p>
                    <a:r>
                      <a:rPr lang="en-US"/>
                      <a:t>29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981C-4B7B-A379-3A18DF4F6DF6}"/>
                </c:ext>
              </c:extLst>
            </c:dLbl>
            <c:dLbl>
              <c:idx val="11"/>
              <c:tx>
                <c:rich>
                  <a:bodyPr/>
                  <a:lstStyle/>
                  <a:p>
                    <a:r>
                      <a:rPr lang="en-US"/>
                      <a:t>30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981C-4B7B-A379-3A18DF4F6DF6}"/>
                </c:ext>
              </c:extLst>
            </c:dLbl>
            <c:dLbl>
              <c:idx val="12"/>
              <c:tx>
                <c:rich>
                  <a:bodyPr/>
                  <a:lstStyle/>
                  <a:p>
                    <a:r>
                      <a:rPr lang="en-US"/>
                      <a:t>31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981C-4B7B-A379-3A18DF4F6DF6}"/>
                </c:ext>
              </c:extLst>
            </c:dLbl>
            <c:dLbl>
              <c:idx val="13"/>
              <c:tx>
                <c:rich>
                  <a:bodyPr/>
                  <a:lstStyle/>
                  <a:p>
                    <a:r>
                      <a:rPr lang="en-US"/>
                      <a:t>14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981C-4B7B-A379-3A18DF4F6DF6}"/>
                </c:ext>
              </c:extLst>
            </c:dLbl>
            <c:dLbl>
              <c:idx val="14"/>
              <c:tx>
                <c:rich>
                  <a:bodyPr/>
                  <a:lstStyle/>
                  <a:p>
                    <a:r>
                      <a:rPr lang="en-US"/>
                      <a:t>15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981C-4B7B-A379-3A18DF4F6DF6}"/>
                </c:ext>
              </c:extLst>
            </c:dLbl>
            <c:dLbl>
              <c:idx val="15"/>
              <c:tx>
                <c:rich>
                  <a:bodyPr/>
                  <a:lstStyle/>
                  <a:p>
                    <a:r>
                      <a:rPr lang="en-US"/>
                      <a:t>32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981C-4B7B-A379-3A18DF4F6DF6}"/>
                </c:ext>
              </c:extLst>
            </c:dLbl>
            <c:dLbl>
              <c:idx val="16"/>
              <c:tx>
                <c:rich>
                  <a:bodyPr/>
                  <a:lstStyle/>
                  <a:p>
                    <a:r>
                      <a:rPr lang="en-US"/>
                      <a:t>18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981C-4B7B-A379-3A18DF4F6DF6}"/>
                </c:ext>
              </c:extLst>
            </c:dLbl>
            <c:dLbl>
              <c:idx val="17"/>
              <c:tx>
                <c:rich>
                  <a:bodyPr/>
                  <a:lstStyle/>
                  <a:p>
                    <a:r>
                      <a:rPr lang="en-US"/>
                      <a:t>19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981C-4B7B-A379-3A18DF4F6DF6}"/>
                </c:ext>
              </c:extLst>
            </c:dLbl>
            <c:dLbl>
              <c:idx val="18"/>
              <c:tx>
                <c:rich>
                  <a:bodyPr/>
                  <a:lstStyle/>
                  <a:p>
                    <a:r>
                      <a:rPr lang="en-US"/>
                      <a:t>23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3-981C-4B7B-A379-3A18DF4F6DF6}"/>
                </c:ext>
              </c:extLst>
            </c:dLbl>
            <c:dLbl>
              <c:idx val="19"/>
              <c:tx>
                <c:rich>
                  <a:bodyPr/>
                  <a:lstStyle/>
                  <a:p>
                    <a:r>
                      <a:rPr lang="en-US"/>
                      <a:t>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981C-4B7B-A379-3A18DF4F6DF6}"/>
                </c:ext>
              </c:extLst>
            </c:dLbl>
            <c:dLbl>
              <c:idx val="20"/>
              <c:tx>
                <c:rich>
                  <a:bodyPr/>
                  <a:lstStyle/>
                  <a:p>
                    <a:r>
                      <a:rPr lang="en-US"/>
                      <a:t>45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5-981C-4B7B-A379-3A18DF4F6DF6}"/>
                </c:ext>
              </c:extLst>
            </c:dLbl>
            <c:dLbl>
              <c:idx val="21"/>
              <c:tx>
                <c:rich>
                  <a:bodyPr/>
                  <a:lstStyle/>
                  <a:p>
                    <a:r>
                      <a:rPr lang="en-US"/>
                      <a:t>20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6-981C-4B7B-A379-3A18DF4F6DF6}"/>
                </c:ext>
              </c:extLst>
            </c:dLbl>
            <c:dLbl>
              <c:idx val="22"/>
              <c:tx>
                <c:rich>
                  <a:bodyPr/>
                  <a:lstStyle/>
                  <a:p>
                    <a:r>
                      <a:rPr lang="en-US"/>
                      <a:t>38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7-981C-4B7B-A379-3A18DF4F6DF6}"/>
                </c:ext>
              </c:extLst>
            </c:dLbl>
            <c:dLbl>
              <c:idx val="23"/>
              <c:tx>
                <c:rich>
                  <a:bodyPr/>
                  <a:lstStyle/>
                  <a:p>
                    <a:r>
                      <a:rPr lang="en-US"/>
                      <a:t>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8-981C-4B7B-A379-3A18DF4F6DF6}"/>
                </c:ext>
              </c:extLst>
            </c:dLbl>
            <c:dLbl>
              <c:idx val="24"/>
              <c:tx>
                <c:rich>
                  <a:bodyPr/>
                  <a:lstStyle/>
                  <a:p>
                    <a:r>
                      <a:rPr lang="en-US"/>
                      <a:t>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981C-4B7B-A379-3A18DF4F6DF6}"/>
                </c:ext>
              </c:extLst>
            </c:dLbl>
            <c:dLbl>
              <c:idx val="25"/>
              <c:tx>
                <c:rich>
                  <a:bodyPr/>
                  <a:lstStyle/>
                  <a:p>
                    <a:r>
                      <a:rPr lang="en-US"/>
                      <a:t>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A-981C-4B7B-A379-3A18DF4F6DF6}"/>
                </c:ext>
              </c:extLst>
            </c:dLbl>
            <c:dLbl>
              <c:idx val="26"/>
              <c:tx>
                <c:rich>
                  <a:bodyPr/>
                  <a:lstStyle/>
                  <a:p>
                    <a:r>
                      <a:rPr lang="en-US"/>
                      <a:t>24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B-981C-4B7B-A379-3A18DF4F6DF6}"/>
                </c:ext>
              </c:extLst>
            </c:dLbl>
            <c:dLbl>
              <c:idx val="27"/>
              <c:tx>
                <c:rich>
                  <a:bodyPr/>
                  <a:lstStyle/>
                  <a:p>
                    <a:r>
                      <a:rPr lang="en-US"/>
                      <a:t>39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C-981C-4B7B-A379-3A18DF4F6DF6}"/>
                </c:ext>
              </c:extLst>
            </c:dLbl>
            <c:dLbl>
              <c:idx val="28"/>
              <c:tx>
                <c:rich>
                  <a:bodyPr/>
                  <a:lstStyle/>
                  <a:p>
                    <a:r>
                      <a:rPr lang="en-US"/>
                      <a:t>25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D-981C-4B7B-A379-3A18DF4F6DF6}"/>
                </c:ext>
              </c:extLst>
            </c:dLbl>
            <c:dLbl>
              <c:idx val="29"/>
              <c:tx>
                <c:rich>
                  <a:bodyPr/>
                  <a:lstStyle/>
                  <a:p>
                    <a:r>
                      <a:rPr lang="en-US"/>
                      <a:t>40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E-981C-4B7B-A379-3A18DF4F6DF6}"/>
                </c:ext>
              </c:extLst>
            </c:dLbl>
            <c:dLbl>
              <c:idx val="30"/>
              <c:tx>
                <c:rich>
                  <a:bodyPr/>
                  <a:lstStyle/>
                  <a:p>
                    <a:r>
                      <a:rPr lang="en-US"/>
                      <a:t>26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981C-4B7B-A379-3A18DF4F6DF6}"/>
                </c:ext>
              </c:extLst>
            </c:dLbl>
            <c:dLbl>
              <c:idx val="31"/>
              <c:tx>
                <c:rich>
                  <a:bodyPr/>
                  <a:lstStyle/>
                  <a:p>
                    <a:r>
                      <a:rPr lang="en-US"/>
                      <a:t>16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0-981C-4B7B-A379-3A18DF4F6DF6}"/>
                </c:ext>
              </c:extLst>
            </c:dLbl>
            <c:dLbl>
              <c:idx val="32"/>
              <c:tx>
                <c:rich>
                  <a:bodyPr/>
                  <a:lstStyle/>
                  <a:p>
                    <a:r>
                      <a:rPr lang="en-US"/>
                      <a:t>10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1-981C-4B7B-A379-3A18DF4F6DF6}"/>
                </c:ext>
              </c:extLst>
            </c:dLbl>
            <c:dLbl>
              <c:idx val="33"/>
              <c:tx>
                <c:rich>
                  <a:bodyPr/>
                  <a:lstStyle/>
                  <a:p>
                    <a:r>
                      <a:rPr lang="en-US"/>
                      <a:t>11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2-981C-4B7B-A379-3A18DF4F6DF6}"/>
                </c:ext>
              </c:extLst>
            </c:dLbl>
            <c:dLbl>
              <c:idx val="34"/>
              <c:tx>
                <c:rich>
                  <a:bodyPr/>
                  <a:lstStyle/>
                  <a:p>
                    <a:r>
                      <a:rPr lang="en-US"/>
                      <a:t>41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3-981C-4B7B-A379-3A18DF4F6DF6}"/>
                </c:ext>
              </c:extLst>
            </c:dLbl>
            <c:dLbl>
              <c:idx val="35"/>
              <c:tx>
                <c:rich>
                  <a:bodyPr/>
                  <a:lstStyle/>
                  <a:p>
                    <a:r>
                      <a:rPr lang="en-US"/>
                      <a:t>42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4-981C-4B7B-A379-3A18DF4F6DF6}"/>
                </c:ext>
              </c:extLst>
            </c:dLbl>
            <c:dLbl>
              <c:idx val="36"/>
              <c:tx>
                <c:rich>
                  <a:bodyPr/>
                  <a:lstStyle/>
                  <a:p>
                    <a:r>
                      <a:rPr lang="en-US"/>
                      <a:t>33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5-981C-4B7B-A379-3A18DF4F6DF6}"/>
                </c:ext>
              </c:extLst>
            </c:dLbl>
            <c:dLbl>
              <c:idx val="3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6-981C-4B7B-A379-3A18DF4F6DF6}"/>
                </c:ext>
              </c:extLst>
            </c:dLbl>
            <c:dLbl>
              <c:idx val="3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981C-4B7B-A379-3A18DF4F6DF6}"/>
                </c:ext>
              </c:extLst>
            </c:dLbl>
            <c:dLbl>
              <c:idx val="3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8-981C-4B7B-A379-3A18DF4F6DF6}"/>
                </c:ext>
              </c:extLst>
            </c:dLbl>
            <c:dLbl>
              <c:idx val="4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9-981C-4B7B-A379-3A18DF4F6DF6}"/>
                </c:ext>
              </c:extLst>
            </c:dLbl>
            <c:dLbl>
              <c:idx val="4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A-981C-4B7B-A379-3A18DF4F6DF6}"/>
                </c:ext>
              </c:extLst>
            </c:dLbl>
            <c:dLbl>
              <c:idx val="4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981C-4B7B-A379-3A18DF4F6DF6}"/>
                </c:ext>
              </c:extLst>
            </c:dLbl>
            <c:dLbl>
              <c:idx val="4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C-981C-4B7B-A379-3A18DF4F6DF6}"/>
                </c:ext>
              </c:extLst>
            </c:dLbl>
            <c:dLbl>
              <c:idx val="4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D-981C-4B7B-A379-3A18DF4F6DF6}"/>
                </c:ext>
              </c:extLst>
            </c:dLbl>
            <c:dLbl>
              <c:idx val="4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E-981C-4B7B-A379-3A18DF4F6DF6}"/>
                </c:ext>
              </c:extLst>
            </c:dLbl>
            <c:dLbl>
              <c:idx val="4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F-981C-4B7B-A379-3A18DF4F6DF6}"/>
                </c:ext>
              </c:extLst>
            </c:dLbl>
            <c:dLbl>
              <c:idx val="4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0-981C-4B7B-A379-3A18DF4F6DF6}"/>
                </c:ext>
              </c:extLst>
            </c:dLbl>
            <c:dLbl>
              <c:idx val="4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1-981C-4B7B-A379-3A18DF4F6DF6}"/>
                </c:ext>
              </c:extLst>
            </c:dLbl>
            <c:dLbl>
              <c:idx val="4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2-981C-4B7B-A379-3A18DF4F6DF6}"/>
                </c:ext>
              </c:extLst>
            </c:dLbl>
            <c:dLbl>
              <c:idx val="5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3-981C-4B7B-A379-3A18DF4F6DF6}"/>
                </c:ext>
              </c:extLst>
            </c:dLbl>
            <c:dLbl>
              <c:idx val="5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4-981C-4B7B-A379-3A18DF4F6DF6}"/>
                </c:ext>
              </c:extLst>
            </c:dLbl>
            <c:dLbl>
              <c:idx val="5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5-981C-4B7B-A379-3A18DF4F6DF6}"/>
                </c:ext>
              </c:extLst>
            </c:dLbl>
            <c:dLbl>
              <c:idx val="5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6-981C-4B7B-A379-3A18DF4F6DF6}"/>
                </c:ext>
              </c:extLst>
            </c:dLbl>
            <c:dLbl>
              <c:idx val="5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7-981C-4B7B-A379-3A18DF4F6DF6}"/>
                </c:ext>
              </c:extLst>
            </c:dLbl>
            <c:dLbl>
              <c:idx val="5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8-981C-4B7B-A379-3A18DF4F6DF6}"/>
                </c:ext>
              </c:extLst>
            </c:dLbl>
            <c:dLbl>
              <c:idx val="5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9-981C-4B7B-A379-3A18DF4F6DF6}"/>
                </c:ext>
              </c:extLst>
            </c:dLbl>
            <c:dLbl>
              <c:idx val="5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A-981C-4B7B-A379-3A18DF4F6DF6}"/>
                </c:ext>
              </c:extLst>
            </c:dLbl>
            <c:dLbl>
              <c:idx val="5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B-981C-4B7B-A379-3A18DF4F6DF6}"/>
                </c:ext>
              </c:extLst>
            </c:dLbl>
            <c:dLbl>
              <c:idx val="5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C-981C-4B7B-A379-3A18DF4F6DF6}"/>
                </c:ext>
              </c:extLst>
            </c:dLbl>
            <c:dLbl>
              <c:idx val="6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D-981C-4B7B-A379-3A18DF4F6DF6}"/>
                </c:ext>
              </c:extLst>
            </c:dLbl>
            <c:dLbl>
              <c:idx val="6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E-981C-4B7B-A379-3A18DF4F6DF6}"/>
                </c:ext>
              </c:extLst>
            </c:dLbl>
            <c:dLbl>
              <c:idx val="6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F-981C-4B7B-A379-3A18DF4F6DF6}"/>
                </c:ext>
              </c:extLst>
            </c:dLbl>
            <c:dLbl>
              <c:idx val="6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0-981C-4B7B-A379-3A18DF4F6DF6}"/>
                </c:ext>
              </c:extLst>
            </c:dLbl>
            <c:dLbl>
              <c:idx val="6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1-981C-4B7B-A379-3A18DF4F6DF6}"/>
                </c:ext>
              </c:extLst>
            </c:dLbl>
            <c:dLbl>
              <c:idx val="6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2-981C-4B7B-A379-3A18DF4F6DF6}"/>
                </c:ext>
              </c:extLst>
            </c:dLbl>
            <c:dLbl>
              <c:idx val="6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3-981C-4B7B-A379-3A18DF4F6DF6}"/>
                </c:ext>
              </c:extLst>
            </c:dLbl>
            <c:dLbl>
              <c:idx val="6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4-981C-4B7B-A379-3A18DF4F6DF6}"/>
                </c:ext>
              </c:extLst>
            </c:dLbl>
            <c:dLbl>
              <c:idx val="6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5-981C-4B7B-A379-3A18DF4F6DF6}"/>
                </c:ext>
              </c:extLst>
            </c:dLbl>
            <c:dLbl>
              <c:idx val="6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6-981C-4B7B-A379-3A18DF4F6DF6}"/>
                </c:ext>
              </c:extLst>
            </c:dLbl>
            <c:dLbl>
              <c:idx val="7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7-981C-4B7B-A379-3A18DF4F6DF6}"/>
                </c:ext>
              </c:extLst>
            </c:dLbl>
            <c:dLbl>
              <c:idx val="7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8-981C-4B7B-A379-3A18DF4F6DF6}"/>
                </c:ext>
              </c:extLst>
            </c:dLbl>
            <c:dLbl>
              <c:idx val="7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9-981C-4B7B-A379-3A18DF4F6DF6}"/>
                </c:ext>
              </c:extLst>
            </c:dLbl>
            <c:dLbl>
              <c:idx val="7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A-981C-4B7B-A379-3A18DF4F6DF6}"/>
                </c:ext>
              </c:extLst>
            </c:dLbl>
            <c:dLbl>
              <c:idx val="7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B-981C-4B7B-A379-3A18DF4F6DF6}"/>
                </c:ext>
              </c:extLst>
            </c:dLbl>
            <c:dLbl>
              <c:idx val="7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C-981C-4B7B-A379-3A18DF4F6DF6}"/>
                </c:ext>
              </c:extLst>
            </c:dLbl>
            <c:dLbl>
              <c:idx val="7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D-981C-4B7B-A379-3A18DF4F6DF6}"/>
                </c:ext>
              </c:extLst>
            </c:dLbl>
            <c:dLbl>
              <c:idx val="7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E-981C-4B7B-A379-3A18DF4F6DF6}"/>
                </c:ext>
              </c:extLst>
            </c:dLbl>
            <c:dLbl>
              <c:idx val="7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F-981C-4B7B-A379-3A18DF4F6DF6}"/>
                </c:ext>
              </c:extLst>
            </c:dLbl>
            <c:dLbl>
              <c:idx val="7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0-981C-4B7B-A379-3A18DF4F6DF6}"/>
                </c:ext>
              </c:extLst>
            </c:dLbl>
            <c:dLbl>
              <c:idx val="8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1-981C-4B7B-A379-3A18DF4F6DF6}"/>
                </c:ext>
              </c:extLst>
            </c:dLbl>
            <c:dLbl>
              <c:idx val="8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2-981C-4B7B-A379-3A18DF4F6DF6}"/>
                </c:ext>
              </c:extLst>
            </c:dLbl>
            <c:dLbl>
              <c:idx val="8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3-981C-4B7B-A379-3A18DF4F6DF6}"/>
                </c:ext>
              </c:extLst>
            </c:dLbl>
            <c:dLbl>
              <c:idx val="8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4-981C-4B7B-A379-3A18DF4F6DF6}"/>
                </c:ext>
              </c:extLst>
            </c:dLbl>
            <c:dLbl>
              <c:idx val="8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5-981C-4B7B-A379-3A18DF4F6DF6}"/>
                </c:ext>
              </c:extLst>
            </c:dLbl>
            <c:dLbl>
              <c:idx val="8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6-981C-4B7B-A379-3A18DF4F6DF6}"/>
                </c:ext>
              </c:extLst>
            </c:dLbl>
            <c:dLbl>
              <c:idx val="8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7-981C-4B7B-A379-3A18DF4F6DF6}"/>
                </c:ext>
              </c:extLst>
            </c:dLbl>
            <c:dLbl>
              <c:idx val="8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8-981C-4B7B-A379-3A18DF4F6DF6}"/>
                </c:ext>
              </c:extLst>
            </c:dLbl>
            <c:dLbl>
              <c:idx val="8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9-981C-4B7B-A379-3A18DF4F6DF6}"/>
                </c:ext>
              </c:extLst>
            </c:dLbl>
            <c:dLbl>
              <c:idx val="8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A-981C-4B7B-A379-3A18DF4F6DF6}"/>
                </c:ext>
              </c:extLst>
            </c:dLbl>
            <c:dLbl>
              <c:idx val="9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B-981C-4B7B-A379-3A18DF4F6DF6}"/>
                </c:ext>
              </c:extLst>
            </c:dLbl>
            <c:dLbl>
              <c:idx val="9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C-981C-4B7B-A379-3A18DF4F6DF6}"/>
                </c:ext>
              </c:extLst>
            </c:dLbl>
            <c:dLbl>
              <c:idx val="9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D-981C-4B7B-A379-3A18DF4F6DF6}"/>
                </c:ext>
              </c:extLst>
            </c:dLbl>
            <c:dLbl>
              <c:idx val="9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E-981C-4B7B-A379-3A18DF4F6DF6}"/>
                </c:ext>
              </c:extLst>
            </c:dLbl>
            <c:dLbl>
              <c:idx val="9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F-981C-4B7B-A379-3A18DF4F6DF6}"/>
                </c:ext>
              </c:extLst>
            </c:dLbl>
            <c:dLbl>
              <c:idx val="9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0-981C-4B7B-A379-3A18DF4F6DF6}"/>
                </c:ext>
              </c:extLst>
            </c:dLbl>
            <c:dLbl>
              <c:idx val="9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1-981C-4B7B-A379-3A18DF4F6DF6}"/>
                </c:ext>
              </c:extLst>
            </c:dLbl>
            <c:dLbl>
              <c:idx val="9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2-981C-4B7B-A379-3A18DF4F6DF6}"/>
                </c:ext>
              </c:extLst>
            </c:dLbl>
            <c:dLbl>
              <c:idx val="9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3-981C-4B7B-A379-3A18DF4F6DF6}"/>
                </c:ext>
              </c:extLst>
            </c:dLbl>
            <c:dLbl>
              <c:idx val="9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4-981C-4B7B-A379-3A18DF4F6DF6}"/>
                </c:ext>
              </c:extLst>
            </c:dLbl>
            <c:dLbl>
              <c:idx val="10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5-981C-4B7B-A379-3A18DF4F6DF6}"/>
                </c:ext>
              </c:extLst>
            </c:dLbl>
            <c:spPr>
              <a:noFill/>
              <a:ln>
                <a:noFill/>
              </a:ln>
              <a:effectLst/>
            </c:spPr>
            <c:txPr>
              <a:bodyPr/>
              <a:lstStyle/>
              <a:p>
                <a:pPr>
                  <a:defRPr sz="700"/>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ext>
            </c:extLst>
          </c:dLbls>
          <c:xVal>
            <c:numRef>
              <c:f>RB_ETL!$K$3:$K$103</c:f>
              <c:numCache>
                <c:formatCode>General</c:formatCode>
                <c:ptCount val="101"/>
                <c:pt idx="0">
                  <c:v>7.9299843185739863E-2</c:v>
                </c:pt>
                <c:pt idx="1">
                  <c:v>1.9869707103934462</c:v>
                </c:pt>
                <c:pt idx="2">
                  <c:v>-0.51724379112747854</c:v>
                </c:pt>
                <c:pt idx="3">
                  <c:v>0.50817707819248614</c:v>
                </c:pt>
                <c:pt idx="4">
                  <c:v>-0.48203512894296996</c:v>
                </c:pt>
                <c:pt idx="5">
                  <c:v>0.29927866651738322</c:v>
                </c:pt>
                <c:pt idx="6">
                  <c:v>-0.18409756111793116</c:v>
                </c:pt>
                <c:pt idx="7">
                  <c:v>-0.21583425689737501</c:v>
                </c:pt>
                <c:pt idx="8">
                  <c:v>-0.48610383221778891</c:v>
                </c:pt>
                <c:pt idx="9">
                  <c:v>-0.60281091627904182</c:v>
                </c:pt>
                <c:pt idx="10">
                  <c:v>2.2178291229613043</c:v>
                </c:pt>
                <c:pt idx="11">
                  <c:v>-0.65923582946166093</c:v>
                </c:pt>
                <c:pt idx="12">
                  <c:v>-2.264879627312316</c:v>
                </c:pt>
                <c:pt idx="13">
                  <c:v>2.413451607491222</c:v>
                </c:pt>
                <c:pt idx="14">
                  <c:v>0.83931385375139567</c:v>
                </c:pt>
                <c:pt idx="15">
                  <c:v>0.16092826100120697</c:v>
                </c:pt>
                <c:pt idx="16">
                  <c:v>5.4908593816934047E-2</c:v>
                </c:pt>
                <c:pt idx="17">
                  <c:v>0.87795681949155957</c:v>
                </c:pt>
                <c:pt idx="18">
                  <c:v>3.6846310090976009</c:v>
                </c:pt>
                <c:pt idx="19">
                  <c:v>1.2850481348084899</c:v>
                </c:pt>
                <c:pt idx="20">
                  <c:v>1.7764647612689379</c:v>
                </c:pt>
                <c:pt idx="21">
                  <c:v>-0.46679857445270523</c:v>
                </c:pt>
                <c:pt idx="22">
                  <c:v>0.41708352334018872</c:v>
                </c:pt>
                <c:pt idx="23">
                  <c:v>2.0657822450594341</c:v>
                </c:pt>
                <c:pt idx="24">
                  <c:v>-0.66547759197340295</c:v>
                </c:pt>
                <c:pt idx="25">
                  <c:v>4.5622008412224346</c:v>
                </c:pt>
                <c:pt idx="26">
                  <c:v>2.6105921263060146</c:v>
                </c:pt>
                <c:pt idx="27">
                  <c:v>0.22079253197842122</c:v>
                </c:pt>
                <c:pt idx="28">
                  <c:v>3.9659144711266996</c:v>
                </c:pt>
                <c:pt idx="29">
                  <c:v>-0.19166953958387264</c:v>
                </c:pt>
                <c:pt idx="30">
                  <c:v>2.111088475260992</c:v>
                </c:pt>
                <c:pt idx="31">
                  <c:v>3.3337493887132088</c:v>
                </c:pt>
                <c:pt idx="32">
                  <c:v>0.1491950547596631</c:v>
                </c:pt>
                <c:pt idx="33">
                  <c:v>8.5089925743591461</c:v>
                </c:pt>
                <c:pt idx="34">
                  <c:v>-0.21440134630106125</c:v>
                </c:pt>
                <c:pt idx="35">
                  <c:v>1.1825809274189345</c:v>
                </c:pt>
                <c:pt idx="36">
                  <c:v>2.7799232957931466</c:v>
                </c:pt>
              </c:numCache>
            </c:numRef>
          </c:xVal>
          <c:yVal>
            <c:numRef>
              <c:f>RB_ETL!$J$3:$J$103</c:f>
              <c:numCache>
                <c:formatCode>General</c:formatCode>
                <c:ptCount val="101"/>
                <c:pt idx="0">
                  <c:v>1.070412969088532</c:v>
                </c:pt>
                <c:pt idx="1">
                  <c:v>-0.59150315309951873</c:v>
                </c:pt>
                <c:pt idx="2">
                  <c:v>0.98209791573682026</c:v>
                </c:pt>
                <c:pt idx="3">
                  <c:v>0.76373881324272452</c:v>
                </c:pt>
                <c:pt idx="4">
                  <c:v>0.87289775521258461</c:v>
                </c:pt>
                <c:pt idx="5">
                  <c:v>1.2240245840614499</c:v>
                </c:pt>
                <c:pt idx="6">
                  <c:v>0.90210471791805935</c:v>
                </c:pt>
                <c:pt idx="7">
                  <c:v>0.8489291545414801</c:v>
                </c:pt>
                <c:pt idx="8">
                  <c:v>0.23526581837368488</c:v>
                </c:pt>
                <c:pt idx="9">
                  <c:v>0.89036567185711524</c:v>
                </c:pt>
                <c:pt idx="10">
                  <c:v>1.7007493867712347</c:v>
                </c:pt>
                <c:pt idx="11">
                  <c:v>1.4252162442827232</c:v>
                </c:pt>
                <c:pt idx="12">
                  <c:v>1.2936613506325858</c:v>
                </c:pt>
                <c:pt idx="13">
                  <c:v>1.0463513292958786</c:v>
                </c:pt>
                <c:pt idx="14">
                  <c:v>0.57425514939531197</c:v>
                </c:pt>
                <c:pt idx="15">
                  <c:v>0.71204297040772346</c:v>
                </c:pt>
                <c:pt idx="16">
                  <c:v>0.86964862390834785</c:v>
                </c:pt>
                <c:pt idx="17">
                  <c:v>0.6302408043882255</c:v>
                </c:pt>
                <c:pt idx="18">
                  <c:v>0.73676292898015627</c:v>
                </c:pt>
                <c:pt idx="19">
                  <c:v>0.64839132159262669</c:v>
                </c:pt>
                <c:pt idx="20">
                  <c:v>0.87674791411798414</c:v>
                </c:pt>
                <c:pt idx="21">
                  <c:v>0.87570578509636088</c:v>
                </c:pt>
                <c:pt idx="22">
                  <c:v>9.619057318761301E-2</c:v>
                </c:pt>
                <c:pt idx="23">
                  <c:v>-7.0365045698543821E-2</c:v>
                </c:pt>
                <c:pt idx="24">
                  <c:v>0.34156768158000195</c:v>
                </c:pt>
                <c:pt idx="25">
                  <c:v>0.51903774134260061</c:v>
                </c:pt>
                <c:pt idx="26">
                  <c:v>0.56030430209459359</c:v>
                </c:pt>
                <c:pt idx="27">
                  <c:v>0.81454710070217551</c:v>
                </c:pt>
                <c:pt idx="28">
                  <c:v>0.48438409188778858</c:v>
                </c:pt>
                <c:pt idx="29">
                  <c:v>0.4723515398106492</c:v>
                </c:pt>
                <c:pt idx="30">
                  <c:v>1.389198981781846</c:v>
                </c:pt>
                <c:pt idx="31">
                  <c:v>1.3756037275364426</c:v>
                </c:pt>
                <c:pt idx="32">
                  <c:v>1.5690664565354817</c:v>
                </c:pt>
                <c:pt idx="33">
                  <c:v>1.1693906991605869</c:v>
                </c:pt>
                <c:pt idx="34">
                  <c:v>1.2224809786082593</c:v>
                </c:pt>
                <c:pt idx="35">
                  <c:v>0.75803820129462485</c:v>
                </c:pt>
                <c:pt idx="36">
                  <c:v>0.94527755569980543</c:v>
                </c:pt>
              </c:numCache>
            </c:numRef>
          </c:yVal>
          <c:smooth val="0"/>
          <c:extLst>
            <c:ext xmlns:c16="http://schemas.microsoft.com/office/drawing/2014/chart" uri="{C3380CC4-5D6E-409C-BE32-E72D297353CC}">
              <c16:uniqueId val="{000000A6-981C-4B7B-A379-3A18DF4F6DF6}"/>
            </c:ext>
          </c:extLst>
        </c:ser>
        <c:ser>
          <c:idx val="3"/>
          <c:order val="3"/>
          <c:tx>
            <c:strRef>
              <c:f>RB_ETL!$H$3:$H$103</c:f>
              <c:strCache>
                <c:ptCount val="101"/>
                <c:pt idx="0">
                  <c:v>13</c:v>
                </c:pt>
                <c:pt idx="1">
                  <c:v>35</c:v>
                </c:pt>
                <c:pt idx="2">
                  <c:v>44</c:v>
                </c:pt>
                <c:pt idx="3">
                  <c:v>36</c:v>
                </c:pt>
                <c:pt idx="4">
                  <c:v>5</c:v>
                </c:pt>
                <c:pt idx="5">
                  <c:v>37</c:v>
                </c:pt>
                <c:pt idx="6">
                  <c:v>28</c:v>
                </c:pt>
                <c:pt idx="7">
                  <c:v>6</c:v>
                </c:pt>
                <c:pt idx="8">
                  <c:v>2</c:v>
                </c:pt>
                <c:pt idx="9">
                  <c:v>22</c:v>
                </c:pt>
                <c:pt idx="10">
                  <c:v>29</c:v>
                </c:pt>
                <c:pt idx="11">
                  <c:v>30</c:v>
                </c:pt>
                <c:pt idx="12">
                  <c:v>31</c:v>
                </c:pt>
                <c:pt idx="13">
                  <c:v>14</c:v>
                </c:pt>
                <c:pt idx="14">
                  <c:v>15</c:v>
                </c:pt>
                <c:pt idx="15">
                  <c:v>32</c:v>
                </c:pt>
                <c:pt idx="16">
                  <c:v>18</c:v>
                </c:pt>
                <c:pt idx="17">
                  <c:v>19</c:v>
                </c:pt>
                <c:pt idx="18">
                  <c:v>23</c:v>
                </c:pt>
                <c:pt idx="19">
                  <c:v>3</c:v>
                </c:pt>
                <c:pt idx="20">
                  <c:v>45</c:v>
                </c:pt>
                <c:pt idx="21">
                  <c:v>20</c:v>
                </c:pt>
                <c:pt idx="22">
                  <c:v>38</c:v>
                </c:pt>
                <c:pt idx="23">
                  <c:v>7</c:v>
                </c:pt>
                <c:pt idx="24">
                  <c:v>8</c:v>
                </c:pt>
                <c:pt idx="25">
                  <c:v>9</c:v>
                </c:pt>
                <c:pt idx="26">
                  <c:v>24</c:v>
                </c:pt>
                <c:pt idx="27">
                  <c:v>39</c:v>
                </c:pt>
                <c:pt idx="28">
                  <c:v>25</c:v>
                </c:pt>
                <c:pt idx="29">
                  <c:v>40</c:v>
                </c:pt>
                <c:pt idx="30">
                  <c:v>26</c:v>
                </c:pt>
                <c:pt idx="31">
                  <c:v>16</c:v>
                </c:pt>
                <c:pt idx="32">
                  <c:v>10</c:v>
                </c:pt>
                <c:pt idx="33">
                  <c:v>11</c:v>
                </c:pt>
                <c:pt idx="34">
                  <c:v>41</c:v>
                </c:pt>
                <c:pt idx="35">
                  <c:v>42</c:v>
                </c:pt>
                <c:pt idx="36">
                  <c:v>33</c:v>
                </c:pt>
              </c:strCache>
            </c:strRef>
          </c:tx>
          <c:spPr>
            <a:ln w="28575">
              <a:noFill/>
            </a:ln>
          </c:spPr>
          <c:marker>
            <c:symbol val="circle"/>
            <c:size val="5"/>
            <c:spPr>
              <a:solidFill>
                <a:schemeClr val="accent1"/>
              </a:solidFill>
              <a:ln>
                <a:noFill/>
              </a:ln>
            </c:spPr>
          </c:marker>
          <c:dLbls>
            <c:dLbl>
              <c:idx val="0"/>
              <c:tx>
                <c:rich>
                  <a:bodyPr/>
                  <a:lstStyle/>
                  <a:p>
                    <a:r>
                      <a:rPr lang="en-US"/>
                      <a:t>13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7-981C-4B7B-A379-3A18DF4F6DF6}"/>
                </c:ext>
              </c:extLst>
            </c:dLbl>
            <c:dLbl>
              <c:idx val="1"/>
              <c:tx>
                <c:rich>
                  <a:bodyPr/>
                  <a:lstStyle/>
                  <a:p>
                    <a:r>
                      <a:rPr lang="en-US"/>
                      <a:t>35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8-981C-4B7B-A379-3A18DF4F6DF6}"/>
                </c:ext>
              </c:extLst>
            </c:dLbl>
            <c:dLbl>
              <c:idx val="2"/>
              <c:tx>
                <c:rich>
                  <a:bodyPr/>
                  <a:lstStyle/>
                  <a:p>
                    <a:r>
                      <a:rPr lang="en-US"/>
                      <a:t>44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9-981C-4B7B-A379-3A18DF4F6DF6}"/>
                </c:ext>
              </c:extLst>
            </c:dLbl>
            <c:dLbl>
              <c:idx val="3"/>
              <c:tx>
                <c:rich>
                  <a:bodyPr/>
                  <a:lstStyle/>
                  <a:p>
                    <a:r>
                      <a:rPr lang="en-US"/>
                      <a:t>36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A-981C-4B7B-A379-3A18DF4F6DF6}"/>
                </c:ext>
              </c:extLst>
            </c:dLbl>
            <c:dLbl>
              <c:idx val="4"/>
              <c:tx>
                <c:rich>
                  <a:bodyPr/>
                  <a:lstStyle/>
                  <a:p>
                    <a:r>
                      <a:rPr lang="en-US"/>
                      <a:t>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B-981C-4B7B-A379-3A18DF4F6DF6}"/>
                </c:ext>
              </c:extLst>
            </c:dLbl>
            <c:dLbl>
              <c:idx val="5"/>
              <c:tx>
                <c:rich>
                  <a:bodyPr/>
                  <a:lstStyle/>
                  <a:p>
                    <a:r>
                      <a:rPr lang="en-US"/>
                      <a:t>37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C-981C-4B7B-A379-3A18DF4F6DF6}"/>
                </c:ext>
              </c:extLst>
            </c:dLbl>
            <c:dLbl>
              <c:idx val="6"/>
              <c:tx>
                <c:rich>
                  <a:bodyPr/>
                  <a:lstStyle/>
                  <a:p>
                    <a:r>
                      <a:rPr lang="en-US"/>
                      <a:t>28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D-981C-4B7B-A379-3A18DF4F6DF6}"/>
                </c:ext>
              </c:extLst>
            </c:dLbl>
            <c:dLbl>
              <c:idx val="7"/>
              <c:tx>
                <c:rich>
                  <a:bodyPr/>
                  <a:lstStyle/>
                  <a:p>
                    <a:r>
                      <a:rPr lang="en-US"/>
                      <a:t>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E-981C-4B7B-A379-3A18DF4F6DF6}"/>
                </c:ext>
              </c:extLst>
            </c:dLbl>
            <c:dLbl>
              <c:idx val="8"/>
              <c:tx>
                <c:rich>
                  <a:bodyPr/>
                  <a:lstStyle/>
                  <a:p>
                    <a:r>
                      <a:rPr lang="en-US"/>
                      <a:t>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F-981C-4B7B-A379-3A18DF4F6DF6}"/>
                </c:ext>
              </c:extLst>
            </c:dLbl>
            <c:dLbl>
              <c:idx val="9"/>
              <c:tx>
                <c:rich>
                  <a:bodyPr/>
                  <a:lstStyle/>
                  <a:p>
                    <a:r>
                      <a:rPr lang="en-US"/>
                      <a:t>22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0-981C-4B7B-A379-3A18DF4F6DF6}"/>
                </c:ext>
              </c:extLst>
            </c:dLbl>
            <c:dLbl>
              <c:idx val="10"/>
              <c:tx>
                <c:rich>
                  <a:bodyPr/>
                  <a:lstStyle/>
                  <a:p>
                    <a:r>
                      <a:rPr lang="en-US"/>
                      <a:t>29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1-981C-4B7B-A379-3A18DF4F6DF6}"/>
                </c:ext>
              </c:extLst>
            </c:dLbl>
            <c:dLbl>
              <c:idx val="11"/>
              <c:tx>
                <c:rich>
                  <a:bodyPr/>
                  <a:lstStyle/>
                  <a:p>
                    <a:r>
                      <a:rPr lang="en-US"/>
                      <a:t>30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2-981C-4B7B-A379-3A18DF4F6DF6}"/>
                </c:ext>
              </c:extLst>
            </c:dLbl>
            <c:dLbl>
              <c:idx val="12"/>
              <c:tx>
                <c:rich>
                  <a:bodyPr/>
                  <a:lstStyle/>
                  <a:p>
                    <a:r>
                      <a:rPr lang="en-US"/>
                      <a:t>31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3-981C-4B7B-A379-3A18DF4F6DF6}"/>
                </c:ext>
              </c:extLst>
            </c:dLbl>
            <c:dLbl>
              <c:idx val="13"/>
              <c:tx>
                <c:rich>
                  <a:bodyPr/>
                  <a:lstStyle/>
                  <a:p>
                    <a:r>
                      <a:rPr lang="en-US"/>
                      <a:t>14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4-981C-4B7B-A379-3A18DF4F6DF6}"/>
                </c:ext>
              </c:extLst>
            </c:dLbl>
            <c:dLbl>
              <c:idx val="14"/>
              <c:tx>
                <c:rich>
                  <a:bodyPr/>
                  <a:lstStyle/>
                  <a:p>
                    <a:r>
                      <a:rPr lang="en-US"/>
                      <a:t>15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5-981C-4B7B-A379-3A18DF4F6DF6}"/>
                </c:ext>
              </c:extLst>
            </c:dLbl>
            <c:dLbl>
              <c:idx val="15"/>
              <c:tx>
                <c:rich>
                  <a:bodyPr/>
                  <a:lstStyle/>
                  <a:p>
                    <a:r>
                      <a:rPr lang="en-US"/>
                      <a:t>32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6-981C-4B7B-A379-3A18DF4F6DF6}"/>
                </c:ext>
              </c:extLst>
            </c:dLbl>
            <c:dLbl>
              <c:idx val="16"/>
              <c:tx>
                <c:rich>
                  <a:bodyPr/>
                  <a:lstStyle/>
                  <a:p>
                    <a:r>
                      <a:rPr lang="en-US"/>
                      <a:t>18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7-981C-4B7B-A379-3A18DF4F6DF6}"/>
                </c:ext>
              </c:extLst>
            </c:dLbl>
            <c:dLbl>
              <c:idx val="17"/>
              <c:tx>
                <c:rich>
                  <a:bodyPr/>
                  <a:lstStyle/>
                  <a:p>
                    <a:r>
                      <a:rPr lang="en-US"/>
                      <a:t>19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8-981C-4B7B-A379-3A18DF4F6DF6}"/>
                </c:ext>
              </c:extLst>
            </c:dLbl>
            <c:dLbl>
              <c:idx val="18"/>
              <c:tx>
                <c:rich>
                  <a:bodyPr/>
                  <a:lstStyle/>
                  <a:p>
                    <a:r>
                      <a:rPr lang="en-US"/>
                      <a:t>23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9-981C-4B7B-A379-3A18DF4F6DF6}"/>
                </c:ext>
              </c:extLst>
            </c:dLbl>
            <c:dLbl>
              <c:idx val="19"/>
              <c:tx>
                <c:rich>
                  <a:bodyPr/>
                  <a:lstStyle/>
                  <a:p>
                    <a:r>
                      <a:rPr lang="en-US"/>
                      <a:t>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A-981C-4B7B-A379-3A18DF4F6DF6}"/>
                </c:ext>
              </c:extLst>
            </c:dLbl>
            <c:dLbl>
              <c:idx val="20"/>
              <c:tx>
                <c:rich>
                  <a:bodyPr/>
                  <a:lstStyle/>
                  <a:p>
                    <a:r>
                      <a:rPr lang="en-US"/>
                      <a:t>45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B-981C-4B7B-A379-3A18DF4F6DF6}"/>
                </c:ext>
              </c:extLst>
            </c:dLbl>
            <c:dLbl>
              <c:idx val="21"/>
              <c:tx>
                <c:rich>
                  <a:bodyPr/>
                  <a:lstStyle/>
                  <a:p>
                    <a:r>
                      <a:rPr lang="en-US"/>
                      <a:t>20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C-981C-4B7B-A379-3A18DF4F6DF6}"/>
                </c:ext>
              </c:extLst>
            </c:dLbl>
            <c:dLbl>
              <c:idx val="22"/>
              <c:tx>
                <c:rich>
                  <a:bodyPr/>
                  <a:lstStyle/>
                  <a:p>
                    <a:r>
                      <a:rPr lang="en-US"/>
                      <a:t>38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D-981C-4B7B-A379-3A18DF4F6DF6}"/>
                </c:ext>
              </c:extLst>
            </c:dLbl>
            <c:dLbl>
              <c:idx val="23"/>
              <c:tx>
                <c:rich>
                  <a:bodyPr/>
                  <a:lstStyle/>
                  <a:p>
                    <a:r>
                      <a:rPr lang="en-US"/>
                      <a:t>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E-981C-4B7B-A379-3A18DF4F6DF6}"/>
                </c:ext>
              </c:extLst>
            </c:dLbl>
            <c:dLbl>
              <c:idx val="24"/>
              <c:tx>
                <c:rich>
                  <a:bodyPr/>
                  <a:lstStyle/>
                  <a:p>
                    <a:r>
                      <a:rPr lang="en-US"/>
                      <a:t>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F-981C-4B7B-A379-3A18DF4F6DF6}"/>
                </c:ext>
              </c:extLst>
            </c:dLbl>
            <c:dLbl>
              <c:idx val="25"/>
              <c:tx>
                <c:rich>
                  <a:bodyPr/>
                  <a:lstStyle/>
                  <a:p>
                    <a:r>
                      <a:rPr lang="en-US"/>
                      <a:t>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0-981C-4B7B-A379-3A18DF4F6DF6}"/>
                </c:ext>
              </c:extLst>
            </c:dLbl>
            <c:dLbl>
              <c:idx val="26"/>
              <c:tx>
                <c:rich>
                  <a:bodyPr/>
                  <a:lstStyle/>
                  <a:p>
                    <a:r>
                      <a:rPr lang="en-US"/>
                      <a:t>24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1-981C-4B7B-A379-3A18DF4F6DF6}"/>
                </c:ext>
              </c:extLst>
            </c:dLbl>
            <c:dLbl>
              <c:idx val="27"/>
              <c:tx>
                <c:rich>
                  <a:bodyPr/>
                  <a:lstStyle/>
                  <a:p>
                    <a:r>
                      <a:rPr lang="en-US"/>
                      <a:t>39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2-981C-4B7B-A379-3A18DF4F6DF6}"/>
                </c:ext>
              </c:extLst>
            </c:dLbl>
            <c:dLbl>
              <c:idx val="28"/>
              <c:tx>
                <c:rich>
                  <a:bodyPr/>
                  <a:lstStyle/>
                  <a:p>
                    <a:r>
                      <a:rPr lang="en-US"/>
                      <a:t>25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3-981C-4B7B-A379-3A18DF4F6DF6}"/>
                </c:ext>
              </c:extLst>
            </c:dLbl>
            <c:dLbl>
              <c:idx val="29"/>
              <c:tx>
                <c:rich>
                  <a:bodyPr/>
                  <a:lstStyle/>
                  <a:p>
                    <a:r>
                      <a:rPr lang="en-US"/>
                      <a:t>40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4-981C-4B7B-A379-3A18DF4F6DF6}"/>
                </c:ext>
              </c:extLst>
            </c:dLbl>
            <c:dLbl>
              <c:idx val="30"/>
              <c:tx>
                <c:rich>
                  <a:bodyPr/>
                  <a:lstStyle/>
                  <a:p>
                    <a:r>
                      <a:rPr lang="en-US"/>
                      <a:t>26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5-981C-4B7B-A379-3A18DF4F6DF6}"/>
                </c:ext>
              </c:extLst>
            </c:dLbl>
            <c:dLbl>
              <c:idx val="31"/>
              <c:tx>
                <c:rich>
                  <a:bodyPr/>
                  <a:lstStyle/>
                  <a:p>
                    <a:r>
                      <a:rPr lang="en-US"/>
                      <a:t>16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6-981C-4B7B-A379-3A18DF4F6DF6}"/>
                </c:ext>
              </c:extLst>
            </c:dLbl>
            <c:dLbl>
              <c:idx val="32"/>
              <c:tx>
                <c:rich>
                  <a:bodyPr/>
                  <a:lstStyle/>
                  <a:p>
                    <a:r>
                      <a:rPr lang="en-US"/>
                      <a:t>10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981C-4B7B-A379-3A18DF4F6DF6}"/>
                </c:ext>
              </c:extLst>
            </c:dLbl>
            <c:dLbl>
              <c:idx val="33"/>
              <c:tx>
                <c:rich>
                  <a:bodyPr/>
                  <a:lstStyle/>
                  <a:p>
                    <a:r>
                      <a:rPr lang="en-US"/>
                      <a:t>11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8-981C-4B7B-A379-3A18DF4F6DF6}"/>
                </c:ext>
              </c:extLst>
            </c:dLbl>
            <c:dLbl>
              <c:idx val="34"/>
              <c:tx>
                <c:rich>
                  <a:bodyPr/>
                  <a:lstStyle/>
                  <a:p>
                    <a:r>
                      <a:rPr lang="en-US"/>
                      <a:t>41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9-981C-4B7B-A379-3A18DF4F6DF6}"/>
                </c:ext>
              </c:extLst>
            </c:dLbl>
            <c:dLbl>
              <c:idx val="35"/>
              <c:tx>
                <c:rich>
                  <a:bodyPr/>
                  <a:lstStyle/>
                  <a:p>
                    <a:r>
                      <a:rPr lang="en-US"/>
                      <a:t>42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A-981C-4B7B-A379-3A18DF4F6DF6}"/>
                </c:ext>
              </c:extLst>
            </c:dLbl>
            <c:dLbl>
              <c:idx val="36"/>
              <c:tx>
                <c:rich>
                  <a:bodyPr/>
                  <a:lstStyle/>
                  <a:p>
                    <a:r>
                      <a:rPr lang="en-US"/>
                      <a:t>33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B-981C-4B7B-A379-3A18DF4F6DF6}"/>
                </c:ext>
              </c:extLst>
            </c:dLbl>
            <c:dLbl>
              <c:idx val="3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C-981C-4B7B-A379-3A18DF4F6DF6}"/>
                </c:ext>
              </c:extLst>
            </c:dLbl>
            <c:dLbl>
              <c:idx val="3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D-981C-4B7B-A379-3A18DF4F6DF6}"/>
                </c:ext>
              </c:extLst>
            </c:dLbl>
            <c:dLbl>
              <c:idx val="3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E-981C-4B7B-A379-3A18DF4F6DF6}"/>
                </c:ext>
              </c:extLst>
            </c:dLbl>
            <c:dLbl>
              <c:idx val="4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F-981C-4B7B-A379-3A18DF4F6DF6}"/>
                </c:ext>
              </c:extLst>
            </c:dLbl>
            <c:dLbl>
              <c:idx val="4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0-981C-4B7B-A379-3A18DF4F6DF6}"/>
                </c:ext>
              </c:extLst>
            </c:dLbl>
            <c:dLbl>
              <c:idx val="4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1-981C-4B7B-A379-3A18DF4F6DF6}"/>
                </c:ext>
              </c:extLst>
            </c:dLbl>
            <c:dLbl>
              <c:idx val="4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2-981C-4B7B-A379-3A18DF4F6DF6}"/>
                </c:ext>
              </c:extLst>
            </c:dLbl>
            <c:dLbl>
              <c:idx val="4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3-981C-4B7B-A379-3A18DF4F6DF6}"/>
                </c:ext>
              </c:extLst>
            </c:dLbl>
            <c:dLbl>
              <c:idx val="4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4-981C-4B7B-A379-3A18DF4F6DF6}"/>
                </c:ext>
              </c:extLst>
            </c:dLbl>
            <c:dLbl>
              <c:idx val="4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5-981C-4B7B-A379-3A18DF4F6DF6}"/>
                </c:ext>
              </c:extLst>
            </c:dLbl>
            <c:dLbl>
              <c:idx val="4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6-981C-4B7B-A379-3A18DF4F6DF6}"/>
                </c:ext>
              </c:extLst>
            </c:dLbl>
            <c:dLbl>
              <c:idx val="4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7-981C-4B7B-A379-3A18DF4F6DF6}"/>
                </c:ext>
              </c:extLst>
            </c:dLbl>
            <c:dLbl>
              <c:idx val="4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8-981C-4B7B-A379-3A18DF4F6DF6}"/>
                </c:ext>
              </c:extLst>
            </c:dLbl>
            <c:dLbl>
              <c:idx val="5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9-981C-4B7B-A379-3A18DF4F6DF6}"/>
                </c:ext>
              </c:extLst>
            </c:dLbl>
            <c:dLbl>
              <c:idx val="5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A-981C-4B7B-A379-3A18DF4F6DF6}"/>
                </c:ext>
              </c:extLst>
            </c:dLbl>
            <c:dLbl>
              <c:idx val="5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B-981C-4B7B-A379-3A18DF4F6DF6}"/>
                </c:ext>
              </c:extLst>
            </c:dLbl>
            <c:dLbl>
              <c:idx val="5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C-981C-4B7B-A379-3A18DF4F6DF6}"/>
                </c:ext>
              </c:extLst>
            </c:dLbl>
            <c:dLbl>
              <c:idx val="5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D-981C-4B7B-A379-3A18DF4F6DF6}"/>
                </c:ext>
              </c:extLst>
            </c:dLbl>
            <c:dLbl>
              <c:idx val="5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E-981C-4B7B-A379-3A18DF4F6DF6}"/>
                </c:ext>
              </c:extLst>
            </c:dLbl>
            <c:dLbl>
              <c:idx val="5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F-981C-4B7B-A379-3A18DF4F6DF6}"/>
                </c:ext>
              </c:extLst>
            </c:dLbl>
            <c:dLbl>
              <c:idx val="5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0-981C-4B7B-A379-3A18DF4F6DF6}"/>
                </c:ext>
              </c:extLst>
            </c:dLbl>
            <c:dLbl>
              <c:idx val="5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1-981C-4B7B-A379-3A18DF4F6DF6}"/>
                </c:ext>
              </c:extLst>
            </c:dLbl>
            <c:dLbl>
              <c:idx val="5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2-981C-4B7B-A379-3A18DF4F6DF6}"/>
                </c:ext>
              </c:extLst>
            </c:dLbl>
            <c:dLbl>
              <c:idx val="6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3-981C-4B7B-A379-3A18DF4F6DF6}"/>
                </c:ext>
              </c:extLst>
            </c:dLbl>
            <c:dLbl>
              <c:idx val="6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4-981C-4B7B-A379-3A18DF4F6DF6}"/>
                </c:ext>
              </c:extLst>
            </c:dLbl>
            <c:dLbl>
              <c:idx val="6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5-981C-4B7B-A379-3A18DF4F6DF6}"/>
                </c:ext>
              </c:extLst>
            </c:dLbl>
            <c:dLbl>
              <c:idx val="6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6-981C-4B7B-A379-3A18DF4F6DF6}"/>
                </c:ext>
              </c:extLst>
            </c:dLbl>
            <c:dLbl>
              <c:idx val="6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7-981C-4B7B-A379-3A18DF4F6DF6}"/>
                </c:ext>
              </c:extLst>
            </c:dLbl>
            <c:dLbl>
              <c:idx val="6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8-981C-4B7B-A379-3A18DF4F6DF6}"/>
                </c:ext>
              </c:extLst>
            </c:dLbl>
            <c:dLbl>
              <c:idx val="6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9-981C-4B7B-A379-3A18DF4F6DF6}"/>
                </c:ext>
              </c:extLst>
            </c:dLbl>
            <c:dLbl>
              <c:idx val="6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A-981C-4B7B-A379-3A18DF4F6DF6}"/>
                </c:ext>
              </c:extLst>
            </c:dLbl>
            <c:dLbl>
              <c:idx val="6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B-981C-4B7B-A379-3A18DF4F6DF6}"/>
                </c:ext>
              </c:extLst>
            </c:dLbl>
            <c:dLbl>
              <c:idx val="6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C-981C-4B7B-A379-3A18DF4F6DF6}"/>
                </c:ext>
              </c:extLst>
            </c:dLbl>
            <c:dLbl>
              <c:idx val="7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D-981C-4B7B-A379-3A18DF4F6DF6}"/>
                </c:ext>
              </c:extLst>
            </c:dLbl>
            <c:dLbl>
              <c:idx val="7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E-981C-4B7B-A379-3A18DF4F6DF6}"/>
                </c:ext>
              </c:extLst>
            </c:dLbl>
            <c:dLbl>
              <c:idx val="7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F-981C-4B7B-A379-3A18DF4F6DF6}"/>
                </c:ext>
              </c:extLst>
            </c:dLbl>
            <c:dLbl>
              <c:idx val="7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0-981C-4B7B-A379-3A18DF4F6DF6}"/>
                </c:ext>
              </c:extLst>
            </c:dLbl>
            <c:dLbl>
              <c:idx val="7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1-981C-4B7B-A379-3A18DF4F6DF6}"/>
                </c:ext>
              </c:extLst>
            </c:dLbl>
            <c:dLbl>
              <c:idx val="7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2-981C-4B7B-A379-3A18DF4F6DF6}"/>
                </c:ext>
              </c:extLst>
            </c:dLbl>
            <c:dLbl>
              <c:idx val="7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3-981C-4B7B-A379-3A18DF4F6DF6}"/>
                </c:ext>
              </c:extLst>
            </c:dLbl>
            <c:dLbl>
              <c:idx val="7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4-981C-4B7B-A379-3A18DF4F6DF6}"/>
                </c:ext>
              </c:extLst>
            </c:dLbl>
            <c:dLbl>
              <c:idx val="7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5-981C-4B7B-A379-3A18DF4F6DF6}"/>
                </c:ext>
              </c:extLst>
            </c:dLbl>
            <c:dLbl>
              <c:idx val="7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6-981C-4B7B-A379-3A18DF4F6DF6}"/>
                </c:ext>
              </c:extLst>
            </c:dLbl>
            <c:dLbl>
              <c:idx val="8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7-981C-4B7B-A379-3A18DF4F6DF6}"/>
                </c:ext>
              </c:extLst>
            </c:dLbl>
            <c:dLbl>
              <c:idx val="8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8-981C-4B7B-A379-3A18DF4F6DF6}"/>
                </c:ext>
              </c:extLst>
            </c:dLbl>
            <c:dLbl>
              <c:idx val="8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9-981C-4B7B-A379-3A18DF4F6DF6}"/>
                </c:ext>
              </c:extLst>
            </c:dLbl>
            <c:dLbl>
              <c:idx val="8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A-981C-4B7B-A379-3A18DF4F6DF6}"/>
                </c:ext>
              </c:extLst>
            </c:dLbl>
            <c:dLbl>
              <c:idx val="8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B-981C-4B7B-A379-3A18DF4F6DF6}"/>
                </c:ext>
              </c:extLst>
            </c:dLbl>
            <c:dLbl>
              <c:idx val="8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C-981C-4B7B-A379-3A18DF4F6DF6}"/>
                </c:ext>
              </c:extLst>
            </c:dLbl>
            <c:dLbl>
              <c:idx val="8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D-981C-4B7B-A379-3A18DF4F6DF6}"/>
                </c:ext>
              </c:extLst>
            </c:dLbl>
            <c:dLbl>
              <c:idx val="8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E-981C-4B7B-A379-3A18DF4F6DF6}"/>
                </c:ext>
              </c:extLst>
            </c:dLbl>
            <c:dLbl>
              <c:idx val="8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F-981C-4B7B-A379-3A18DF4F6DF6}"/>
                </c:ext>
              </c:extLst>
            </c:dLbl>
            <c:dLbl>
              <c:idx val="8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0-981C-4B7B-A379-3A18DF4F6DF6}"/>
                </c:ext>
              </c:extLst>
            </c:dLbl>
            <c:dLbl>
              <c:idx val="9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1-981C-4B7B-A379-3A18DF4F6DF6}"/>
                </c:ext>
              </c:extLst>
            </c:dLbl>
            <c:dLbl>
              <c:idx val="9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2-981C-4B7B-A379-3A18DF4F6DF6}"/>
                </c:ext>
              </c:extLst>
            </c:dLbl>
            <c:dLbl>
              <c:idx val="9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3-981C-4B7B-A379-3A18DF4F6DF6}"/>
                </c:ext>
              </c:extLst>
            </c:dLbl>
            <c:dLbl>
              <c:idx val="9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4-981C-4B7B-A379-3A18DF4F6DF6}"/>
                </c:ext>
              </c:extLst>
            </c:dLbl>
            <c:dLbl>
              <c:idx val="9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5-981C-4B7B-A379-3A18DF4F6DF6}"/>
                </c:ext>
              </c:extLst>
            </c:dLbl>
            <c:dLbl>
              <c:idx val="9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6-981C-4B7B-A379-3A18DF4F6DF6}"/>
                </c:ext>
              </c:extLst>
            </c:dLbl>
            <c:dLbl>
              <c:idx val="9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7-981C-4B7B-A379-3A18DF4F6DF6}"/>
                </c:ext>
              </c:extLst>
            </c:dLbl>
            <c:dLbl>
              <c:idx val="9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8-981C-4B7B-A379-3A18DF4F6DF6}"/>
                </c:ext>
              </c:extLst>
            </c:dLbl>
            <c:dLbl>
              <c:idx val="9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9-981C-4B7B-A379-3A18DF4F6DF6}"/>
                </c:ext>
              </c:extLst>
            </c:dLbl>
            <c:dLbl>
              <c:idx val="9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A-981C-4B7B-A379-3A18DF4F6DF6}"/>
                </c:ext>
              </c:extLst>
            </c:dLbl>
            <c:dLbl>
              <c:idx val="10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B-981C-4B7B-A379-3A18DF4F6DF6}"/>
                </c:ext>
              </c:extLst>
            </c:dLbl>
            <c:spPr>
              <a:noFill/>
              <a:ln>
                <a:noFill/>
              </a:ln>
              <a:effectLst/>
            </c:spPr>
            <c:txPr>
              <a:bodyPr/>
              <a:lstStyle/>
              <a:p>
                <a:pPr>
                  <a:defRPr sz="700"/>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ext>
            </c:extLst>
          </c:dLbls>
          <c:xVal>
            <c:numRef>
              <c:f>RB_ETL!$K$3:$K$103</c:f>
              <c:numCache>
                <c:formatCode>General</c:formatCode>
                <c:ptCount val="101"/>
                <c:pt idx="0">
                  <c:v>7.9299843185739863E-2</c:v>
                </c:pt>
                <c:pt idx="1">
                  <c:v>1.9869707103934462</c:v>
                </c:pt>
                <c:pt idx="2">
                  <c:v>-0.51724379112747854</c:v>
                </c:pt>
                <c:pt idx="3">
                  <c:v>0.50817707819248614</c:v>
                </c:pt>
                <c:pt idx="4">
                  <c:v>-0.48203512894296996</c:v>
                </c:pt>
                <c:pt idx="5">
                  <c:v>0.29927866651738322</c:v>
                </c:pt>
                <c:pt idx="6">
                  <c:v>-0.18409756111793116</c:v>
                </c:pt>
                <c:pt idx="7">
                  <c:v>-0.21583425689737501</c:v>
                </c:pt>
                <c:pt idx="8">
                  <c:v>-0.48610383221778891</c:v>
                </c:pt>
                <c:pt idx="9">
                  <c:v>-0.60281091627904182</c:v>
                </c:pt>
                <c:pt idx="10">
                  <c:v>2.2178291229613043</c:v>
                </c:pt>
                <c:pt idx="11">
                  <c:v>-0.65923582946166093</c:v>
                </c:pt>
                <c:pt idx="12">
                  <c:v>-2.264879627312316</c:v>
                </c:pt>
                <c:pt idx="13">
                  <c:v>2.413451607491222</c:v>
                </c:pt>
                <c:pt idx="14">
                  <c:v>0.83931385375139567</c:v>
                </c:pt>
                <c:pt idx="15">
                  <c:v>0.16092826100120697</c:v>
                </c:pt>
                <c:pt idx="16">
                  <c:v>5.4908593816934047E-2</c:v>
                </c:pt>
                <c:pt idx="17">
                  <c:v>0.87795681949155957</c:v>
                </c:pt>
                <c:pt idx="18">
                  <c:v>3.6846310090976009</c:v>
                </c:pt>
                <c:pt idx="19">
                  <c:v>1.2850481348084899</c:v>
                </c:pt>
                <c:pt idx="20">
                  <c:v>1.7764647612689379</c:v>
                </c:pt>
                <c:pt idx="21">
                  <c:v>-0.46679857445270523</c:v>
                </c:pt>
                <c:pt idx="22">
                  <c:v>0.41708352334018872</c:v>
                </c:pt>
                <c:pt idx="23">
                  <c:v>2.0657822450594341</c:v>
                </c:pt>
                <c:pt idx="24">
                  <c:v>-0.66547759197340295</c:v>
                </c:pt>
                <c:pt idx="25">
                  <c:v>4.5622008412224346</c:v>
                </c:pt>
                <c:pt idx="26">
                  <c:v>2.6105921263060146</c:v>
                </c:pt>
                <c:pt idx="27">
                  <c:v>0.22079253197842122</c:v>
                </c:pt>
                <c:pt idx="28">
                  <c:v>3.9659144711266996</c:v>
                </c:pt>
                <c:pt idx="29">
                  <c:v>-0.19166953958387264</c:v>
                </c:pt>
                <c:pt idx="30">
                  <c:v>2.111088475260992</c:v>
                </c:pt>
                <c:pt idx="31">
                  <c:v>3.3337493887132088</c:v>
                </c:pt>
                <c:pt idx="32">
                  <c:v>0.1491950547596631</c:v>
                </c:pt>
                <c:pt idx="33">
                  <c:v>8.5089925743591461</c:v>
                </c:pt>
                <c:pt idx="34">
                  <c:v>-0.21440134630106125</c:v>
                </c:pt>
                <c:pt idx="35">
                  <c:v>1.1825809274189345</c:v>
                </c:pt>
                <c:pt idx="36">
                  <c:v>2.7799232957931466</c:v>
                </c:pt>
              </c:numCache>
            </c:numRef>
          </c:xVal>
          <c:yVal>
            <c:numRef>
              <c:f>RB_ETL!$L$3:$L$103</c:f>
              <c:numCache>
                <c:formatCode>General</c:formatCode>
                <c:ptCount val="101"/>
                <c:pt idx="0">
                  <c:v>8.5080660034894826E-2</c:v>
                </c:pt>
                <c:pt idx="1">
                  <c:v>2.1318173242072471</c:v>
                </c:pt>
                <c:pt idx="2">
                  <c:v>-0.55494993911905754</c:v>
                </c:pt>
                <c:pt idx="3">
                  <c:v>0.54522227901449405</c:v>
                </c:pt>
                <c:pt idx="4">
                  <c:v>-0.51717462838373562</c:v>
                </c:pt>
                <c:pt idx="5">
                  <c:v>0.32109554645678046</c:v>
                </c:pt>
                <c:pt idx="6">
                  <c:v>-0.19751794431725442</c:v>
                </c:pt>
                <c:pt idx="7">
                  <c:v>-0.2315681885014359</c:v>
                </c:pt>
                <c:pt idx="8">
                  <c:v>-0.52153993285598943</c:v>
                </c:pt>
                <c:pt idx="9">
                  <c:v>-0.64675475477464028</c:v>
                </c:pt>
                <c:pt idx="10">
                  <c:v>2.3795049024774335</c:v>
                </c:pt>
                <c:pt idx="11">
                  <c:v>-0.70729294328964787</c:v>
                </c:pt>
                <c:pt idx="12">
                  <c:v>-2.4299853045102915</c:v>
                </c:pt>
                <c:pt idx="13">
                  <c:v>2.5893879165268787</c:v>
                </c:pt>
                <c:pt idx="14">
                  <c:v>0.90049833372736299</c:v>
                </c:pt>
                <c:pt idx="15">
                  <c:v>0.17265964362855971</c:v>
                </c:pt>
                <c:pt idx="16">
                  <c:v>5.8911332177423233E-2</c:v>
                </c:pt>
                <c:pt idx="17">
                  <c:v>0.94195830261000268</c:v>
                </c:pt>
                <c:pt idx="18">
                  <c:v>3.9532340247482121</c:v>
                </c:pt>
                <c:pt idx="19">
                  <c:v>1.3787258472886574</c:v>
                </c:pt>
                <c:pt idx="20">
                  <c:v>1.9059658675929441</c:v>
                </c:pt>
                <c:pt idx="21">
                  <c:v>-0.50082735630082587</c:v>
                </c:pt>
                <c:pt idx="22">
                  <c:v>0.44748816680943909</c:v>
                </c:pt>
                <c:pt idx="23">
                  <c:v>2.2163740789039705</c:v>
                </c:pt>
                <c:pt idx="24">
                  <c:v>-0.71398971913365827</c:v>
                </c:pt>
                <c:pt idx="25">
                  <c:v>4.8947771293040514</c:v>
                </c:pt>
                <c:pt idx="26">
                  <c:v>2.8008996268476407</c:v>
                </c:pt>
                <c:pt idx="27">
                  <c:v>0.23688791297481096</c:v>
                </c:pt>
                <c:pt idx="28">
                  <c:v>4.2550225484692721</c:v>
                </c:pt>
                <c:pt idx="29">
                  <c:v>-0.2056419064812573</c:v>
                </c:pt>
                <c:pt idx="30">
                  <c:v>2.2649830523191237</c:v>
                </c:pt>
                <c:pt idx="31">
                  <c:v>3.5767737613086763</c:v>
                </c:pt>
                <c:pt idx="32">
                  <c:v>0.16007110762076576</c:v>
                </c:pt>
                <c:pt idx="33">
                  <c:v>9.1292829263586732</c:v>
                </c:pt>
                <c:pt idx="34">
                  <c:v>-0.2300308212834476</c:v>
                </c:pt>
                <c:pt idx="35">
                  <c:v>1.2687889636025673</c:v>
                </c:pt>
                <c:pt idx="36">
                  <c:v>2.9825747359736647</c:v>
                </c:pt>
              </c:numCache>
            </c:numRef>
          </c:yVal>
          <c:smooth val="0"/>
          <c:extLst>
            <c:ext xmlns:c16="http://schemas.microsoft.com/office/drawing/2014/chart" uri="{C3380CC4-5D6E-409C-BE32-E72D297353CC}">
              <c16:uniqueId val="{0000010C-981C-4B7B-A379-3A18DF4F6DF6}"/>
            </c:ext>
          </c:extLst>
        </c:ser>
        <c:dLbls>
          <c:showLegendKey val="0"/>
          <c:showVal val="0"/>
          <c:showCatName val="0"/>
          <c:showSerName val="0"/>
          <c:showPercent val="0"/>
          <c:showBubbleSize val="0"/>
        </c:dLbls>
        <c:axId val="179119616"/>
        <c:axId val="179121536"/>
      </c:scatterChart>
      <c:valAx>
        <c:axId val="179119616"/>
        <c:scaling>
          <c:orientation val="minMax"/>
        </c:scaling>
        <c:delete val="0"/>
        <c:axPos val="b"/>
        <c:majorGridlines>
          <c:spPr>
            <a:ln>
              <a:solidFill>
                <a:schemeClr val="bg1">
                  <a:lumMod val="85000"/>
                </a:schemeClr>
              </a:solidFill>
              <a:prstDash val="sysDash"/>
            </a:ln>
          </c:spPr>
        </c:majorGridlines>
        <c:title>
          <c:tx>
            <c:rich>
              <a:bodyPr/>
              <a:lstStyle/>
              <a:p>
                <a:pPr>
                  <a:defRPr/>
                </a:pPr>
                <a:r>
                  <a:rPr lang="en-US" sz="800" b="0"/>
                  <a:t>Marginal Contribution to ETL (bps)</a:t>
                </a:r>
              </a:p>
            </c:rich>
          </c:tx>
          <c:overlay val="0"/>
        </c:title>
        <c:numFmt formatCode="0.00" sourceLinked="1"/>
        <c:majorTickMark val="out"/>
        <c:minorTickMark val="none"/>
        <c:tickLblPos val="low"/>
        <c:spPr>
          <a:ln>
            <a:noFill/>
          </a:ln>
        </c:spPr>
        <c:txPr>
          <a:bodyPr/>
          <a:lstStyle/>
          <a:p>
            <a:pPr>
              <a:defRPr sz="700"/>
            </a:pPr>
            <a:endParaRPr lang="en-US"/>
          </a:p>
        </c:txPr>
        <c:crossAx val="179121536"/>
        <c:crosses val="autoZero"/>
        <c:crossBetween val="midCat"/>
      </c:valAx>
      <c:valAx>
        <c:axId val="179121536"/>
        <c:scaling>
          <c:orientation val="minMax"/>
        </c:scaling>
        <c:delete val="0"/>
        <c:axPos val="l"/>
        <c:majorGridlines>
          <c:spPr>
            <a:ln>
              <a:solidFill>
                <a:schemeClr val="bg1">
                  <a:lumMod val="85000"/>
                </a:schemeClr>
              </a:solidFill>
              <a:prstDash val="sysDash"/>
            </a:ln>
          </c:spPr>
        </c:majorGridlines>
        <c:title>
          <c:tx>
            <c:rich>
              <a:bodyPr rot="-5400000" vert="horz"/>
              <a:lstStyle/>
              <a:p>
                <a:pPr>
                  <a:defRPr/>
                </a:pPr>
                <a:r>
                  <a:rPr lang="en-US" sz="800" b="0"/>
                  <a:t>Return (%)</a:t>
                </a:r>
              </a:p>
            </c:rich>
          </c:tx>
          <c:overlay val="0"/>
        </c:title>
        <c:numFmt formatCode="0.00" sourceLinked="1"/>
        <c:majorTickMark val="out"/>
        <c:minorTickMark val="none"/>
        <c:tickLblPos val="low"/>
        <c:spPr>
          <a:ln>
            <a:noFill/>
          </a:ln>
        </c:spPr>
        <c:txPr>
          <a:bodyPr/>
          <a:lstStyle/>
          <a:p>
            <a:pPr>
              <a:defRPr sz="700"/>
            </a:pPr>
            <a:endParaRPr lang="en-US"/>
          </a:p>
        </c:txPr>
        <c:crossAx val="179119616"/>
        <c:crosses val="autoZero"/>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567558667712655E-2"/>
          <c:y val="1.2056491598939956E-2"/>
          <c:w val="0.8804017394504654"/>
          <c:h val="0.91835897758289198"/>
        </c:manualLayout>
      </c:layout>
      <c:scatterChart>
        <c:scatterStyle val="smoothMarker"/>
        <c:varyColors val="0"/>
        <c:ser>
          <c:idx val="4"/>
          <c:order val="4"/>
          <c:tx>
            <c:v>line</c:v>
          </c:tx>
          <c:spPr>
            <a:ln w="12700">
              <a:solidFill>
                <a:schemeClr val="tx1">
                  <a:lumMod val="95000"/>
                  <a:lumOff val="5000"/>
                </a:schemeClr>
              </a:solidFill>
            </a:ln>
          </c:spPr>
          <c:marker>
            <c:symbol val="none"/>
          </c:marker>
          <c:xVal>
            <c:numRef>
              <c:f>'RISK BUDGETING (StDev)'!$AD$11:$AD$87</c:f>
              <c:numCache>
                <c:formatCode>0.00</c:formatCode>
                <c:ptCount val="77"/>
                <c:pt idx="0">
                  <c:v>0.62705205788520435</c:v>
                </c:pt>
                <c:pt idx="1">
                  <c:v>0.18108481106104202</c:v>
                </c:pt>
                <c:pt idx="2">
                  <c:v>0.8126941781353062</c:v>
                </c:pt>
                <c:pt idx="3">
                  <c:v>1.1300130887324948</c:v>
                </c:pt>
                <c:pt idx="4">
                  <c:v>0.14432683517284745</c:v>
                </c:pt>
                <c:pt idx="5">
                  <c:v>0.27266888490959423</c:v>
                </c:pt>
                <c:pt idx="6">
                  <c:v>0.65353361493851447</c:v>
                </c:pt>
                <c:pt idx="7">
                  <c:v>-0.13901257234755304</c:v>
                </c:pt>
                <c:pt idx="8">
                  <c:v>1.7618599311303809</c:v>
                </c:pt>
                <c:pt idx="9">
                  <c:v>0.83188046408107552</c:v>
                </c:pt>
                <c:pt idx="10">
                  <c:v>3.3037878077405223</c:v>
                </c:pt>
                <c:pt idx="11">
                  <c:v>1.0891745405043893</c:v>
                </c:pt>
                <c:pt idx="12">
                  <c:v>0.57713167145819322</c:v>
                </c:pt>
                <c:pt idx="13">
                  <c:v>1.4867381671547932</c:v>
                </c:pt>
                <c:pt idx="14">
                  <c:v>0.58178341591435923</c:v>
                </c:pt>
                <c:pt idx="15">
                  <c:v>1.6052194414074674</c:v>
                </c:pt>
                <c:pt idx="16">
                  <c:v>0.34545180423960736</c:v>
                </c:pt>
                <c:pt idx="17">
                  <c:v>0.42812486491735985</c:v>
                </c:pt>
                <c:pt idx="18">
                  <c:v>0.46708449874468694</c:v>
                </c:pt>
                <c:pt idx="19">
                  <c:v>0.26479885536830983</c:v>
                </c:pt>
                <c:pt idx="20">
                  <c:v>1.1537179069550207</c:v>
                </c:pt>
                <c:pt idx="21">
                  <c:v>0.26451556101518625</c:v>
                </c:pt>
                <c:pt idx="22">
                  <c:v>1.6418692303993967</c:v>
                </c:pt>
                <c:pt idx="23">
                  <c:v>1.1640465976439374</c:v>
                </c:pt>
                <c:pt idx="24">
                  <c:v>1.3853513642716708</c:v>
                </c:pt>
                <c:pt idx="25">
                  <c:v>1.2705789129085776</c:v>
                </c:pt>
                <c:pt idx="26">
                  <c:v>0.58772091420490524</c:v>
                </c:pt>
                <c:pt idx="27">
                  <c:v>0.412639379582385</c:v>
                </c:pt>
                <c:pt idx="28">
                  <c:v>1.3654622025908845</c:v>
                </c:pt>
                <c:pt idx="29">
                  <c:v>0.44421708388188796</c:v>
                </c:pt>
                <c:pt idx="30">
                  <c:v>0.20032400543548382</c:v>
                </c:pt>
                <c:pt idx="31">
                  <c:v>0.33876464644349297</c:v>
                </c:pt>
                <c:pt idx="32">
                  <c:v>1.5436233081717392</c:v>
                </c:pt>
                <c:pt idx="33">
                  <c:v>0.52088268005203409</c:v>
                </c:pt>
                <c:pt idx="34">
                  <c:v>0.67609513124563136</c:v>
                </c:pt>
                <c:pt idx="35">
                  <c:v>0.4362011259307278</c:v>
                </c:pt>
                <c:pt idx="36">
                  <c:v>0.81853224784519762</c:v>
                </c:pt>
                <c:pt idx="37">
                  <c:v>0.26970978132508283</c:v>
                </c:pt>
                <c:pt idx="38">
                  <c:v>0.52597055535524118</c:v>
                </c:pt>
                <c:pt idx="39">
                  <c:v>8.222469910602935E-2</c:v>
                </c:pt>
                <c:pt idx="40">
                  <c:v>0.40116845431613923</c:v>
                </c:pt>
                <c:pt idx="41">
                  <c:v>0.80542119820128499</c:v>
                </c:pt>
                <c:pt idx="42">
                  <c:v>0.77293543852788105</c:v>
                </c:pt>
                <c:pt idx="43">
                  <c:v>0.31635737610865766</c:v>
                </c:pt>
                <c:pt idx="44">
                  <c:v>0.99005965054976119</c:v>
                </c:pt>
              </c:numCache>
            </c:numRef>
          </c:xVal>
          <c:yVal>
            <c:numRef>
              <c:f>'RISK BUDGETING (StDev)'!$AF$11:$AF$87</c:f>
              <c:numCache>
                <c:formatCode>0.00</c:formatCode>
                <c:ptCount val="77"/>
                <c:pt idx="0">
                  <c:v>0.78294267871567458</c:v>
                </c:pt>
                <c:pt idx="1">
                  <c:v>0.22610407742703864</c:v>
                </c:pt>
                <c:pt idx="2">
                  <c:v>1.0147370522183725</c:v>
                </c:pt>
                <c:pt idx="3">
                  <c:v>1.410944216752702</c:v>
                </c:pt>
                <c:pt idx="4">
                  <c:v>0.18020774753836005</c:v>
                </c:pt>
                <c:pt idx="5">
                  <c:v>0.34045675230463107</c:v>
                </c:pt>
                <c:pt idx="6">
                  <c:v>0.81600778225079906</c:v>
                </c:pt>
                <c:pt idx="7">
                  <c:v>-0.17357231253816427</c:v>
                </c:pt>
                <c:pt idx="8">
                  <c:v>2.1998737053081894</c:v>
                </c:pt>
                <c:pt idx="9">
                  <c:v>1.0386932165018572</c:v>
                </c:pt>
                <c:pt idx="10">
                  <c:v>4.1251383255552092</c:v>
                </c:pt>
                <c:pt idx="11">
                  <c:v>1.3599528485839587</c:v>
                </c:pt>
                <c:pt idx="12">
                  <c:v>0.72061164801384947</c:v>
                </c:pt>
                <c:pt idx="13">
                  <c:v>1.8563542667682846</c:v>
                </c:pt>
                <c:pt idx="14">
                  <c:v>0.72641985678920451</c:v>
                </c:pt>
                <c:pt idx="15">
                  <c:v>2.0042910211007623</c:v>
                </c:pt>
                <c:pt idx="16">
                  <c:v>0.43133414136413234</c:v>
                </c:pt>
                <c:pt idx="17">
                  <c:v>0.53456044733138808</c:v>
                </c:pt>
                <c:pt idx="18">
                  <c:v>0.5832057865611634</c:v>
                </c:pt>
                <c:pt idx="19">
                  <c:v>0.33063016465033274</c:v>
                </c:pt>
                <c:pt idx="20">
                  <c:v>1.4405422599202735</c:v>
                </c:pt>
                <c:pt idx="21">
                  <c:v>0.33027644084556262</c:v>
                </c:pt>
                <c:pt idx="22">
                  <c:v>2.0500522678854076</c:v>
                </c:pt>
                <c:pt idx="23">
                  <c:v>1.453438753367525</c:v>
                </c:pt>
                <c:pt idx="24">
                  <c:v>1.7297618187609192</c:v>
                </c:pt>
                <c:pt idx="25">
                  <c:v>1.5864559330964136</c:v>
                </c:pt>
                <c:pt idx="26">
                  <c:v>0.73383346903720958</c:v>
                </c:pt>
                <c:pt idx="27">
                  <c:v>0.51522513502851297</c:v>
                </c:pt>
                <c:pt idx="28">
                  <c:v>1.7049280376929319</c:v>
                </c:pt>
                <c:pt idx="29">
                  <c:v>0.55465333254583404</c:v>
                </c:pt>
                <c:pt idx="30">
                  <c:v>0.25012630363686372</c:v>
                </c:pt>
                <c:pt idx="31">
                  <c:v>0.42298449770688673</c:v>
                </c:pt>
                <c:pt idx="32">
                  <c:v>1.9273815509097507</c:v>
                </c:pt>
                <c:pt idx="33">
                  <c:v>0.6503786658351115</c:v>
                </c:pt>
                <c:pt idx="34">
                  <c:v>0.84417828865653699</c:v>
                </c:pt>
                <c:pt idx="35">
                  <c:v>0.54464453740382035</c:v>
                </c:pt>
                <c:pt idx="36">
                  <c:v>1.0220265170717613</c:v>
                </c:pt>
                <c:pt idx="37">
                  <c:v>0.3367619897121033</c:v>
                </c:pt>
                <c:pt idx="38">
                  <c:v>0.65673143139704249</c:v>
                </c:pt>
                <c:pt idx="39">
                  <c:v>0.1026664777909901</c:v>
                </c:pt>
                <c:pt idx="40">
                  <c:v>0.5009024375070471</c:v>
                </c:pt>
                <c:pt idx="41">
                  <c:v>1.0056559459207628</c:v>
                </c:pt>
                <c:pt idx="42">
                  <c:v>0.96509394252891345</c:v>
                </c:pt>
                <c:pt idx="43">
                  <c:v>0.3950065841699622</c:v>
                </c:pt>
                <c:pt idx="44">
                  <c:v>1.2361971309113411</c:v>
                </c:pt>
              </c:numCache>
            </c:numRef>
          </c:yVal>
          <c:smooth val="1"/>
          <c:extLst>
            <c:ext xmlns:c16="http://schemas.microsoft.com/office/drawing/2014/chart" uri="{C3380CC4-5D6E-409C-BE32-E72D297353CC}">
              <c16:uniqueId val="{00000000-EB6B-424B-A91D-8EDD3ED33CC4}"/>
            </c:ext>
          </c:extLst>
        </c:ser>
        <c:dLbls>
          <c:showLegendKey val="0"/>
          <c:showVal val="0"/>
          <c:showCatName val="0"/>
          <c:showSerName val="0"/>
          <c:showPercent val="0"/>
          <c:showBubbleSize val="0"/>
        </c:dLbls>
        <c:axId val="221260800"/>
        <c:axId val="222499968"/>
      </c:scatterChart>
      <c:scatterChart>
        <c:scatterStyle val="lineMarker"/>
        <c:varyColors val="0"/>
        <c:ser>
          <c:idx val="0"/>
          <c:order val="0"/>
          <c:tx>
            <c:strRef>
              <c:f>RB_STDEV!$A$3:$A$33</c:f>
              <c:strCache>
                <c:ptCount val="31"/>
                <c:pt idx="0">
                  <c:v>1</c:v>
                </c:pt>
                <c:pt idx="1">
                  <c:v>4</c:v>
                </c:pt>
                <c:pt idx="2">
                  <c:v>12</c:v>
                </c:pt>
                <c:pt idx="3">
                  <c:v>17</c:v>
                </c:pt>
                <c:pt idx="4">
                  <c:v>21</c:v>
                </c:pt>
                <c:pt idx="5">
                  <c:v>27</c:v>
                </c:pt>
                <c:pt idx="6">
                  <c:v>34</c:v>
                </c:pt>
                <c:pt idx="7">
                  <c:v>43</c:v>
                </c:pt>
              </c:strCache>
            </c:strRef>
          </c:tx>
          <c:spPr>
            <a:ln w="28575">
              <a:noFill/>
            </a:ln>
          </c:spPr>
          <c:marker>
            <c:symbol val="square"/>
            <c:size val="7"/>
            <c:spPr>
              <a:solidFill>
                <a:schemeClr val="accent2"/>
              </a:solidFill>
              <a:ln>
                <a:noFill/>
              </a:ln>
            </c:spPr>
          </c:marker>
          <c:dLbls>
            <c:dLbl>
              <c:idx val="0"/>
              <c:tx>
                <c:rich>
                  <a:bodyPr/>
                  <a:lstStyle/>
                  <a:p>
                    <a:r>
                      <a:rPr lang="en-US"/>
                      <a:t>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B6B-424B-A91D-8EDD3ED33CC4}"/>
                </c:ext>
              </c:extLst>
            </c:dLbl>
            <c:dLbl>
              <c:idx val="1"/>
              <c:tx>
                <c:rich>
                  <a:bodyPr/>
                  <a:lstStyle/>
                  <a:p>
                    <a:r>
                      <a:rPr lang="en-US"/>
                      <a:t>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B6B-424B-A91D-8EDD3ED33CC4}"/>
                </c:ext>
              </c:extLst>
            </c:dLbl>
            <c:dLbl>
              <c:idx val="2"/>
              <c:tx>
                <c:rich>
                  <a:bodyPr/>
                  <a:lstStyle/>
                  <a:p>
                    <a:r>
                      <a:rPr lang="en-US"/>
                      <a:t>12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B6B-424B-A91D-8EDD3ED33CC4}"/>
                </c:ext>
              </c:extLst>
            </c:dLbl>
            <c:dLbl>
              <c:idx val="3"/>
              <c:tx>
                <c:rich>
                  <a:bodyPr/>
                  <a:lstStyle/>
                  <a:p>
                    <a:r>
                      <a:rPr lang="en-US"/>
                      <a:t>17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B6B-424B-A91D-8EDD3ED33CC4}"/>
                </c:ext>
              </c:extLst>
            </c:dLbl>
            <c:dLbl>
              <c:idx val="4"/>
              <c:tx>
                <c:rich>
                  <a:bodyPr/>
                  <a:lstStyle/>
                  <a:p>
                    <a:r>
                      <a:rPr lang="en-US"/>
                      <a:t>21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B6B-424B-A91D-8EDD3ED33CC4}"/>
                </c:ext>
              </c:extLst>
            </c:dLbl>
            <c:dLbl>
              <c:idx val="5"/>
              <c:tx>
                <c:rich>
                  <a:bodyPr/>
                  <a:lstStyle/>
                  <a:p>
                    <a:r>
                      <a:rPr lang="en-US"/>
                      <a:t>27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B6B-424B-A91D-8EDD3ED33CC4}"/>
                </c:ext>
              </c:extLst>
            </c:dLbl>
            <c:dLbl>
              <c:idx val="6"/>
              <c:tx>
                <c:rich>
                  <a:bodyPr/>
                  <a:lstStyle/>
                  <a:p>
                    <a:r>
                      <a:rPr lang="en-US"/>
                      <a:t>34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B6B-424B-A91D-8EDD3ED33CC4}"/>
                </c:ext>
              </c:extLst>
            </c:dLbl>
            <c:dLbl>
              <c:idx val="7"/>
              <c:tx>
                <c:rich>
                  <a:bodyPr/>
                  <a:lstStyle/>
                  <a:p>
                    <a:r>
                      <a:rPr lang="en-US"/>
                      <a:t>43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B6B-424B-A91D-8EDD3ED33CC4}"/>
                </c:ext>
              </c:extLst>
            </c:dLbl>
            <c:dLbl>
              <c:idx val="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B6B-424B-A91D-8EDD3ED33CC4}"/>
                </c:ext>
              </c:extLst>
            </c:dLbl>
            <c:dLbl>
              <c:idx val="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B6B-424B-A91D-8EDD3ED33CC4}"/>
                </c:ext>
              </c:extLst>
            </c:dLbl>
            <c:dLbl>
              <c:idx val="1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B6B-424B-A91D-8EDD3ED33CC4}"/>
                </c:ext>
              </c:extLst>
            </c:dLbl>
            <c:dLbl>
              <c:idx val="1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B6B-424B-A91D-8EDD3ED33CC4}"/>
                </c:ext>
              </c:extLst>
            </c:dLbl>
            <c:dLbl>
              <c:idx val="1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B6B-424B-A91D-8EDD3ED33CC4}"/>
                </c:ext>
              </c:extLst>
            </c:dLbl>
            <c:dLbl>
              <c:idx val="1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B6B-424B-A91D-8EDD3ED33CC4}"/>
                </c:ext>
              </c:extLst>
            </c:dLbl>
            <c:dLbl>
              <c:idx val="1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B6B-424B-A91D-8EDD3ED33CC4}"/>
                </c:ext>
              </c:extLst>
            </c:dLbl>
            <c:dLbl>
              <c:idx val="1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B6B-424B-A91D-8EDD3ED33CC4}"/>
                </c:ext>
              </c:extLst>
            </c:dLbl>
            <c:dLbl>
              <c:idx val="1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B6B-424B-A91D-8EDD3ED33CC4}"/>
                </c:ext>
              </c:extLst>
            </c:dLbl>
            <c:dLbl>
              <c:idx val="1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B6B-424B-A91D-8EDD3ED33CC4}"/>
                </c:ext>
              </c:extLst>
            </c:dLbl>
            <c:dLbl>
              <c:idx val="1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B6B-424B-A91D-8EDD3ED33CC4}"/>
                </c:ext>
              </c:extLst>
            </c:dLbl>
            <c:dLbl>
              <c:idx val="1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B6B-424B-A91D-8EDD3ED33CC4}"/>
                </c:ext>
              </c:extLst>
            </c:dLbl>
            <c:dLbl>
              <c:idx val="2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B6B-424B-A91D-8EDD3ED33CC4}"/>
                </c:ext>
              </c:extLst>
            </c:dLbl>
            <c:dLbl>
              <c:idx val="2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B6B-424B-A91D-8EDD3ED33CC4}"/>
                </c:ext>
              </c:extLst>
            </c:dLbl>
            <c:dLbl>
              <c:idx val="2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B6B-424B-A91D-8EDD3ED33CC4}"/>
                </c:ext>
              </c:extLst>
            </c:dLbl>
            <c:dLbl>
              <c:idx val="2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B6B-424B-A91D-8EDD3ED33CC4}"/>
                </c:ext>
              </c:extLst>
            </c:dLbl>
            <c:dLbl>
              <c:idx val="2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B6B-424B-A91D-8EDD3ED33CC4}"/>
                </c:ext>
              </c:extLst>
            </c:dLbl>
            <c:dLbl>
              <c:idx val="2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B6B-424B-A91D-8EDD3ED33CC4}"/>
                </c:ext>
              </c:extLst>
            </c:dLbl>
            <c:dLbl>
              <c:idx val="2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B6B-424B-A91D-8EDD3ED33CC4}"/>
                </c:ext>
              </c:extLst>
            </c:dLbl>
            <c:dLbl>
              <c:idx val="2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B6B-424B-A91D-8EDD3ED33CC4}"/>
                </c:ext>
              </c:extLst>
            </c:dLbl>
            <c:dLbl>
              <c:idx val="2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B6B-424B-A91D-8EDD3ED33CC4}"/>
                </c:ext>
              </c:extLst>
            </c:dLbl>
            <c:dLbl>
              <c:idx val="2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B6B-424B-A91D-8EDD3ED33CC4}"/>
                </c:ext>
              </c:extLst>
            </c:dLbl>
            <c:dLbl>
              <c:idx val="3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B6B-424B-A91D-8EDD3ED33CC4}"/>
                </c:ext>
              </c:extLst>
            </c:dLbl>
            <c:spPr>
              <a:noFill/>
              <a:ln>
                <a:noFill/>
              </a:ln>
              <a:effectLst/>
            </c:spPr>
            <c:txPr>
              <a:bodyPr/>
              <a:lstStyle/>
              <a:p>
                <a:pPr>
                  <a:defRPr sz="700"/>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ext>
            </c:extLst>
          </c:dLbls>
          <c:xVal>
            <c:numRef>
              <c:f>RB_STDEV!$D$3:$D$33</c:f>
              <c:numCache>
                <c:formatCode>General</c:formatCode>
                <c:ptCount val="31"/>
                <c:pt idx="0">
                  <c:v>0.62705205788520435</c:v>
                </c:pt>
                <c:pt idx="1">
                  <c:v>1.1300130887324948</c:v>
                </c:pt>
                <c:pt idx="2">
                  <c:v>1.0891745405043893</c:v>
                </c:pt>
                <c:pt idx="3">
                  <c:v>0.34545180423960736</c:v>
                </c:pt>
                <c:pt idx="4">
                  <c:v>1.1537179069550207</c:v>
                </c:pt>
                <c:pt idx="5">
                  <c:v>0.58772091420490524</c:v>
                </c:pt>
                <c:pt idx="6">
                  <c:v>0.52088268005203409</c:v>
                </c:pt>
                <c:pt idx="7">
                  <c:v>0.77293543852788105</c:v>
                </c:pt>
              </c:numCache>
            </c:numRef>
          </c:xVal>
          <c:yVal>
            <c:numRef>
              <c:f>RB_STDEV!$C$3:$C$33</c:f>
              <c:numCache>
                <c:formatCode>General</c:formatCode>
                <c:ptCount val="31"/>
                <c:pt idx="0">
                  <c:v>0.52696580394678449</c:v>
                </c:pt>
                <c:pt idx="1">
                  <c:v>0.71084486914380762</c:v>
                </c:pt>
                <c:pt idx="2">
                  <c:v>0.97744841860439702</c:v>
                </c:pt>
                <c:pt idx="3">
                  <c:v>0.82495861727283271</c:v>
                </c:pt>
                <c:pt idx="4">
                  <c:v>0.96297433745027849</c:v>
                </c:pt>
                <c:pt idx="5">
                  <c:v>1.098552404780093</c:v>
                </c:pt>
                <c:pt idx="6">
                  <c:v>0.82337776998936218</c:v>
                </c:pt>
                <c:pt idx="7">
                  <c:v>0.91070065104020836</c:v>
                </c:pt>
              </c:numCache>
            </c:numRef>
          </c:yVal>
          <c:smooth val="0"/>
          <c:extLst>
            <c:ext xmlns:c16="http://schemas.microsoft.com/office/drawing/2014/chart" uri="{C3380CC4-5D6E-409C-BE32-E72D297353CC}">
              <c16:uniqueId val="{00000020-EB6B-424B-A91D-8EDD3ED33CC4}"/>
            </c:ext>
          </c:extLst>
        </c:ser>
        <c:ser>
          <c:idx val="1"/>
          <c:order val="1"/>
          <c:tx>
            <c:strRef>
              <c:f>RB_STDEV!$A$3:$A$33</c:f>
              <c:strCache>
                <c:ptCount val="31"/>
                <c:pt idx="0">
                  <c:v>1</c:v>
                </c:pt>
                <c:pt idx="1">
                  <c:v>4</c:v>
                </c:pt>
                <c:pt idx="2">
                  <c:v>12</c:v>
                </c:pt>
                <c:pt idx="3">
                  <c:v>17</c:v>
                </c:pt>
                <c:pt idx="4">
                  <c:v>21</c:v>
                </c:pt>
                <c:pt idx="5">
                  <c:v>27</c:v>
                </c:pt>
                <c:pt idx="6">
                  <c:v>34</c:v>
                </c:pt>
                <c:pt idx="7">
                  <c:v>43</c:v>
                </c:pt>
              </c:strCache>
            </c:strRef>
          </c:tx>
          <c:spPr>
            <a:ln w="28575">
              <a:noFill/>
            </a:ln>
          </c:spPr>
          <c:marker>
            <c:symbol val="square"/>
            <c:size val="7"/>
            <c:spPr>
              <a:solidFill>
                <a:schemeClr val="accent1"/>
              </a:solidFill>
              <a:ln>
                <a:noFill/>
              </a:ln>
            </c:spPr>
          </c:marker>
          <c:dLbls>
            <c:dLbl>
              <c:idx val="0"/>
              <c:tx>
                <c:rich>
                  <a:bodyPr/>
                  <a:lstStyle/>
                  <a:p>
                    <a:r>
                      <a:rPr lang="en-US"/>
                      <a:t>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B6B-424B-A91D-8EDD3ED33CC4}"/>
                </c:ext>
              </c:extLst>
            </c:dLbl>
            <c:dLbl>
              <c:idx val="1"/>
              <c:tx>
                <c:rich>
                  <a:bodyPr/>
                  <a:lstStyle/>
                  <a:p>
                    <a:r>
                      <a:rPr lang="en-US"/>
                      <a:t>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B6B-424B-A91D-8EDD3ED33CC4}"/>
                </c:ext>
              </c:extLst>
            </c:dLbl>
            <c:dLbl>
              <c:idx val="2"/>
              <c:tx>
                <c:rich>
                  <a:bodyPr/>
                  <a:lstStyle/>
                  <a:p>
                    <a:r>
                      <a:rPr lang="en-US"/>
                      <a:t>12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B6B-424B-A91D-8EDD3ED33CC4}"/>
                </c:ext>
              </c:extLst>
            </c:dLbl>
            <c:dLbl>
              <c:idx val="3"/>
              <c:tx>
                <c:rich>
                  <a:bodyPr/>
                  <a:lstStyle/>
                  <a:p>
                    <a:r>
                      <a:rPr lang="en-US"/>
                      <a:t>17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B6B-424B-A91D-8EDD3ED33CC4}"/>
                </c:ext>
              </c:extLst>
            </c:dLbl>
            <c:dLbl>
              <c:idx val="4"/>
              <c:tx>
                <c:rich>
                  <a:bodyPr/>
                  <a:lstStyle/>
                  <a:p>
                    <a:r>
                      <a:rPr lang="en-US"/>
                      <a:t>21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B6B-424B-A91D-8EDD3ED33CC4}"/>
                </c:ext>
              </c:extLst>
            </c:dLbl>
            <c:dLbl>
              <c:idx val="5"/>
              <c:tx>
                <c:rich>
                  <a:bodyPr/>
                  <a:lstStyle/>
                  <a:p>
                    <a:r>
                      <a:rPr lang="en-US"/>
                      <a:t>27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B6B-424B-A91D-8EDD3ED33CC4}"/>
                </c:ext>
              </c:extLst>
            </c:dLbl>
            <c:dLbl>
              <c:idx val="6"/>
              <c:tx>
                <c:rich>
                  <a:bodyPr/>
                  <a:lstStyle/>
                  <a:p>
                    <a:r>
                      <a:rPr lang="en-US"/>
                      <a:t>34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B6B-424B-A91D-8EDD3ED33CC4}"/>
                </c:ext>
              </c:extLst>
            </c:dLbl>
            <c:dLbl>
              <c:idx val="7"/>
              <c:tx>
                <c:rich>
                  <a:bodyPr/>
                  <a:lstStyle/>
                  <a:p>
                    <a:r>
                      <a:rPr lang="en-US"/>
                      <a:t>43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B6B-424B-A91D-8EDD3ED33CC4}"/>
                </c:ext>
              </c:extLst>
            </c:dLbl>
            <c:dLbl>
              <c:idx val="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B6B-424B-A91D-8EDD3ED33CC4}"/>
                </c:ext>
              </c:extLst>
            </c:dLbl>
            <c:dLbl>
              <c:idx val="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B6B-424B-A91D-8EDD3ED33CC4}"/>
                </c:ext>
              </c:extLst>
            </c:dLbl>
            <c:dLbl>
              <c:idx val="1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B6B-424B-A91D-8EDD3ED33CC4}"/>
                </c:ext>
              </c:extLst>
            </c:dLbl>
            <c:dLbl>
              <c:idx val="1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B6B-424B-A91D-8EDD3ED33CC4}"/>
                </c:ext>
              </c:extLst>
            </c:dLbl>
            <c:dLbl>
              <c:idx val="1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B6B-424B-A91D-8EDD3ED33CC4}"/>
                </c:ext>
              </c:extLst>
            </c:dLbl>
            <c:dLbl>
              <c:idx val="1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B6B-424B-A91D-8EDD3ED33CC4}"/>
                </c:ext>
              </c:extLst>
            </c:dLbl>
            <c:dLbl>
              <c:idx val="1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B6B-424B-A91D-8EDD3ED33CC4}"/>
                </c:ext>
              </c:extLst>
            </c:dLbl>
            <c:dLbl>
              <c:idx val="1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B6B-424B-A91D-8EDD3ED33CC4}"/>
                </c:ext>
              </c:extLst>
            </c:dLbl>
            <c:dLbl>
              <c:idx val="1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B6B-424B-A91D-8EDD3ED33CC4}"/>
                </c:ext>
              </c:extLst>
            </c:dLbl>
            <c:dLbl>
              <c:idx val="1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B6B-424B-A91D-8EDD3ED33CC4}"/>
                </c:ext>
              </c:extLst>
            </c:dLbl>
            <c:dLbl>
              <c:idx val="1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B6B-424B-A91D-8EDD3ED33CC4}"/>
                </c:ext>
              </c:extLst>
            </c:dLbl>
            <c:dLbl>
              <c:idx val="1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B6B-424B-A91D-8EDD3ED33CC4}"/>
                </c:ext>
              </c:extLst>
            </c:dLbl>
            <c:dLbl>
              <c:idx val="2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B6B-424B-A91D-8EDD3ED33CC4}"/>
                </c:ext>
              </c:extLst>
            </c:dLbl>
            <c:dLbl>
              <c:idx val="2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B6B-424B-A91D-8EDD3ED33CC4}"/>
                </c:ext>
              </c:extLst>
            </c:dLbl>
            <c:dLbl>
              <c:idx val="2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B6B-424B-A91D-8EDD3ED33CC4}"/>
                </c:ext>
              </c:extLst>
            </c:dLbl>
            <c:dLbl>
              <c:idx val="2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B6B-424B-A91D-8EDD3ED33CC4}"/>
                </c:ext>
              </c:extLst>
            </c:dLbl>
            <c:dLbl>
              <c:idx val="2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B6B-424B-A91D-8EDD3ED33CC4}"/>
                </c:ext>
              </c:extLst>
            </c:dLbl>
            <c:dLbl>
              <c:idx val="2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B6B-424B-A91D-8EDD3ED33CC4}"/>
                </c:ext>
              </c:extLst>
            </c:dLbl>
            <c:dLbl>
              <c:idx val="2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B6B-424B-A91D-8EDD3ED33CC4}"/>
                </c:ext>
              </c:extLst>
            </c:dLbl>
            <c:dLbl>
              <c:idx val="2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B6B-424B-A91D-8EDD3ED33CC4}"/>
                </c:ext>
              </c:extLst>
            </c:dLbl>
            <c:dLbl>
              <c:idx val="2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B6B-424B-A91D-8EDD3ED33CC4}"/>
                </c:ext>
              </c:extLst>
            </c:dLbl>
            <c:dLbl>
              <c:idx val="2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B6B-424B-A91D-8EDD3ED33CC4}"/>
                </c:ext>
              </c:extLst>
            </c:dLbl>
            <c:dLbl>
              <c:idx val="3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B6B-424B-A91D-8EDD3ED33CC4}"/>
                </c:ext>
              </c:extLst>
            </c:dLbl>
            <c:spPr>
              <a:noFill/>
              <a:ln>
                <a:noFill/>
              </a:ln>
              <a:effectLst/>
            </c:spPr>
            <c:txPr>
              <a:bodyPr/>
              <a:lstStyle/>
              <a:p>
                <a:pPr>
                  <a:defRPr sz="700"/>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ext>
            </c:extLst>
          </c:dLbls>
          <c:xVal>
            <c:numRef>
              <c:f>RB_STDEV!$D$3:$D$33</c:f>
              <c:numCache>
                <c:formatCode>General</c:formatCode>
                <c:ptCount val="31"/>
                <c:pt idx="0">
                  <c:v>0.62705205788520435</c:v>
                </c:pt>
                <c:pt idx="1">
                  <c:v>1.1300130887324948</c:v>
                </c:pt>
                <c:pt idx="2">
                  <c:v>1.0891745405043893</c:v>
                </c:pt>
                <c:pt idx="3">
                  <c:v>0.34545180423960736</c:v>
                </c:pt>
                <c:pt idx="4">
                  <c:v>1.1537179069550207</c:v>
                </c:pt>
                <c:pt idx="5">
                  <c:v>0.58772091420490524</c:v>
                </c:pt>
                <c:pt idx="6">
                  <c:v>0.52088268005203409</c:v>
                </c:pt>
                <c:pt idx="7">
                  <c:v>0.77293543852788105</c:v>
                </c:pt>
              </c:numCache>
            </c:numRef>
          </c:xVal>
          <c:yVal>
            <c:numRef>
              <c:f>RB_STDEV!$E$3:$E$33</c:f>
              <c:numCache>
                <c:formatCode>General</c:formatCode>
                <c:ptCount val="31"/>
                <c:pt idx="0">
                  <c:v>0.78294267871567458</c:v>
                </c:pt>
                <c:pt idx="1">
                  <c:v>1.410944216752702</c:v>
                </c:pt>
                <c:pt idx="2">
                  <c:v>1.3599528485839587</c:v>
                </c:pt>
                <c:pt idx="3">
                  <c:v>0.43133414136413234</c:v>
                </c:pt>
                <c:pt idx="4">
                  <c:v>1.4405422599202735</c:v>
                </c:pt>
                <c:pt idx="5">
                  <c:v>0.73383346903720958</c:v>
                </c:pt>
                <c:pt idx="6">
                  <c:v>0.6503786658351115</c:v>
                </c:pt>
                <c:pt idx="7">
                  <c:v>0.96509394252891345</c:v>
                </c:pt>
              </c:numCache>
            </c:numRef>
          </c:yVal>
          <c:smooth val="0"/>
          <c:extLst>
            <c:ext xmlns:c16="http://schemas.microsoft.com/office/drawing/2014/chart" uri="{C3380CC4-5D6E-409C-BE32-E72D297353CC}">
              <c16:uniqueId val="{00000040-EB6B-424B-A91D-8EDD3ED33CC4}"/>
            </c:ext>
          </c:extLst>
        </c:ser>
        <c:ser>
          <c:idx val="2"/>
          <c:order val="2"/>
          <c:tx>
            <c:strRef>
              <c:f>RB_STDEV!$H$3:$H$103</c:f>
              <c:strCache>
                <c:ptCount val="101"/>
                <c:pt idx="0">
                  <c:v>13</c:v>
                </c:pt>
                <c:pt idx="1">
                  <c:v>35</c:v>
                </c:pt>
                <c:pt idx="2">
                  <c:v>44</c:v>
                </c:pt>
                <c:pt idx="3">
                  <c:v>36</c:v>
                </c:pt>
                <c:pt idx="4">
                  <c:v>5</c:v>
                </c:pt>
                <c:pt idx="5">
                  <c:v>37</c:v>
                </c:pt>
                <c:pt idx="6">
                  <c:v>28</c:v>
                </c:pt>
                <c:pt idx="7">
                  <c:v>6</c:v>
                </c:pt>
                <c:pt idx="8">
                  <c:v>2</c:v>
                </c:pt>
                <c:pt idx="9">
                  <c:v>22</c:v>
                </c:pt>
                <c:pt idx="10">
                  <c:v>29</c:v>
                </c:pt>
                <c:pt idx="11">
                  <c:v>30</c:v>
                </c:pt>
                <c:pt idx="12">
                  <c:v>31</c:v>
                </c:pt>
                <c:pt idx="13">
                  <c:v>14</c:v>
                </c:pt>
                <c:pt idx="14">
                  <c:v>15</c:v>
                </c:pt>
                <c:pt idx="15">
                  <c:v>32</c:v>
                </c:pt>
                <c:pt idx="16">
                  <c:v>18</c:v>
                </c:pt>
                <c:pt idx="17">
                  <c:v>19</c:v>
                </c:pt>
                <c:pt idx="18">
                  <c:v>23</c:v>
                </c:pt>
                <c:pt idx="19">
                  <c:v>3</c:v>
                </c:pt>
                <c:pt idx="20">
                  <c:v>45</c:v>
                </c:pt>
                <c:pt idx="21">
                  <c:v>20</c:v>
                </c:pt>
                <c:pt idx="22">
                  <c:v>38</c:v>
                </c:pt>
                <c:pt idx="23">
                  <c:v>7</c:v>
                </c:pt>
                <c:pt idx="24">
                  <c:v>8</c:v>
                </c:pt>
                <c:pt idx="25">
                  <c:v>9</c:v>
                </c:pt>
                <c:pt idx="26">
                  <c:v>24</c:v>
                </c:pt>
                <c:pt idx="27">
                  <c:v>39</c:v>
                </c:pt>
                <c:pt idx="28">
                  <c:v>25</c:v>
                </c:pt>
                <c:pt idx="29">
                  <c:v>40</c:v>
                </c:pt>
                <c:pt idx="30">
                  <c:v>26</c:v>
                </c:pt>
                <c:pt idx="31">
                  <c:v>16</c:v>
                </c:pt>
                <c:pt idx="32">
                  <c:v>10</c:v>
                </c:pt>
                <c:pt idx="33">
                  <c:v>11</c:v>
                </c:pt>
                <c:pt idx="34">
                  <c:v>41</c:v>
                </c:pt>
                <c:pt idx="35">
                  <c:v>42</c:v>
                </c:pt>
                <c:pt idx="36">
                  <c:v>33</c:v>
                </c:pt>
              </c:strCache>
            </c:strRef>
          </c:tx>
          <c:spPr>
            <a:ln w="28575">
              <a:noFill/>
            </a:ln>
          </c:spPr>
          <c:marker>
            <c:symbol val="circle"/>
            <c:size val="5"/>
            <c:spPr>
              <a:solidFill>
                <a:schemeClr val="accent2"/>
              </a:solidFill>
              <a:ln>
                <a:noFill/>
              </a:ln>
            </c:spPr>
          </c:marker>
          <c:dLbls>
            <c:dLbl>
              <c:idx val="0"/>
              <c:tx>
                <c:rich>
                  <a:bodyPr/>
                  <a:lstStyle/>
                  <a:p>
                    <a:r>
                      <a:rPr lang="en-US"/>
                      <a:t>13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B6B-424B-A91D-8EDD3ED33CC4}"/>
                </c:ext>
              </c:extLst>
            </c:dLbl>
            <c:dLbl>
              <c:idx val="1"/>
              <c:tx>
                <c:rich>
                  <a:bodyPr/>
                  <a:lstStyle/>
                  <a:p>
                    <a:r>
                      <a:rPr lang="en-US"/>
                      <a:t>35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B6B-424B-A91D-8EDD3ED33CC4}"/>
                </c:ext>
              </c:extLst>
            </c:dLbl>
            <c:dLbl>
              <c:idx val="2"/>
              <c:tx>
                <c:rich>
                  <a:bodyPr/>
                  <a:lstStyle/>
                  <a:p>
                    <a:r>
                      <a:rPr lang="en-US"/>
                      <a:t>44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B6B-424B-A91D-8EDD3ED33CC4}"/>
                </c:ext>
              </c:extLst>
            </c:dLbl>
            <c:dLbl>
              <c:idx val="3"/>
              <c:tx>
                <c:rich>
                  <a:bodyPr/>
                  <a:lstStyle/>
                  <a:p>
                    <a:r>
                      <a:rPr lang="en-US"/>
                      <a:t>36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B6B-424B-A91D-8EDD3ED33CC4}"/>
                </c:ext>
              </c:extLst>
            </c:dLbl>
            <c:dLbl>
              <c:idx val="4"/>
              <c:tx>
                <c:rich>
                  <a:bodyPr/>
                  <a:lstStyle/>
                  <a:p>
                    <a:r>
                      <a:rPr lang="en-US"/>
                      <a:t>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B6B-424B-A91D-8EDD3ED33CC4}"/>
                </c:ext>
              </c:extLst>
            </c:dLbl>
            <c:dLbl>
              <c:idx val="5"/>
              <c:tx>
                <c:rich>
                  <a:bodyPr/>
                  <a:lstStyle/>
                  <a:p>
                    <a:r>
                      <a:rPr lang="en-US"/>
                      <a:t>37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B6B-424B-A91D-8EDD3ED33CC4}"/>
                </c:ext>
              </c:extLst>
            </c:dLbl>
            <c:dLbl>
              <c:idx val="6"/>
              <c:tx>
                <c:rich>
                  <a:bodyPr/>
                  <a:lstStyle/>
                  <a:p>
                    <a:r>
                      <a:rPr lang="en-US"/>
                      <a:t>28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B6B-424B-A91D-8EDD3ED33CC4}"/>
                </c:ext>
              </c:extLst>
            </c:dLbl>
            <c:dLbl>
              <c:idx val="7"/>
              <c:tx>
                <c:rich>
                  <a:bodyPr/>
                  <a:lstStyle/>
                  <a:p>
                    <a:r>
                      <a:rPr lang="en-US"/>
                      <a:t>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B6B-424B-A91D-8EDD3ED33CC4}"/>
                </c:ext>
              </c:extLst>
            </c:dLbl>
            <c:dLbl>
              <c:idx val="8"/>
              <c:tx>
                <c:rich>
                  <a:bodyPr/>
                  <a:lstStyle/>
                  <a:p>
                    <a:r>
                      <a:rPr lang="en-US"/>
                      <a:t>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B6B-424B-A91D-8EDD3ED33CC4}"/>
                </c:ext>
              </c:extLst>
            </c:dLbl>
            <c:dLbl>
              <c:idx val="9"/>
              <c:tx>
                <c:rich>
                  <a:bodyPr/>
                  <a:lstStyle/>
                  <a:p>
                    <a:r>
                      <a:rPr lang="en-US"/>
                      <a:t>22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B6B-424B-A91D-8EDD3ED33CC4}"/>
                </c:ext>
              </c:extLst>
            </c:dLbl>
            <c:dLbl>
              <c:idx val="10"/>
              <c:tx>
                <c:rich>
                  <a:bodyPr/>
                  <a:lstStyle/>
                  <a:p>
                    <a:r>
                      <a:rPr lang="en-US"/>
                      <a:t>29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EB6B-424B-A91D-8EDD3ED33CC4}"/>
                </c:ext>
              </c:extLst>
            </c:dLbl>
            <c:dLbl>
              <c:idx val="11"/>
              <c:tx>
                <c:rich>
                  <a:bodyPr/>
                  <a:lstStyle/>
                  <a:p>
                    <a:r>
                      <a:rPr lang="en-US"/>
                      <a:t>30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EB6B-424B-A91D-8EDD3ED33CC4}"/>
                </c:ext>
              </c:extLst>
            </c:dLbl>
            <c:dLbl>
              <c:idx val="12"/>
              <c:tx>
                <c:rich>
                  <a:bodyPr/>
                  <a:lstStyle/>
                  <a:p>
                    <a:r>
                      <a:rPr lang="en-US"/>
                      <a:t>31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EB6B-424B-A91D-8EDD3ED33CC4}"/>
                </c:ext>
              </c:extLst>
            </c:dLbl>
            <c:dLbl>
              <c:idx val="13"/>
              <c:tx>
                <c:rich>
                  <a:bodyPr/>
                  <a:lstStyle/>
                  <a:p>
                    <a:r>
                      <a:rPr lang="en-US"/>
                      <a:t>14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EB6B-424B-A91D-8EDD3ED33CC4}"/>
                </c:ext>
              </c:extLst>
            </c:dLbl>
            <c:dLbl>
              <c:idx val="14"/>
              <c:tx>
                <c:rich>
                  <a:bodyPr/>
                  <a:lstStyle/>
                  <a:p>
                    <a:r>
                      <a:rPr lang="en-US"/>
                      <a:t>15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EB6B-424B-A91D-8EDD3ED33CC4}"/>
                </c:ext>
              </c:extLst>
            </c:dLbl>
            <c:dLbl>
              <c:idx val="15"/>
              <c:tx>
                <c:rich>
                  <a:bodyPr/>
                  <a:lstStyle/>
                  <a:p>
                    <a:r>
                      <a:rPr lang="en-US"/>
                      <a:t>32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EB6B-424B-A91D-8EDD3ED33CC4}"/>
                </c:ext>
              </c:extLst>
            </c:dLbl>
            <c:dLbl>
              <c:idx val="16"/>
              <c:tx>
                <c:rich>
                  <a:bodyPr/>
                  <a:lstStyle/>
                  <a:p>
                    <a:r>
                      <a:rPr lang="en-US"/>
                      <a:t>18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EB6B-424B-A91D-8EDD3ED33CC4}"/>
                </c:ext>
              </c:extLst>
            </c:dLbl>
            <c:dLbl>
              <c:idx val="17"/>
              <c:tx>
                <c:rich>
                  <a:bodyPr/>
                  <a:lstStyle/>
                  <a:p>
                    <a:r>
                      <a:rPr lang="en-US"/>
                      <a:t>19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EB6B-424B-A91D-8EDD3ED33CC4}"/>
                </c:ext>
              </c:extLst>
            </c:dLbl>
            <c:dLbl>
              <c:idx val="18"/>
              <c:tx>
                <c:rich>
                  <a:bodyPr/>
                  <a:lstStyle/>
                  <a:p>
                    <a:r>
                      <a:rPr lang="en-US"/>
                      <a:t>23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3-EB6B-424B-A91D-8EDD3ED33CC4}"/>
                </c:ext>
              </c:extLst>
            </c:dLbl>
            <c:dLbl>
              <c:idx val="19"/>
              <c:tx>
                <c:rich>
                  <a:bodyPr/>
                  <a:lstStyle/>
                  <a:p>
                    <a:r>
                      <a:rPr lang="en-US"/>
                      <a:t>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EB6B-424B-A91D-8EDD3ED33CC4}"/>
                </c:ext>
              </c:extLst>
            </c:dLbl>
            <c:dLbl>
              <c:idx val="20"/>
              <c:tx>
                <c:rich>
                  <a:bodyPr/>
                  <a:lstStyle/>
                  <a:p>
                    <a:r>
                      <a:rPr lang="en-US"/>
                      <a:t>45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5-EB6B-424B-A91D-8EDD3ED33CC4}"/>
                </c:ext>
              </c:extLst>
            </c:dLbl>
            <c:dLbl>
              <c:idx val="21"/>
              <c:tx>
                <c:rich>
                  <a:bodyPr/>
                  <a:lstStyle/>
                  <a:p>
                    <a:r>
                      <a:rPr lang="en-US"/>
                      <a:t>20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6-EB6B-424B-A91D-8EDD3ED33CC4}"/>
                </c:ext>
              </c:extLst>
            </c:dLbl>
            <c:dLbl>
              <c:idx val="22"/>
              <c:tx>
                <c:rich>
                  <a:bodyPr/>
                  <a:lstStyle/>
                  <a:p>
                    <a:r>
                      <a:rPr lang="en-US"/>
                      <a:t>38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7-EB6B-424B-A91D-8EDD3ED33CC4}"/>
                </c:ext>
              </c:extLst>
            </c:dLbl>
            <c:dLbl>
              <c:idx val="23"/>
              <c:tx>
                <c:rich>
                  <a:bodyPr/>
                  <a:lstStyle/>
                  <a:p>
                    <a:r>
                      <a:rPr lang="en-US"/>
                      <a:t>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8-EB6B-424B-A91D-8EDD3ED33CC4}"/>
                </c:ext>
              </c:extLst>
            </c:dLbl>
            <c:dLbl>
              <c:idx val="24"/>
              <c:tx>
                <c:rich>
                  <a:bodyPr/>
                  <a:lstStyle/>
                  <a:p>
                    <a:r>
                      <a:rPr lang="en-US"/>
                      <a:t>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EB6B-424B-A91D-8EDD3ED33CC4}"/>
                </c:ext>
              </c:extLst>
            </c:dLbl>
            <c:dLbl>
              <c:idx val="25"/>
              <c:tx>
                <c:rich>
                  <a:bodyPr/>
                  <a:lstStyle/>
                  <a:p>
                    <a:r>
                      <a:rPr lang="en-US"/>
                      <a:t>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A-EB6B-424B-A91D-8EDD3ED33CC4}"/>
                </c:ext>
              </c:extLst>
            </c:dLbl>
            <c:dLbl>
              <c:idx val="26"/>
              <c:tx>
                <c:rich>
                  <a:bodyPr/>
                  <a:lstStyle/>
                  <a:p>
                    <a:r>
                      <a:rPr lang="en-US"/>
                      <a:t>24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B-EB6B-424B-A91D-8EDD3ED33CC4}"/>
                </c:ext>
              </c:extLst>
            </c:dLbl>
            <c:dLbl>
              <c:idx val="27"/>
              <c:tx>
                <c:rich>
                  <a:bodyPr/>
                  <a:lstStyle/>
                  <a:p>
                    <a:r>
                      <a:rPr lang="en-US"/>
                      <a:t>39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C-EB6B-424B-A91D-8EDD3ED33CC4}"/>
                </c:ext>
              </c:extLst>
            </c:dLbl>
            <c:dLbl>
              <c:idx val="28"/>
              <c:tx>
                <c:rich>
                  <a:bodyPr/>
                  <a:lstStyle/>
                  <a:p>
                    <a:r>
                      <a:rPr lang="en-US"/>
                      <a:t>25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D-EB6B-424B-A91D-8EDD3ED33CC4}"/>
                </c:ext>
              </c:extLst>
            </c:dLbl>
            <c:dLbl>
              <c:idx val="29"/>
              <c:tx>
                <c:rich>
                  <a:bodyPr/>
                  <a:lstStyle/>
                  <a:p>
                    <a:r>
                      <a:rPr lang="en-US"/>
                      <a:t>40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E-EB6B-424B-A91D-8EDD3ED33CC4}"/>
                </c:ext>
              </c:extLst>
            </c:dLbl>
            <c:dLbl>
              <c:idx val="30"/>
              <c:tx>
                <c:rich>
                  <a:bodyPr/>
                  <a:lstStyle/>
                  <a:p>
                    <a:r>
                      <a:rPr lang="en-US"/>
                      <a:t>26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EB6B-424B-A91D-8EDD3ED33CC4}"/>
                </c:ext>
              </c:extLst>
            </c:dLbl>
            <c:dLbl>
              <c:idx val="31"/>
              <c:tx>
                <c:rich>
                  <a:bodyPr/>
                  <a:lstStyle/>
                  <a:p>
                    <a:r>
                      <a:rPr lang="en-US"/>
                      <a:t>16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0-EB6B-424B-A91D-8EDD3ED33CC4}"/>
                </c:ext>
              </c:extLst>
            </c:dLbl>
            <c:dLbl>
              <c:idx val="32"/>
              <c:tx>
                <c:rich>
                  <a:bodyPr/>
                  <a:lstStyle/>
                  <a:p>
                    <a:r>
                      <a:rPr lang="en-US"/>
                      <a:t>10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1-EB6B-424B-A91D-8EDD3ED33CC4}"/>
                </c:ext>
              </c:extLst>
            </c:dLbl>
            <c:dLbl>
              <c:idx val="33"/>
              <c:tx>
                <c:rich>
                  <a:bodyPr/>
                  <a:lstStyle/>
                  <a:p>
                    <a:r>
                      <a:rPr lang="en-US"/>
                      <a:t>11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2-EB6B-424B-A91D-8EDD3ED33CC4}"/>
                </c:ext>
              </c:extLst>
            </c:dLbl>
            <c:dLbl>
              <c:idx val="34"/>
              <c:tx>
                <c:rich>
                  <a:bodyPr/>
                  <a:lstStyle/>
                  <a:p>
                    <a:r>
                      <a:rPr lang="en-US"/>
                      <a:t>41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3-EB6B-424B-A91D-8EDD3ED33CC4}"/>
                </c:ext>
              </c:extLst>
            </c:dLbl>
            <c:dLbl>
              <c:idx val="35"/>
              <c:tx>
                <c:rich>
                  <a:bodyPr/>
                  <a:lstStyle/>
                  <a:p>
                    <a:r>
                      <a:rPr lang="en-US"/>
                      <a:t>42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4-EB6B-424B-A91D-8EDD3ED33CC4}"/>
                </c:ext>
              </c:extLst>
            </c:dLbl>
            <c:dLbl>
              <c:idx val="36"/>
              <c:tx>
                <c:rich>
                  <a:bodyPr/>
                  <a:lstStyle/>
                  <a:p>
                    <a:r>
                      <a:rPr lang="en-US"/>
                      <a:t>33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5-EB6B-424B-A91D-8EDD3ED33CC4}"/>
                </c:ext>
              </c:extLst>
            </c:dLbl>
            <c:dLbl>
              <c:idx val="3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6-EB6B-424B-A91D-8EDD3ED33CC4}"/>
                </c:ext>
              </c:extLst>
            </c:dLbl>
            <c:dLbl>
              <c:idx val="3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EB6B-424B-A91D-8EDD3ED33CC4}"/>
                </c:ext>
              </c:extLst>
            </c:dLbl>
            <c:dLbl>
              <c:idx val="3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8-EB6B-424B-A91D-8EDD3ED33CC4}"/>
                </c:ext>
              </c:extLst>
            </c:dLbl>
            <c:dLbl>
              <c:idx val="4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9-EB6B-424B-A91D-8EDD3ED33CC4}"/>
                </c:ext>
              </c:extLst>
            </c:dLbl>
            <c:dLbl>
              <c:idx val="4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A-EB6B-424B-A91D-8EDD3ED33CC4}"/>
                </c:ext>
              </c:extLst>
            </c:dLbl>
            <c:dLbl>
              <c:idx val="4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EB6B-424B-A91D-8EDD3ED33CC4}"/>
                </c:ext>
              </c:extLst>
            </c:dLbl>
            <c:dLbl>
              <c:idx val="4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C-EB6B-424B-A91D-8EDD3ED33CC4}"/>
                </c:ext>
              </c:extLst>
            </c:dLbl>
            <c:dLbl>
              <c:idx val="4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D-EB6B-424B-A91D-8EDD3ED33CC4}"/>
                </c:ext>
              </c:extLst>
            </c:dLbl>
            <c:dLbl>
              <c:idx val="4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E-EB6B-424B-A91D-8EDD3ED33CC4}"/>
                </c:ext>
              </c:extLst>
            </c:dLbl>
            <c:dLbl>
              <c:idx val="4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F-EB6B-424B-A91D-8EDD3ED33CC4}"/>
                </c:ext>
              </c:extLst>
            </c:dLbl>
            <c:dLbl>
              <c:idx val="4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0-EB6B-424B-A91D-8EDD3ED33CC4}"/>
                </c:ext>
              </c:extLst>
            </c:dLbl>
            <c:dLbl>
              <c:idx val="4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1-EB6B-424B-A91D-8EDD3ED33CC4}"/>
                </c:ext>
              </c:extLst>
            </c:dLbl>
            <c:dLbl>
              <c:idx val="4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2-EB6B-424B-A91D-8EDD3ED33CC4}"/>
                </c:ext>
              </c:extLst>
            </c:dLbl>
            <c:dLbl>
              <c:idx val="5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3-EB6B-424B-A91D-8EDD3ED33CC4}"/>
                </c:ext>
              </c:extLst>
            </c:dLbl>
            <c:dLbl>
              <c:idx val="5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4-EB6B-424B-A91D-8EDD3ED33CC4}"/>
                </c:ext>
              </c:extLst>
            </c:dLbl>
            <c:dLbl>
              <c:idx val="5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5-EB6B-424B-A91D-8EDD3ED33CC4}"/>
                </c:ext>
              </c:extLst>
            </c:dLbl>
            <c:dLbl>
              <c:idx val="5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6-EB6B-424B-A91D-8EDD3ED33CC4}"/>
                </c:ext>
              </c:extLst>
            </c:dLbl>
            <c:dLbl>
              <c:idx val="5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7-EB6B-424B-A91D-8EDD3ED33CC4}"/>
                </c:ext>
              </c:extLst>
            </c:dLbl>
            <c:dLbl>
              <c:idx val="5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8-EB6B-424B-A91D-8EDD3ED33CC4}"/>
                </c:ext>
              </c:extLst>
            </c:dLbl>
            <c:dLbl>
              <c:idx val="5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9-EB6B-424B-A91D-8EDD3ED33CC4}"/>
                </c:ext>
              </c:extLst>
            </c:dLbl>
            <c:dLbl>
              <c:idx val="5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A-EB6B-424B-A91D-8EDD3ED33CC4}"/>
                </c:ext>
              </c:extLst>
            </c:dLbl>
            <c:dLbl>
              <c:idx val="5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B-EB6B-424B-A91D-8EDD3ED33CC4}"/>
                </c:ext>
              </c:extLst>
            </c:dLbl>
            <c:dLbl>
              <c:idx val="5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C-EB6B-424B-A91D-8EDD3ED33CC4}"/>
                </c:ext>
              </c:extLst>
            </c:dLbl>
            <c:dLbl>
              <c:idx val="6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D-EB6B-424B-A91D-8EDD3ED33CC4}"/>
                </c:ext>
              </c:extLst>
            </c:dLbl>
            <c:dLbl>
              <c:idx val="6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E-EB6B-424B-A91D-8EDD3ED33CC4}"/>
                </c:ext>
              </c:extLst>
            </c:dLbl>
            <c:dLbl>
              <c:idx val="6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F-EB6B-424B-A91D-8EDD3ED33CC4}"/>
                </c:ext>
              </c:extLst>
            </c:dLbl>
            <c:dLbl>
              <c:idx val="6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0-EB6B-424B-A91D-8EDD3ED33CC4}"/>
                </c:ext>
              </c:extLst>
            </c:dLbl>
            <c:dLbl>
              <c:idx val="6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1-EB6B-424B-A91D-8EDD3ED33CC4}"/>
                </c:ext>
              </c:extLst>
            </c:dLbl>
            <c:dLbl>
              <c:idx val="6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2-EB6B-424B-A91D-8EDD3ED33CC4}"/>
                </c:ext>
              </c:extLst>
            </c:dLbl>
            <c:dLbl>
              <c:idx val="6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3-EB6B-424B-A91D-8EDD3ED33CC4}"/>
                </c:ext>
              </c:extLst>
            </c:dLbl>
            <c:dLbl>
              <c:idx val="6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4-EB6B-424B-A91D-8EDD3ED33CC4}"/>
                </c:ext>
              </c:extLst>
            </c:dLbl>
            <c:dLbl>
              <c:idx val="6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5-EB6B-424B-A91D-8EDD3ED33CC4}"/>
                </c:ext>
              </c:extLst>
            </c:dLbl>
            <c:dLbl>
              <c:idx val="6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6-EB6B-424B-A91D-8EDD3ED33CC4}"/>
                </c:ext>
              </c:extLst>
            </c:dLbl>
            <c:dLbl>
              <c:idx val="7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7-EB6B-424B-A91D-8EDD3ED33CC4}"/>
                </c:ext>
              </c:extLst>
            </c:dLbl>
            <c:dLbl>
              <c:idx val="7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8-EB6B-424B-A91D-8EDD3ED33CC4}"/>
                </c:ext>
              </c:extLst>
            </c:dLbl>
            <c:dLbl>
              <c:idx val="7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9-EB6B-424B-A91D-8EDD3ED33CC4}"/>
                </c:ext>
              </c:extLst>
            </c:dLbl>
            <c:dLbl>
              <c:idx val="7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A-EB6B-424B-A91D-8EDD3ED33CC4}"/>
                </c:ext>
              </c:extLst>
            </c:dLbl>
            <c:dLbl>
              <c:idx val="7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B-EB6B-424B-A91D-8EDD3ED33CC4}"/>
                </c:ext>
              </c:extLst>
            </c:dLbl>
            <c:dLbl>
              <c:idx val="7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C-EB6B-424B-A91D-8EDD3ED33CC4}"/>
                </c:ext>
              </c:extLst>
            </c:dLbl>
            <c:dLbl>
              <c:idx val="7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D-EB6B-424B-A91D-8EDD3ED33CC4}"/>
                </c:ext>
              </c:extLst>
            </c:dLbl>
            <c:dLbl>
              <c:idx val="7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E-EB6B-424B-A91D-8EDD3ED33CC4}"/>
                </c:ext>
              </c:extLst>
            </c:dLbl>
            <c:dLbl>
              <c:idx val="7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F-EB6B-424B-A91D-8EDD3ED33CC4}"/>
                </c:ext>
              </c:extLst>
            </c:dLbl>
            <c:dLbl>
              <c:idx val="7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0-EB6B-424B-A91D-8EDD3ED33CC4}"/>
                </c:ext>
              </c:extLst>
            </c:dLbl>
            <c:dLbl>
              <c:idx val="8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1-EB6B-424B-A91D-8EDD3ED33CC4}"/>
                </c:ext>
              </c:extLst>
            </c:dLbl>
            <c:dLbl>
              <c:idx val="8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2-EB6B-424B-A91D-8EDD3ED33CC4}"/>
                </c:ext>
              </c:extLst>
            </c:dLbl>
            <c:dLbl>
              <c:idx val="8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3-EB6B-424B-A91D-8EDD3ED33CC4}"/>
                </c:ext>
              </c:extLst>
            </c:dLbl>
            <c:dLbl>
              <c:idx val="8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4-EB6B-424B-A91D-8EDD3ED33CC4}"/>
                </c:ext>
              </c:extLst>
            </c:dLbl>
            <c:dLbl>
              <c:idx val="8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5-EB6B-424B-A91D-8EDD3ED33CC4}"/>
                </c:ext>
              </c:extLst>
            </c:dLbl>
            <c:dLbl>
              <c:idx val="8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6-EB6B-424B-A91D-8EDD3ED33CC4}"/>
                </c:ext>
              </c:extLst>
            </c:dLbl>
            <c:dLbl>
              <c:idx val="8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7-EB6B-424B-A91D-8EDD3ED33CC4}"/>
                </c:ext>
              </c:extLst>
            </c:dLbl>
            <c:dLbl>
              <c:idx val="8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8-EB6B-424B-A91D-8EDD3ED33CC4}"/>
                </c:ext>
              </c:extLst>
            </c:dLbl>
            <c:dLbl>
              <c:idx val="8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9-EB6B-424B-A91D-8EDD3ED33CC4}"/>
                </c:ext>
              </c:extLst>
            </c:dLbl>
            <c:dLbl>
              <c:idx val="8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A-EB6B-424B-A91D-8EDD3ED33CC4}"/>
                </c:ext>
              </c:extLst>
            </c:dLbl>
            <c:dLbl>
              <c:idx val="9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B-EB6B-424B-A91D-8EDD3ED33CC4}"/>
                </c:ext>
              </c:extLst>
            </c:dLbl>
            <c:dLbl>
              <c:idx val="9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C-EB6B-424B-A91D-8EDD3ED33CC4}"/>
                </c:ext>
              </c:extLst>
            </c:dLbl>
            <c:dLbl>
              <c:idx val="9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D-EB6B-424B-A91D-8EDD3ED33CC4}"/>
                </c:ext>
              </c:extLst>
            </c:dLbl>
            <c:dLbl>
              <c:idx val="9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E-EB6B-424B-A91D-8EDD3ED33CC4}"/>
                </c:ext>
              </c:extLst>
            </c:dLbl>
            <c:dLbl>
              <c:idx val="9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F-EB6B-424B-A91D-8EDD3ED33CC4}"/>
                </c:ext>
              </c:extLst>
            </c:dLbl>
            <c:dLbl>
              <c:idx val="9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0-EB6B-424B-A91D-8EDD3ED33CC4}"/>
                </c:ext>
              </c:extLst>
            </c:dLbl>
            <c:dLbl>
              <c:idx val="9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1-EB6B-424B-A91D-8EDD3ED33CC4}"/>
                </c:ext>
              </c:extLst>
            </c:dLbl>
            <c:dLbl>
              <c:idx val="9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2-EB6B-424B-A91D-8EDD3ED33CC4}"/>
                </c:ext>
              </c:extLst>
            </c:dLbl>
            <c:dLbl>
              <c:idx val="9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3-EB6B-424B-A91D-8EDD3ED33CC4}"/>
                </c:ext>
              </c:extLst>
            </c:dLbl>
            <c:dLbl>
              <c:idx val="9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4-EB6B-424B-A91D-8EDD3ED33CC4}"/>
                </c:ext>
              </c:extLst>
            </c:dLbl>
            <c:dLbl>
              <c:idx val="10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5-EB6B-424B-A91D-8EDD3ED33CC4}"/>
                </c:ext>
              </c:extLst>
            </c:dLbl>
            <c:spPr>
              <a:noFill/>
              <a:ln>
                <a:noFill/>
              </a:ln>
              <a:effectLst/>
            </c:spPr>
            <c:txPr>
              <a:bodyPr/>
              <a:lstStyle/>
              <a:p>
                <a:pPr>
                  <a:defRPr sz="700"/>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ext>
            </c:extLst>
          </c:dLbls>
          <c:xVal>
            <c:numRef>
              <c:f>RB_STDEV!$K$3:$K$103</c:f>
              <c:numCache>
                <c:formatCode>General</c:formatCode>
                <c:ptCount val="101"/>
                <c:pt idx="0">
                  <c:v>0.57713167145819322</c:v>
                </c:pt>
                <c:pt idx="1">
                  <c:v>0.67609513124563136</c:v>
                </c:pt>
                <c:pt idx="2">
                  <c:v>0.31635737610865766</c:v>
                </c:pt>
                <c:pt idx="3">
                  <c:v>0.4362011259307278</c:v>
                </c:pt>
                <c:pt idx="4">
                  <c:v>0.14432683517284745</c:v>
                </c:pt>
                <c:pt idx="5">
                  <c:v>0.81853224784519762</c:v>
                </c:pt>
                <c:pt idx="6">
                  <c:v>0.412639379582385</c:v>
                </c:pt>
                <c:pt idx="7">
                  <c:v>0.27266888490959423</c:v>
                </c:pt>
                <c:pt idx="8">
                  <c:v>0.18108481106104202</c:v>
                </c:pt>
                <c:pt idx="9">
                  <c:v>0.26451556101518625</c:v>
                </c:pt>
                <c:pt idx="10">
                  <c:v>1.3654622025908845</c:v>
                </c:pt>
                <c:pt idx="11">
                  <c:v>0.44421708388188796</c:v>
                </c:pt>
                <c:pt idx="12">
                  <c:v>0.20032400543548382</c:v>
                </c:pt>
                <c:pt idx="13">
                  <c:v>1.4867381671547932</c:v>
                </c:pt>
                <c:pt idx="14">
                  <c:v>0.58178341591435923</c:v>
                </c:pt>
                <c:pt idx="15">
                  <c:v>0.33876464644349297</c:v>
                </c:pt>
                <c:pt idx="16">
                  <c:v>0.42812486491735985</c:v>
                </c:pt>
                <c:pt idx="17">
                  <c:v>0.46708449874468694</c:v>
                </c:pt>
                <c:pt idx="18">
                  <c:v>1.6418692303993967</c:v>
                </c:pt>
                <c:pt idx="19">
                  <c:v>0.8126941781353062</c:v>
                </c:pt>
                <c:pt idx="20">
                  <c:v>0.99005965054976119</c:v>
                </c:pt>
                <c:pt idx="21">
                  <c:v>0.26479885536830983</c:v>
                </c:pt>
                <c:pt idx="22">
                  <c:v>0.26970978132508283</c:v>
                </c:pt>
                <c:pt idx="23">
                  <c:v>0.65353361493851447</c:v>
                </c:pt>
                <c:pt idx="24">
                  <c:v>-0.13901257234755304</c:v>
                </c:pt>
                <c:pt idx="25">
                  <c:v>1.7618599311303809</c:v>
                </c:pt>
                <c:pt idx="26">
                  <c:v>1.1640465976439374</c:v>
                </c:pt>
                <c:pt idx="27">
                  <c:v>0.52597055535524118</c:v>
                </c:pt>
                <c:pt idx="28">
                  <c:v>1.3853513642716708</c:v>
                </c:pt>
                <c:pt idx="29">
                  <c:v>8.222469910602935E-2</c:v>
                </c:pt>
                <c:pt idx="30">
                  <c:v>1.2705789129085776</c:v>
                </c:pt>
                <c:pt idx="31">
                  <c:v>1.6052194414074674</c:v>
                </c:pt>
                <c:pt idx="32">
                  <c:v>0.83188046408107552</c:v>
                </c:pt>
                <c:pt idx="33">
                  <c:v>3.3037878077405223</c:v>
                </c:pt>
                <c:pt idx="34">
                  <c:v>0.40116845431613923</c:v>
                </c:pt>
                <c:pt idx="35">
                  <c:v>0.80542119820128499</c:v>
                </c:pt>
                <c:pt idx="36">
                  <c:v>1.5436233081717392</c:v>
                </c:pt>
              </c:numCache>
            </c:numRef>
          </c:xVal>
          <c:yVal>
            <c:numRef>
              <c:f>RB_STDEV!$J$3:$J$103</c:f>
              <c:numCache>
                <c:formatCode>General</c:formatCode>
                <c:ptCount val="101"/>
                <c:pt idx="0">
                  <c:v>1.070412969088532</c:v>
                </c:pt>
                <c:pt idx="1">
                  <c:v>-0.59150315309951873</c:v>
                </c:pt>
                <c:pt idx="2">
                  <c:v>0.98209791573682026</c:v>
                </c:pt>
                <c:pt idx="3">
                  <c:v>0.76373881324272452</c:v>
                </c:pt>
                <c:pt idx="4">
                  <c:v>0.87289775521258461</c:v>
                </c:pt>
                <c:pt idx="5">
                  <c:v>1.2240245840614499</c:v>
                </c:pt>
                <c:pt idx="6">
                  <c:v>0.90210471791805935</c:v>
                </c:pt>
                <c:pt idx="7">
                  <c:v>0.8489291545414801</c:v>
                </c:pt>
                <c:pt idx="8">
                  <c:v>0.23526581837368488</c:v>
                </c:pt>
                <c:pt idx="9">
                  <c:v>0.89036567185711524</c:v>
                </c:pt>
                <c:pt idx="10">
                  <c:v>1.7007493867712347</c:v>
                </c:pt>
                <c:pt idx="11">
                  <c:v>1.4252162442827232</c:v>
                </c:pt>
                <c:pt idx="12">
                  <c:v>1.2936613506325858</c:v>
                </c:pt>
                <c:pt idx="13">
                  <c:v>1.0463513292958786</c:v>
                </c:pt>
                <c:pt idx="14">
                  <c:v>0.57425514939531197</c:v>
                </c:pt>
                <c:pt idx="15">
                  <c:v>0.71204297040772346</c:v>
                </c:pt>
                <c:pt idx="16">
                  <c:v>0.86964862390834785</c:v>
                </c:pt>
                <c:pt idx="17">
                  <c:v>0.6302408043882255</c:v>
                </c:pt>
                <c:pt idx="18">
                  <c:v>0.73676292898015627</c:v>
                </c:pt>
                <c:pt idx="19">
                  <c:v>0.64839132159262669</c:v>
                </c:pt>
                <c:pt idx="20">
                  <c:v>0.87674791411798414</c:v>
                </c:pt>
                <c:pt idx="21">
                  <c:v>0.87570578509636088</c:v>
                </c:pt>
                <c:pt idx="22">
                  <c:v>9.619057318761301E-2</c:v>
                </c:pt>
                <c:pt idx="23">
                  <c:v>-7.0365045698543821E-2</c:v>
                </c:pt>
                <c:pt idx="24">
                  <c:v>0.34156768158000195</c:v>
                </c:pt>
                <c:pt idx="25">
                  <c:v>0.51903774134260061</c:v>
                </c:pt>
                <c:pt idx="26">
                  <c:v>0.56030430209459359</c:v>
                </c:pt>
                <c:pt idx="27">
                  <c:v>0.81454710070217551</c:v>
                </c:pt>
                <c:pt idx="28">
                  <c:v>0.48438409188778858</c:v>
                </c:pt>
                <c:pt idx="29">
                  <c:v>0.4723515398106492</c:v>
                </c:pt>
                <c:pt idx="30">
                  <c:v>1.389198981781846</c:v>
                </c:pt>
                <c:pt idx="31">
                  <c:v>1.3756037275364426</c:v>
                </c:pt>
                <c:pt idx="32">
                  <c:v>1.5690664565354817</c:v>
                </c:pt>
                <c:pt idx="33">
                  <c:v>1.1693906991605869</c:v>
                </c:pt>
                <c:pt idx="34">
                  <c:v>1.2224809786082593</c:v>
                </c:pt>
                <c:pt idx="35">
                  <c:v>0.75803820129462485</c:v>
                </c:pt>
                <c:pt idx="36">
                  <c:v>0.94527755569980543</c:v>
                </c:pt>
              </c:numCache>
            </c:numRef>
          </c:yVal>
          <c:smooth val="0"/>
          <c:extLst>
            <c:ext xmlns:c16="http://schemas.microsoft.com/office/drawing/2014/chart" uri="{C3380CC4-5D6E-409C-BE32-E72D297353CC}">
              <c16:uniqueId val="{000000A6-EB6B-424B-A91D-8EDD3ED33CC4}"/>
            </c:ext>
          </c:extLst>
        </c:ser>
        <c:ser>
          <c:idx val="3"/>
          <c:order val="3"/>
          <c:tx>
            <c:strRef>
              <c:f>RB_STDEV!$H$3:$H$103</c:f>
              <c:strCache>
                <c:ptCount val="101"/>
                <c:pt idx="0">
                  <c:v>13</c:v>
                </c:pt>
                <c:pt idx="1">
                  <c:v>35</c:v>
                </c:pt>
                <c:pt idx="2">
                  <c:v>44</c:v>
                </c:pt>
                <c:pt idx="3">
                  <c:v>36</c:v>
                </c:pt>
                <c:pt idx="4">
                  <c:v>5</c:v>
                </c:pt>
                <c:pt idx="5">
                  <c:v>37</c:v>
                </c:pt>
                <c:pt idx="6">
                  <c:v>28</c:v>
                </c:pt>
                <c:pt idx="7">
                  <c:v>6</c:v>
                </c:pt>
                <c:pt idx="8">
                  <c:v>2</c:v>
                </c:pt>
                <c:pt idx="9">
                  <c:v>22</c:v>
                </c:pt>
                <c:pt idx="10">
                  <c:v>29</c:v>
                </c:pt>
                <c:pt idx="11">
                  <c:v>30</c:v>
                </c:pt>
                <c:pt idx="12">
                  <c:v>31</c:v>
                </c:pt>
                <c:pt idx="13">
                  <c:v>14</c:v>
                </c:pt>
                <c:pt idx="14">
                  <c:v>15</c:v>
                </c:pt>
                <c:pt idx="15">
                  <c:v>32</c:v>
                </c:pt>
                <c:pt idx="16">
                  <c:v>18</c:v>
                </c:pt>
                <c:pt idx="17">
                  <c:v>19</c:v>
                </c:pt>
                <c:pt idx="18">
                  <c:v>23</c:v>
                </c:pt>
                <c:pt idx="19">
                  <c:v>3</c:v>
                </c:pt>
                <c:pt idx="20">
                  <c:v>45</c:v>
                </c:pt>
                <c:pt idx="21">
                  <c:v>20</c:v>
                </c:pt>
                <c:pt idx="22">
                  <c:v>38</c:v>
                </c:pt>
                <c:pt idx="23">
                  <c:v>7</c:v>
                </c:pt>
                <c:pt idx="24">
                  <c:v>8</c:v>
                </c:pt>
                <c:pt idx="25">
                  <c:v>9</c:v>
                </c:pt>
                <c:pt idx="26">
                  <c:v>24</c:v>
                </c:pt>
                <c:pt idx="27">
                  <c:v>39</c:v>
                </c:pt>
                <c:pt idx="28">
                  <c:v>25</c:v>
                </c:pt>
                <c:pt idx="29">
                  <c:v>40</c:v>
                </c:pt>
                <c:pt idx="30">
                  <c:v>26</c:v>
                </c:pt>
                <c:pt idx="31">
                  <c:v>16</c:v>
                </c:pt>
                <c:pt idx="32">
                  <c:v>10</c:v>
                </c:pt>
                <c:pt idx="33">
                  <c:v>11</c:v>
                </c:pt>
                <c:pt idx="34">
                  <c:v>41</c:v>
                </c:pt>
                <c:pt idx="35">
                  <c:v>42</c:v>
                </c:pt>
                <c:pt idx="36">
                  <c:v>33</c:v>
                </c:pt>
              </c:strCache>
            </c:strRef>
          </c:tx>
          <c:spPr>
            <a:ln w="28575">
              <a:noFill/>
            </a:ln>
          </c:spPr>
          <c:marker>
            <c:symbol val="circle"/>
            <c:size val="5"/>
            <c:spPr>
              <a:solidFill>
                <a:schemeClr val="accent1"/>
              </a:solidFill>
              <a:ln>
                <a:noFill/>
              </a:ln>
            </c:spPr>
          </c:marker>
          <c:dLbls>
            <c:dLbl>
              <c:idx val="0"/>
              <c:tx>
                <c:rich>
                  <a:bodyPr/>
                  <a:lstStyle/>
                  <a:p>
                    <a:r>
                      <a:rPr lang="en-US"/>
                      <a:t>13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7-EB6B-424B-A91D-8EDD3ED33CC4}"/>
                </c:ext>
              </c:extLst>
            </c:dLbl>
            <c:dLbl>
              <c:idx val="1"/>
              <c:tx>
                <c:rich>
                  <a:bodyPr/>
                  <a:lstStyle/>
                  <a:p>
                    <a:r>
                      <a:rPr lang="en-US"/>
                      <a:t>35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8-EB6B-424B-A91D-8EDD3ED33CC4}"/>
                </c:ext>
              </c:extLst>
            </c:dLbl>
            <c:dLbl>
              <c:idx val="2"/>
              <c:tx>
                <c:rich>
                  <a:bodyPr/>
                  <a:lstStyle/>
                  <a:p>
                    <a:r>
                      <a:rPr lang="en-US"/>
                      <a:t>44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9-EB6B-424B-A91D-8EDD3ED33CC4}"/>
                </c:ext>
              </c:extLst>
            </c:dLbl>
            <c:dLbl>
              <c:idx val="3"/>
              <c:tx>
                <c:rich>
                  <a:bodyPr/>
                  <a:lstStyle/>
                  <a:p>
                    <a:r>
                      <a:rPr lang="en-US"/>
                      <a:t>36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A-EB6B-424B-A91D-8EDD3ED33CC4}"/>
                </c:ext>
              </c:extLst>
            </c:dLbl>
            <c:dLbl>
              <c:idx val="4"/>
              <c:tx>
                <c:rich>
                  <a:bodyPr/>
                  <a:lstStyle/>
                  <a:p>
                    <a:r>
                      <a:rPr lang="en-US"/>
                      <a:t>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B-EB6B-424B-A91D-8EDD3ED33CC4}"/>
                </c:ext>
              </c:extLst>
            </c:dLbl>
            <c:dLbl>
              <c:idx val="5"/>
              <c:tx>
                <c:rich>
                  <a:bodyPr/>
                  <a:lstStyle/>
                  <a:p>
                    <a:r>
                      <a:rPr lang="en-US"/>
                      <a:t>37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C-EB6B-424B-A91D-8EDD3ED33CC4}"/>
                </c:ext>
              </c:extLst>
            </c:dLbl>
            <c:dLbl>
              <c:idx val="6"/>
              <c:tx>
                <c:rich>
                  <a:bodyPr/>
                  <a:lstStyle/>
                  <a:p>
                    <a:r>
                      <a:rPr lang="en-US"/>
                      <a:t>28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D-EB6B-424B-A91D-8EDD3ED33CC4}"/>
                </c:ext>
              </c:extLst>
            </c:dLbl>
            <c:dLbl>
              <c:idx val="7"/>
              <c:tx>
                <c:rich>
                  <a:bodyPr/>
                  <a:lstStyle/>
                  <a:p>
                    <a:r>
                      <a:rPr lang="en-US"/>
                      <a:t>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E-EB6B-424B-A91D-8EDD3ED33CC4}"/>
                </c:ext>
              </c:extLst>
            </c:dLbl>
            <c:dLbl>
              <c:idx val="8"/>
              <c:tx>
                <c:rich>
                  <a:bodyPr/>
                  <a:lstStyle/>
                  <a:p>
                    <a:r>
                      <a:rPr lang="en-US"/>
                      <a:t>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F-EB6B-424B-A91D-8EDD3ED33CC4}"/>
                </c:ext>
              </c:extLst>
            </c:dLbl>
            <c:dLbl>
              <c:idx val="9"/>
              <c:tx>
                <c:rich>
                  <a:bodyPr/>
                  <a:lstStyle/>
                  <a:p>
                    <a:r>
                      <a:rPr lang="en-US"/>
                      <a:t>22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0-EB6B-424B-A91D-8EDD3ED33CC4}"/>
                </c:ext>
              </c:extLst>
            </c:dLbl>
            <c:dLbl>
              <c:idx val="10"/>
              <c:tx>
                <c:rich>
                  <a:bodyPr/>
                  <a:lstStyle/>
                  <a:p>
                    <a:r>
                      <a:rPr lang="en-US"/>
                      <a:t>29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1-EB6B-424B-A91D-8EDD3ED33CC4}"/>
                </c:ext>
              </c:extLst>
            </c:dLbl>
            <c:dLbl>
              <c:idx val="11"/>
              <c:tx>
                <c:rich>
                  <a:bodyPr/>
                  <a:lstStyle/>
                  <a:p>
                    <a:r>
                      <a:rPr lang="en-US"/>
                      <a:t>30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2-EB6B-424B-A91D-8EDD3ED33CC4}"/>
                </c:ext>
              </c:extLst>
            </c:dLbl>
            <c:dLbl>
              <c:idx val="12"/>
              <c:tx>
                <c:rich>
                  <a:bodyPr/>
                  <a:lstStyle/>
                  <a:p>
                    <a:r>
                      <a:rPr lang="en-US"/>
                      <a:t>31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3-EB6B-424B-A91D-8EDD3ED33CC4}"/>
                </c:ext>
              </c:extLst>
            </c:dLbl>
            <c:dLbl>
              <c:idx val="13"/>
              <c:tx>
                <c:rich>
                  <a:bodyPr/>
                  <a:lstStyle/>
                  <a:p>
                    <a:r>
                      <a:rPr lang="en-US"/>
                      <a:t>14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4-EB6B-424B-A91D-8EDD3ED33CC4}"/>
                </c:ext>
              </c:extLst>
            </c:dLbl>
            <c:dLbl>
              <c:idx val="14"/>
              <c:tx>
                <c:rich>
                  <a:bodyPr/>
                  <a:lstStyle/>
                  <a:p>
                    <a:r>
                      <a:rPr lang="en-US"/>
                      <a:t>15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5-EB6B-424B-A91D-8EDD3ED33CC4}"/>
                </c:ext>
              </c:extLst>
            </c:dLbl>
            <c:dLbl>
              <c:idx val="15"/>
              <c:tx>
                <c:rich>
                  <a:bodyPr/>
                  <a:lstStyle/>
                  <a:p>
                    <a:r>
                      <a:rPr lang="en-US"/>
                      <a:t>32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6-EB6B-424B-A91D-8EDD3ED33CC4}"/>
                </c:ext>
              </c:extLst>
            </c:dLbl>
            <c:dLbl>
              <c:idx val="16"/>
              <c:tx>
                <c:rich>
                  <a:bodyPr/>
                  <a:lstStyle/>
                  <a:p>
                    <a:r>
                      <a:rPr lang="en-US"/>
                      <a:t>18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7-EB6B-424B-A91D-8EDD3ED33CC4}"/>
                </c:ext>
              </c:extLst>
            </c:dLbl>
            <c:dLbl>
              <c:idx val="17"/>
              <c:tx>
                <c:rich>
                  <a:bodyPr/>
                  <a:lstStyle/>
                  <a:p>
                    <a:r>
                      <a:rPr lang="en-US"/>
                      <a:t>19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8-EB6B-424B-A91D-8EDD3ED33CC4}"/>
                </c:ext>
              </c:extLst>
            </c:dLbl>
            <c:dLbl>
              <c:idx val="18"/>
              <c:tx>
                <c:rich>
                  <a:bodyPr/>
                  <a:lstStyle/>
                  <a:p>
                    <a:r>
                      <a:rPr lang="en-US"/>
                      <a:t>23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9-EB6B-424B-A91D-8EDD3ED33CC4}"/>
                </c:ext>
              </c:extLst>
            </c:dLbl>
            <c:dLbl>
              <c:idx val="19"/>
              <c:tx>
                <c:rich>
                  <a:bodyPr/>
                  <a:lstStyle/>
                  <a:p>
                    <a:r>
                      <a:rPr lang="en-US"/>
                      <a:t>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A-EB6B-424B-A91D-8EDD3ED33CC4}"/>
                </c:ext>
              </c:extLst>
            </c:dLbl>
            <c:dLbl>
              <c:idx val="20"/>
              <c:tx>
                <c:rich>
                  <a:bodyPr/>
                  <a:lstStyle/>
                  <a:p>
                    <a:r>
                      <a:rPr lang="en-US"/>
                      <a:t>45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B-EB6B-424B-A91D-8EDD3ED33CC4}"/>
                </c:ext>
              </c:extLst>
            </c:dLbl>
            <c:dLbl>
              <c:idx val="21"/>
              <c:tx>
                <c:rich>
                  <a:bodyPr/>
                  <a:lstStyle/>
                  <a:p>
                    <a:r>
                      <a:rPr lang="en-US"/>
                      <a:t>20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C-EB6B-424B-A91D-8EDD3ED33CC4}"/>
                </c:ext>
              </c:extLst>
            </c:dLbl>
            <c:dLbl>
              <c:idx val="22"/>
              <c:tx>
                <c:rich>
                  <a:bodyPr/>
                  <a:lstStyle/>
                  <a:p>
                    <a:r>
                      <a:rPr lang="en-US"/>
                      <a:t>38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D-EB6B-424B-A91D-8EDD3ED33CC4}"/>
                </c:ext>
              </c:extLst>
            </c:dLbl>
            <c:dLbl>
              <c:idx val="23"/>
              <c:tx>
                <c:rich>
                  <a:bodyPr/>
                  <a:lstStyle/>
                  <a:p>
                    <a:r>
                      <a:rPr lang="en-US"/>
                      <a:t>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E-EB6B-424B-A91D-8EDD3ED33CC4}"/>
                </c:ext>
              </c:extLst>
            </c:dLbl>
            <c:dLbl>
              <c:idx val="24"/>
              <c:tx>
                <c:rich>
                  <a:bodyPr/>
                  <a:lstStyle/>
                  <a:p>
                    <a:r>
                      <a:rPr lang="en-US"/>
                      <a:t>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F-EB6B-424B-A91D-8EDD3ED33CC4}"/>
                </c:ext>
              </c:extLst>
            </c:dLbl>
            <c:dLbl>
              <c:idx val="25"/>
              <c:tx>
                <c:rich>
                  <a:bodyPr/>
                  <a:lstStyle/>
                  <a:p>
                    <a:r>
                      <a:rPr lang="en-US"/>
                      <a:t>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0-EB6B-424B-A91D-8EDD3ED33CC4}"/>
                </c:ext>
              </c:extLst>
            </c:dLbl>
            <c:dLbl>
              <c:idx val="26"/>
              <c:tx>
                <c:rich>
                  <a:bodyPr/>
                  <a:lstStyle/>
                  <a:p>
                    <a:r>
                      <a:rPr lang="en-US"/>
                      <a:t>24</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1-EB6B-424B-A91D-8EDD3ED33CC4}"/>
                </c:ext>
              </c:extLst>
            </c:dLbl>
            <c:dLbl>
              <c:idx val="27"/>
              <c:tx>
                <c:rich>
                  <a:bodyPr/>
                  <a:lstStyle/>
                  <a:p>
                    <a:r>
                      <a:rPr lang="en-US"/>
                      <a:t>39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2-EB6B-424B-A91D-8EDD3ED33CC4}"/>
                </c:ext>
              </c:extLst>
            </c:dLbl>
            <c:dLbl>
              <c:idx val="28"/>
              <c:tx>
                <c:rich>
                  <a:bodyPr/>
                  <a:lstStyle/>
                  <a:p>
                    <a:r>
                      <a:rPr lang="en-US"/>
                      <a:t>25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3-EB6B-424B-A91D-8EDD3ED33CC4}"/>
                </c:ext>
              </c:extLst>
            </c:dLbl>
            <c:dLbl>
              <c:idx val="29"/>
              <c:tx>
                <c:rich>
                  <a:bodyPr/>
                  <a:lstStyle/>
                  <a:p>
                    <a:r>
                      <a:rPr lang="en-US"/>
                      <a:t>40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4-EB6B-424B-A91D-8EDD3ED33CC4}"/>
                </c:ext>
              </c:extLst>
            </c:dLbl>
            <c:dLbl>
              <c:idx val="30"/>
              <c:tx>
                <c:rich>
                  <a:bodyPr/>
                  <a:lstStyle/>
                  <a:p>
                    <a:r>
                      <a:rPr lang="en-US"/>
                      <a:t>26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5-EB6B-424B-A91D-8EDD3ED33CC4}"/>
                </c:ext>
              </c:extLst>
            </c:dLbl>
            <c:dLbl>
              <c:idx val="31"/>
              <c:tx>
                <c:rich>
                  <a:bodyPr/>
                  <a:lstStyle/>
                  <a:p>
                    <a:r>
                      <a:rPr lang="en-US"/>
                      <a:t>16</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6-EB6B-424B-A91D-8EDD3ED33CC4}"/>
                </c:ext>
              </c:extLst>
            </c:dLbl>
            <c:dLbl>
              <c:idx val="32"/>
              <c:tx>
                <c:rich>
                  <a:bodyPr/>
                  <a:lstStyle/>
                  <a:p>
                    <a:r>
                      <a:rPr lang="en-US"/>
                      <a:t>10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EB6B-424B-A91D-8EDD3ED33CC4}"/>
                </c:ext>
              </c:extLst>
            </c:dLbl>
            <c:dLbl>
              <c:idx val="33"/>
              <c:tx>
                <c:rich>
                  <a:bodyPr/>
                  <a:lstStyle/>
                  <a:p>
                    <a:r>
                      <a:rPr lang="en-US"/>
                      <a:t>11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8-EB6B-424B-A91D-8EDD3ED33CC4}"/>
                </c:ext>
              </c:extLst>
            </c:dLbl>
            <c:dLbl>
              <c:idx val="34"/>
              <c:tx>
                <c:rich>
                  <a:bodyPr/>
                  <a:lstStyle/>
                  <a:p>
                    <a:r>
                      <a:rPr lang="en-US"/>
                      <a:t>41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9-EB6B-424B-A91D-8EDD3ED33CC4}"/>
                </c:ext>
              </c:extLst>
            </c:dLbl>
            <c:dLbl>
              <c:idx val="35"/>
              <c:tx>
                <c:rich>
                  <a:bodyPr/>
                  <a:lstStyle/>
                  <a:p>
                    <a:r>
                      <a:rPr lang="en-US"/>
                      <a:t>42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A-EB6B-424B-A91D-8EDD3ED33CC4}"/>
                </c:ext>
              </c:extLst>
            </c:dLbl>
            <c:dLbl>
              <c:idx val="36"/>
              <c:tx>
                <c:rich>
                  <a:bodyPr/>
                  <a:lstStyle/>
                  <a:p>
                    <a:r>
                      <a:rPr lang="en-US"/>
                      <a:t>33</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B-EB6B-424B-A91D-8EDD3ED33CC4}"/>
                </c:ext>
              </c:extLst>
            </c:dLbl>
            <c:dLbl>
              <c:idx val="3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C-EB6B-424B-A91D-8EDD3ED33CC4}"/>
                </c:ext>
              </c:extLst>
            </c:dLbl>
            <c:dLbl>
              <c:idx val="3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D-EB6B-424B-A91D-8EDD3ED33CC4}"/>
                </c:ext>
              </c:extLst>
            </c:dLbl>
            <c:dLbl>
              <c:idx val="3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E-EB6B-424B-A91D-8EDD3ED33CC4}"/>
                </c:ext>
              </c:extLst>
            </c:dLbl>
            <c:dLbl>
              <c:idx val="4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F-EB6B-424B-A91D-8EDD3ED33CC4}"/>
                </c:ext>
              </c:extLst>
            </c:dLbl>
            <c:dLbl>
              <c:idx val="4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0-EB6B-424B-A91D-8EDD3ED33CC4}"/>
                </c:ext>
              </c:extLst>
            </c:dLbl>
            <c:dLbl>
              <c:idx val="4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1-EB6B-424B-A91D-8EDD3ED33CC4}"/>
                </c:ext>
              </c:extLst>
            </c:dLbl>
            <c:dLbl>
              <c:idx val="4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2-EB6B-424B-A91D-8EDD3ED33CC4}"/>
                </c:ext>
              </c:extLst>
            </c:dLbl>
            <c:dLbl>
              <c:idx val="4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3-EB6B-424B-A91D-8EDD3ED33CC4}"/>
                </c:ext>
              </c:extLst>
            </c:dLbl>
            <c:dLbl>
              <c:idx val="4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4-EB6B-424B-A91D-8EDD3ED33CC4}"/>
                </c:ext>
              </c:extLst>
            </c:dLbl>
            <c:dLbl>
              <c:idx val="4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5-EB6B-424B-A91D-8EDD3ED33CC4}"/>
                </c:ext>
              </c:extLst>
            </c:dLbl>
            <c:dLbl>
              <c:idx val="4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6-EB6B-424B-A91D-8EDD3ED33CC4}"/>
                </c:ext>
              </c:extLst>
            </c:dLbl>
            <c:dLbl>
              <c:idx val="4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7-EB6B-424B-A91D-8EDD3ED33CC4}"/>
                </c:ext>
              </c:extLst>
            </c:dLbl>
            <c:dLbl>
              <c:idx val="4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8-EB6B-424B-A91D-8EDD3ED33CC4}"/>
                </c:ext>
              </c:extLst>
            </c:dLbl>
            <c:dLbl>
              <c:idx val="5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9-EB6B-424B-A91D-8EDD3ED33CC4}"/>
                </c:ext>
              </c:extLst>
            </c:dLbl>
            <c:dLbl>
              <c:idx val="5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A-EB6B-424B-A91D-8EDD3ED33CC4}"/>
                </c:ext>
              </c:extLst>
            </c:dLbl>
            <c:dLbl>
              <c:idx val="5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B-EB6B-424B-A91D-8EDD3ED33CC4}"/>
                </c:ext>
              </c:extLst>
            </c:dLbl>
            <c:dLbl>
              <c:idx val="5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C-EB6B-424B-A91D-8EDD3ED33CC4}"/>
                </c:ext>
              </c:extLst>
            </c:dLbl>
            <c:dLbl>
              <c:idx val="5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D-EB6B-424B-A91D-8EDD3ED33CC4}"/>
                </c:ext>
              </c:extLst>
            </c:dLbl>
            <c:dLbl>
              <c:idx val="5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E-EB6B-424B-A91D-8EDD3ED33CC4}"/>
                </c:ext>
              </c:extLst>
            </c:dLbl>
            <c:dLbl>
              <c:idx val="5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DF-EB6B-424B-A91D-8EDD3ED33CC4}"/>
                </c:ext>
              </c:extLst>
            </c:dLbl>
            <c:dLbl>
              <c:idx val="5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0-EB6B-424B-A91D-8EDD3ED33CC4}"/>
                </c:ext>
              </c:extLst>
            </c:dLbl>
            <c:dLbl>
              <c:idx val="5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1-EB6B-424B-A91D-8EDD3ED33CC4}"/>
                </c:ext>
              </c:extLst>
            </c:dLbl>
            <c:dLbl>
              <c:idx val="5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2-EB6B-424B-A91D-8EDD3ED33CC4}"/>
                </c:ext>
              </c:extLst>
            </c:dLbl>
            <c:dLbl>
              <c:idx val="6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3-EB6B-424B-A91D-8EDD3ED33CC4}"/>
                </c:ext>
              </c:extLst>
            </c:dLbl>
            <c:dLbl>
              <c:idx val="6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4-EB6B-424B-A91D-8EDD3ED33CC4}"/>
                </c:ext>
              </c:extLst>
            </c:dLbl>
            <c:dLbl>
              <c:idx val="6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5-EB6B-424B-A91D-8EDD3ED33CC4}"/>
                </c:ext>
              </c:extLst>
            </c:dLbl>
            <c:dLbl>
              <c:idx val="6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6-EB6B-424B-A91D-8EDD3ED33CC4}"/>
                </c:ext>
              </c:extLst>
            </c:dLbl>
            <c:dLbl>
              <c:idx val="6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7-EB6B-424B-A91D-8EDD3ED33CC4}"/>
                </c:ext>
              </c:extLst>
            </c:dLbl>
            <c:dLbl>
              <c:idx val="6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8-EB6B-424B-A91D-8EDD3ED33CC4}"/>
                </c:ext>
              </c:extLst>
            </c:dLbl>
            <c:dLbl>
              <c:idx val="6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9-EB6B-424B-A91D-8EDD3ED33CC4}"/>
                </c:ext>
              </c:extLst>
            </c:dLbl>
            <c:dLbl>
              <c:idx val="6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A-EB6B-424B-A91D-8EDD3ED33CC4}"/>
                </c:ext>
              </c:extLst>
            </c:dLbl>
            <c:dLbl>
              <c:idx val="6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B-EB6B-424B-A91D-8EDD3ED33CC4}"/>
                </c:ext>
              </c:extLst>
            </c:dLbl>
            <c:dLbl>
              <c:idx val="6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C-EB6B-424B-A91D-8EDD3ED33CC4}"/>
                </c:ext>
              </c:extLst>
            </c:dLbl>
            <c:dLbl>
              <c:idx val="7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D-EB6B-424B-A91D-8EDD3ED33CC4}"/>
                </c:ext>
              </c:extLst>
            </c:dLbl>
            <c:dLbl>
              <c:idx val="7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E-EB6B-424B-A91D-8EDD3ED33CC4}"/>
                </c:ext>
              </c:extLst>
            </c:dLbl>
            <c:dLbl>
              <c:idx val="7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EF-EB6B-424B-A91D-8EDD3ED33CC4}"/>
                </c:ext>
              </c:extLst>
            </c:dLbl>
            <c:dLbl>
              <c:idx val="7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0-EB6B-424B-A91D-8EDD3ED33CC4}"/>
                </c:ext>
              </c:extLst>
            </c:dLbl>
            <c:dLbl>
              <c:idx val="7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1-EB6B-424B-A91D-8EDD3ED33CC4}"/>
                </c:ext>
              </c:extLst>
            </c:dLbl>
            <c:dLbl>
              <c:idx val="7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2-EB6B-424B-A91D-8EDD3ED33CC4}"/>
                </c:ext>
              </c:extLst>
            </c:dLbl>
            <c:dLbl>
              <c:idx val="7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3-EB6B-424B-A91D-8EDD3ED33CC4}"/>
                </c:ext>
              </c:extLst>
            </c:dLbl>
            <c:dLbl>
              <c:idx val="7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4-EB6B-424B-A91D-8EDD3ED33CC4}"/>
                </c:ext>
              </c:extLst>
            </c:dLbl>
            <c:dLbl>
              <c:idx val="7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5-EB6B-424B-A91D-8EDD3ED33CC4}"/>
                </c:ext>
              </c:extLst>
            </c:dLbl>
            <c:dLbl>
              <c:idx val="7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6-EB6B-424B-A91D-8EDD3ED33CC4}"/>
                </c:ext>
              </c:extLst>
            </c:dLbl>
            <c:dLbl>
              <c:idx val="8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7-EB6B-424B-A91D-8EDD3ED33CC4}"/>
                </c:ext>
              </c:extLst>
            </c:dLbl>
            <c:dLbl>
              <c:idx val="8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8-EB6B-424B-A91D-8EDD3ED33CC4}"/>
                </c:ext>
              </c:extLst>
            </c:dLbl>
            <c:dLbl>
              <c:idx val="8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9-EB6B-424B-A91D-8EDD3ED33CC4}"/>
                </c:ext>
              </c:extLst>
            </c:dLbl>
            <c:dLbl>
              <c:idx val="8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A-EB6B-424B-A91D-8EDD3ED33CC4}"/>
                </c:ext>
              </c:extLst>
            </c:dLbl>
            <c:dLbl>
              <c:idx val="8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B-EB6B-424B-A91D-8EDD3ED33CC4}"/>
                </c:ext>
              </c:extLst>
            </c:dLbl>
            <c:dLbl>
              <c:idx val="8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C-EB6B-424B-A91D-8EDD3ED33CC4}"/>
                </c:ext>
              </c:extLst>
            </c:dLbl>
            <c:dLbl>
              <c:idx val="8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D-EB6B-424B-A91D-8EDD3ED33CC4}"/>
                </c:ext>
              </c:extLst>
            </c:dLbl>
            <c:dLbl>
              <c:idx val="8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E-EB6B-424B-A91D-8EDD3ED33CC4}"/>
                </c:ext>
              </c:extLst>
            </c:dLbl>
            <c:dLbl>
              <c:idx val="8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FF-EB6B-424B-A91D-8EDD3ED33CC4}"/>
                </c:ext>
              </c:extLst>
            </c:dLbl>
            <c:dLbl>
              <c:idx val="8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0-EB6B-424B-A91D-8EDD3ED33CC4}"/>
                </c:ext>
              </c:extLst>
            </c:dLbl>
            <c:dLbl>
              <c:idx val="9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1-EB6B-424B-A91D-8EDD3ED33CC4}"/>
                </c:ext>
              </c:extLst>
            </c:dLbl>
            <c:dLbl>
              <c:idx val="91"/>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2-EB6B-424B-A91D-8EDD3ED33CC4}"/>
                </c:ext>
              </c:extLst>
            </c:dLbl>
            <c:dLbl>
              <c:idx val="92"/>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3-EB6B-424B-A91D-8EDD3ED33CC4}"/>
                </c:ext>
              </c:extLst>
            </c:dLbl>
            <c:dLbl>
              <c:idx val="93"/>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4-EB6B-424B-A91D-8EDD3ED33CC4}"/>
                </c:ext>
              </c:extLst>
            </c:dLbl>
            <c:dLbl>
              <c:idx val="94"/>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5-EB6B-424B-A91D-8EDD3ED33CC4}"/>
                </c:ext>
              </c:extLst>
            </c:dLbl>
            <c:dLbl>
              <c:idx val="95"/>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6-EB6B-424B-A91D-8EDD3ED33CC4}"/>
                </c:ext>
              </c:extLst>
            </c:dLbl>
            <c:dLbl>
              <c:idx val="96"/>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7-EB6B-424B-A91D-8EDD3ED33CC4}"/>
                </c:ext>
              </c:extLst>
            </c:dLbl>
            <c:dLbl>
              <c:idx val="97"/>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8-EB6B-424B-A91D-8EDD3ED33CC4}"/>
                </c:ext>
              </c:extLst>
            </c:dLbl>
            <c:dLbl>
              <c:idx val="98"/>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9-EB6B-424B-A91D-8EDD3ED33CC4}"/>
                </c:ext>
              </c:extLst>
            </c:dLbl>
            <c:dLbl>
              <c:idx val="99"/>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A-EB6B-424B-A91D-8EDD3ED33CC4}"/>
                </c:ext>
              </c:extLst>
            </c:dLbl>
            <c:dLbl>
              <c:idx val="100"/>
              <c:tx>
                <c:rich>
                  <a:bodyPr/>
                  <a:lstStyle/>
                  <a:p>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10B-EB6B-424B-A91D-8EDD3ED33CC4}"/>
                </c:ext>
              </c:extLst>
            </c:dLbl>
            <c:spPr>
              <a:noFill/>
              <a:ln>
                <a:noFill/>
              </a:ln>
              <a:effectLst/>
            </c:spPr>
            <c:txPr>
              <a:bodyPr/>
              <a:lstStyle/>
              <a:p>
                <a:pPr>
                  <a:defRPr sz="700"/>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ext>
            </c:extLst>
          </c:dLbls>
          <c:xVal>
            <c:numRef>
              <c:f>RB_STDEV!$K$3:$K$103</c:f>
              <c:numCache>
                <c:formatCode>General</c:formatCode>
                <c:ptCount val="101"/>
                <c:pt idx="0">
                  <c:v>0.57713167145819322</c:v>
                </c:pt>
                <c:pt idx="1">
                  <c:v>0.67609513124563136</c:v>
                </c:pt>
                <c:pt idx="2">
                  <c:v>0.31635737610865766</c:v>
                </c:pt>
                <c:pt idx="3">
                  <c:v>0.4362011259307278</c:v>
                </c:pt>
                <c:pt idx="4">
                  <c:v>0.14432683517284745</c:v>
                </c:pt>
                <c:pt idx="5">
                  <c:v>0.81853224784519762</c:v>
                </c:pt>
                <c:pt idx="6">
                  <c:v>0.412639379582385</c:v>
                </c:pt>
                <c:pt idx="7">
                  <c:v>0.27266888490959423</c:v>
                </c:pt>
                <c:pt idx="8">
                  <c:v>0.18108481106104202</c:v>
                </c:pt>
                <c:pt idx="9">
                  <c:v>0.26451556101518625</c:v>
                </c:pt>
                <c:pt idx="10">
                  <c:v>1.3654622025908845</c:v>
                </c:pt>
                <c:pt idx="11">
                  <c:v>0.44421708388188796</c:v>
                </c:pt>
                <c:pt idx="12">
                  <c:v>0.20032400543548382</c:v>
                </c:pt>
                <c:pt idx="13">
                  <c:v>1.4867381671547932</c:v>
                </c:pt>
                <c:pt idx="14">
                  <c:v>0.58178341591435923</c:v>
                </c:pt>
                <c:pt idx="15">
                  <c:v>0.33876464644349297</c:v>
                </c:pt>
                <c:pt idx="16">
                  <c:v>0.42812486491735985</c:v>
                </c:pt>
                <c:pt idx="17">
                  <c:v>0.46708449874468694</c:v>
                </c:pt>
                <c:pt idx="18">
                  <c:v>1.6418692303993967</c:v>
                </c:pt>
                <c:pt idx="19">
                  <c:v>0.8126941781353062</c:v>
                </c:pt>
                <c:pt idx="20">
                  <c:v>0.99005965054976119</c:v>
                </c:pt>
                <c:pt idx="21">
                  <c:v>0.26479885536830983</c:v>
                </c:pt>
                <c:pt idx="22">
                  <c:v>0.26970978132508283</c:v>
                </c:pt>
                <c:pt idx="23">
                  <c:v>0.65353361493851447</c:v>
                </c:pt>
                <c:pt idx="24">
                  <c:v>-0.13901257234755304</c:v>
                </c:pt>
                <c:pt idx="25">
                  <c:v>1.7618599311303809</c:v>
                </c:pt>
                <c:pt idx="26">
                  <c:v>1.1640465976439374</c:v>
                </c:pt>
                <c:pt idx="27">
                  <c:v>0.52597055535524118</c:v>
                </c:pt>
                <c:pt idx="28">
                  <c:v>1.3853513642716708</c:v>
                </c:pt>
                <c:pt idx="29">
                  <c:v>8.222469910602935E-2</c:v>
                </c:pt>
                <c:pt idx="30">
                  <c:v>1.2705789129085776</c:v>
                </c:pt>
                <c:pt idx="31">
                  <c:v>1.6052194414074674</c:v>
                </c:pt>
                <c:pt idx="32">
                  <c:v>0.83188046408107552</c:v>
                </c:pt>
                <c:pt idx="33">
                  <c:v>3.3037878077405223</c:v>
                </c:pt>
                <c:pt idx="34">
                  <c:v>0.40116845431613923</c:v>
                </c:pt>
                <c:pt idx="35">
                  <c:v>0.80542119820128499</c:v>
                </c:pt>
                <c:pt idx="36">
                  <c:v>1.5436233081717392</c:v>
                </c:pt>
              </c:numCache>
            </c:numRef>
          </c:xVal>
          <c:yVal>
            <c:numRef>
              <c:f>RB_STDEV!$L$3:$L$103</c:f>
              <c:numCache>
                <c:formatCode>General</c:formatCode>
                <c:ptCount val="101"/>
                <c:pt idx="0">
                  <c:v>0.72061164801384947</c:v>
                </c:pt>
                <c:pt idx="1">
                  <c:v>0.84417828865653699</c:v>
                </c:pt>
                <c:pt idx="2">
                  <c:v>0.3950065841699622</c:v>
                </c:pt>
                <c:pt idx="3">
                  <c:v>0.54464453740382035</c:v>
                </c:pt>
                <c:pt idx="4">
                  <c:v>0.18020774753836005</c:v>
                </c:pt>
                <c:pt idx="5">
                  <c:v>1.0220265170717613</c:v>
                </c:pt>
                <c:pt idx="6">
                  <c:v>0.51522513502851297</c:v>
                </c:pt>
                <c:pt idx="7">
                  <c:v>0.34045675230463107</c:v>
                </c:pt>
                <c:pt idx="8">
                  <c:v>0.22610407742703864</c:v>
                </c:pt>
                <c:pt idx="9">
                  <c:v>0.33027644084556262</c:v>
                </c:pt>
                <c:pt idx="10">
                  <c:v>1.7049280376929319</c:v>
                </c:pt>
                <c:pt idx="11">
                  <c:v>0.55465333254583404</c:v>
                </c:pt>
                <c:pt idx="12">
                  <c:v>0.25012630363686372</c:v>
                </c:pt>
                <c:pt idx="13">
                  <c:v>1.8563542667682846</c:v>
                </c:pt>
                <c:pt idx="14">
                  <c:v>0.72641985678920451</c:v>
                </c:pt>
                <c:pt idx="15">
                  <c:v>0.42298449770688673</c:v>
                </c:pt>
                <c:pt idx="16">
                  <c:v>0.53456044733138808</c:v>
                </c:pt>
                <c:pt idx="17">
                  <c:v>0.5832057865611634</c:v>
                </c:pt>
                <c:pt idx="18">
                  <c:v>2.0500522678854076</c:v>
                </c:pt>
                <c:pt idx="19">
                  <c:v>1.0147370522183725</c:v>
                </c:pt>
                <c:pt idx="20">
                  <c:v>1.2361971309113411</c:v>
                </c:pt>
                <c:pt idx="21">
                  <c:v>0.33063016465033274</c:v>
                </c:pt>
                <c:pt idx="22">
                  <c:v>0.3367619897121033</c:v>
                </c:pt>
                <c:pt idx="23">
                  <c:v>0.81600778225079906</c:v>
                </c:pt>
                <c:pt idx="24">
                  <c:v>-0.17357231253816427</c:v>
                </c:pt>
                <c:pt idx="25">
                  <c:v>2.1998737053081894</c:v>
                </c:pt>
                <c:pt idx="26">
                  <c:v>1.453438753367525</c:v>
                </c:pt>
                <c:pt idx="27">
                  <c:v>0.65673143139704249</c:v>
                </c:pt>
                <c:pt idx="28">
                  <c:v>1.7297618187609192</c:v>
                </c:pt>
                <c:pt idx="29">
                  <c:v>0.1026664777909901</c:v>
                </c:pt>
                <c:pt idx="30">
                  <c:v>1.5864559330964136</c:v>
                </c:pt>
                <c:pt idx="31">
                  <c:v>2.0042910211007623</c:v>
                </c:pt>
                <c:pt idx="32">
                  <c:v>1.0386932165018572</c:v>
                </c:pt>
                <c:pt idx="33">
                  <c:v>4.1251383255552092</c:v>
                </c:pt>
                <c:pt idx="34">
                  <c:v>0.5009024375070471</c:v>
                </c:pt>
                <c:pt idx="35">
                  <c:v>1.0056559459207628</c:v>
                </c:pt>
                <c:pt idx="36">
                  <c:v>1.9273815509097507</c:v>
                </c:pt>
              </c:numCache>
            </c:numRef>
          </c:yVal>
          <c:smooth val="0"/>
          <c:extLst>
            <c:ext xmlns:c16="http://schemas.microsoft.com/office/drawing/2014/chart" uri="{C3380CC4-5D6E-409C-BE32-E72D297353CC}">
              <c16:uniqueId val="{0000010C-EB6B-424B-A91D-8EDD3ED33CC4}"/>
            </c:ext>
          </c:extLst>
        </c:ser>
        <c:dLbls>
          <c:showLegendKey val="0"/>
          <c:showVal val="0"/>
          <c:showCatName val="0"/>
          <c:showSerName val="0"/>
          <c:showPercent val="0"/>
          <c:showBubbleSize val="0"/>
        </c:dLbls>
        <c:axId val="221260800"/>
        <c:axId val="222499968"/>
      </c:scatterChart>
      <c:valAx>
        <c:axId val="221260800"/>
        <c:scaling>
          <c:orientation val="minMax"/>
        </c:scaling>
        <c:delete val="0"/>
        <c:axPos val="b"/>
        <c:majorGridlines>
          <c:spPr>
            <a:ln>
              <a:solidFill>
                <a:schemeClr val="bg1">
                  <a:lumMod val="85000"/>
                </a:schemeClr>
              </a:solidFill>
              <a:prstDash val="sysDash"/>
            </a:ln>
          </c:spPr>
        </c:majorGridlines>
        <c:title>
          <c:tx>
            <c:rich>
              <a:bodyPr/>
              <a:lstStyle/>
              <a:p>
                <a:pPr>
                  <a:defRPr/>
                </a:pPr>
                <a:r>
                  <a:rPr lang="en-US" sz="800" b="0" i="0" baseline="0">
                    <a:effectLst/>
                  </a:rPr>
                  <a:t>Marginal Contribution to Standard Deviation (bps)</a:t>
                </a:r>
                <a:endParaRPr lang="en-US" sz="800">
                  <a:effectLst/>
                </a:endParaRPr>
              </a:p>
            </c:rich>
          </c:tx>
          <c:overlay val="0"/>
        </c:title>
        <c:numFmt formatCode="0.00" sourceLinked="1"/>
        <c:majorTickMark val="out"/>
        <c:minorTickMark val="none"/>
        <c:tickLblPos val="low"/>
        <c:spPr>
          <a:ln>
            <a:noFill/>
          </a:ln>
        </c:spPr>
        <c:txPr>
          <a:bodyPr/>
          <a:lstStyle/>
          <a:p>
            <a:pPr>
              <a:defRPr sz="700"/>
            </a:pPr>
            <a:endParaRPr lang="en-US"/>
          </a:p>
        </c:txPr>
        <c:crossAx val="222499968"/>
        <c:crosses val="autoZero"/>
        <c:crossBetween val="midCat"/>
      </c:valAx>
      <c:valAx>
        <c:axId val="222499968"/>
        <c:scaling>
          <c:orientation val="minMax"/>
        </c:scaling>
        <c:delete val="0"/>
        <c:axPos val="l"/>
        <c:majorGridlines>
          <c:spPr>
            <a:ln>
              <a:solidFill>
                <a:schemeClr val="bg1">
                  <a:lumMod val="85000"/>
                </a:schemeClr>
              </a:solidFill>
              <a:prstDash val="sysDash"/>
            </a:ln>
          </c:spPr>
        </c:majorGridlines>
        <c:title>
          <c:tx>
            <c:rich>
              <a:bodyPr rot="-5400000" vert="horz"/>
              <a:lstStyle/>
              <a:p>
                <a:pPr>
                  <a:defRPr sz="800"/>
                </a:pPr>
                <a:r>
                  <a:rPr lang="en-US" sz="800" b="0" i="0" baseline="0">
                    <a:effectLst/>
                  </a:rPr>
                  <a:t>Return (%)</a:t>
                </a:r>
                <a:endParaRPr lang="en-US" sz="800">
                  <a:effectLst/>
                </a:endParaRPr>
              </a:p>
            </c:rich>
          </c:tx>
          <c:overlay val="0"/>
        </c:title>
        <c:numFmt formatCode="0.00" sourceLinked="1"/>
        <c:majorTickMark val="out"/>
        <c:minorTickMark val="none"/>
        <c:tickLblPos val="low"/>
        <c:spPr>
          <a:ln>
            <a:noFill/>
          </a:ln>
        </c:spPr>
        <c:txPr>
          <a:bodyPr/>
          <a:lstStyle/>
          <a:p>
            <a:pPr>
              <a:defRPr sz="700"/>
            </a:pPr>
            <a:endParaRPr lang="en-US"/>
          </a:p>
        </c:txPr>
        <c:crossAx val="221260800"/>
        <c:crosses val="autoZero"/>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462057063298775"/>
          <c:y val="0.13876313166678225"/>
          <c:w val="0.48993258885290575"/>
          <c:h val="0.61979329471464961"/>
        </c:manualLayout>
      </c:layout>
      <c:barChart>
        <c:barDir val="bar"/>
        <c:grouping val="clustered"/>
        <c:varyColors val="0"/>
        <c:ser>
          <c:idx val="0"/>
          <c:order val="0"/>
          <c:tx>
            <c:strRef>
              <c:f>'FACTOR CONTRIBUTION'!$AB$9</c:f>
              <c:strCache>
                <c:ptCount val="1"/>
                <c:pt idx="0">
                  <c:v>Factor PC to StDev (%) •</c:v>
                </c:pt>
              </c:strCache>
            </c:strRef>
          </c:tx>
          <c:spPr>
            <a:ln w="25400">
              <a:noFill/>
            </a:ln>
          </c:spPr>
          <c:invertIfNegative val="0"/>
          <c:cat>
            <c:strRef>
              <c:f>'FACTOR CONTRIBUTION'!$S$12:$S$20</c:f>
              <c:strCache>
                <c:ptCount val="6"/>
                <c:pt idx="0">
                  <c:v>Commodity Risk</c:v>
                </c:pt>
                <c:pt idx="1">
                  <c:v>Equity Risk</c:v>
                </c:pt>
                <c:pt idx="2">
                  <c:v>FX Risk</c:v>
                </c:pt>
                <c:pt idx="3">
                  <c:v>Fixed Income Risk</c:v>
                </c:pt>
                <c:pt idx="4">
                  <c:v>Interest Rate Risk</c:v>
                </c:pt>
                <c:pt idx="5">
                  <c:v>Volatility Risk</c:v>
                </c:pt>
              </c:strCache>
            </c:strRef>
          </c:cat>
          <c:val>
            <c:numRef>
              <c:f>'FACTOR CONTRIBUTION'!$AB$12:$AB$20</c:f>
              <c:numCache>
                <c:formatCode>0.00</c:formatCode>
                <c:ptCount val="9"/>
                <c:pt idx="0">
                  <c:v>-4.0265997179469526</c:v>
                </c:pt>
                <c:pt idx="1">
                  <c:v>7.7657969103866415</c:v>
                </c:pt>
                <c:pt idx="2">
                  <c:v>-0.20667011720828174</c:v>
                </c:pt>
                <c:pt idx="3">
                  <c:v>42.751741708071606</c:v>
                </c:pt>
                <c:pt idx="4">
                  <c:v>6.1423329015140408E-2</c:v>
                </c:pt>
                <c:pt idx="5">
                  <c:v>0.80402132668019843</c:v>
                </c:pt>
              </c:numCache>
            </c:numRef>
          </c:val>
          <c:extLst>
            <c:ext xmlns:c16="http://schemas.microsoft.com/office/drawing/2014/chart" uri="{C3380CC4-5D6E-409C-BE32-E72D297353CC}">
              <c16:uniqueId val="{00000000-46D2-45A9-A822-3429724E5D01}"/>
            </c:ext>
          </c:extLst>
        </c:ser>
        <c:ser>
          <c:idx val="1"/>
          <c:order val="1"/>
          <c:tx>
            <c:strRef>
              <c:f>'FACTOR CONTRIBUTION'!$AD$9:$AE$9</c:f>
              <c:strCache>
                <c:ptCount val="1"/>
                <c:pt idx="0">
                  <c:v>Factor PC to ETL (%) •</c:v>
                </c:pt>
              </c:strCache>
            </c:strRef>
          </c:tx>
          <c:spPr>
            <a:solidFill>
              <a:schemeClr val="accent2">
                <a:alpha val="83000"/>
              </a:schemeClr>
            </a:solidFill>
            <a:ln w="25400">
              <a:noFill/>
            </a:ln>
          </c:spPr>
          <c:invertIfNegative val="0"/>
          <c:val>
            <c:numRef>
              <c:f>'FACTOR CONTRIBUTION'!$AD$12:$AD$20</c:f>
              <c:numCache>
                <c:formatCode>0.00</c:formatCode>
                <c:ptCount val="9"/>
                <c:pt idx="0">
                  <c:v>-8.4279646036092117</c:v>
                </c:pt>
                <c:pt idx="1">
                  <c:v>19.07392139601864</c:v>
                </c:pt>
                <c:pt idx="2">
                  <c:v>-0.56591470172295144</c:v>
                </c:pt>
                <c:pt idx="3">
                  <c:v>103.89462333109371</c:v>
                </c:pt>
                <c:pt idx="4">
                  <c:v>0.12630520543112606</c:v>
                </c:pt>
                <c:pt idx="5">
                  <c:v>1.6721821148712281</c:v>
                </c:pt>
              </c:numCache>
            </c:numRef>
          </c:val>
          <c:extLst>
            <c:ext xmlns:c16="http://schemas.microsoft.com/office/drawing/2014/chart" uri="{C3380CC4-5D6E-409C-BE32-E72D297353CC}">
              <c16:uniqueId val="{00000001-46D2-45A9-A822-3429724E5D01}"/>
            </c:ext>
          </c:extLst>
        </c:ser>
        <c:dLbls>
          <c:showLegendKey val="0"/>
          <c:showVal val="0"/>
          <c:showCatName val="0"/>
          <c:showSerName val="0"/>
          <c:showPercent val="0"/>
          <c:showBubbleSize val="0"/>
        </c:dLbls>
        <c:gapWidth val="150"/>
        <c:axId val="224296320"/>
        <c:axId val="224310400"/>
      </c:barChart>
      <c:catAx>
        <c:axId val="224296320"/>
        <c:scaling>
          <c:orientation val="maxMin"/>
        </c:scaling>
        <c:delete val="0"/>
        <c:axPos val="l"/>
        <c:majorGridlines>
          <c:spPr>
            <a:ln w="6350">
              <a:noFill/>
            </a:ln>
          </c:spPr>
        </c:majorGridlines>
        <c:numFmt formatCode="#,##0" sourceLinked="0"/>
        <c:majorTickMark val="none"/>
        <c:minorTickMark val="none"/>
        <c:tickLblPos val="low"/>
        <c:spPr>
          <a:ln w="9525">
            <a:noFill/>
          </a:ln>
        </c:spPr>
        <c:txPr>
          <a:bodyPr/>
          <a:lstStyle/>
          <a:p>
            <a:pPr>
              <a:defRPr sz="900">
                <a:solidFill>
                  <a:schemeClr val="tx1">
                    <a:lumMod val="50000"/>
                    <a:lumOff val="50000"/>
                  </a:schemeClr>
                </a:solidFill>
              </a:defRPr>
            </a:pPr>
            <a:endParaRPr lang="en-US"/>
          </a:p>
        </c:txPr>
        <c:crossAx val="224310400"/>
        <c:crosses val="autoZero"/>
        <c:auto val="1"/>
        <c:lblAlgn val="ctr"/>
        <c:lblOffset val="100"/>
        <c:noMultiLvlLbl val="0"/>
      </c:catAx>
      <c:valAx>
        <c:axId val="224310400"/>
        <c:scaling>
          <c:orientation val="minMax"/>
        </c:scaling>
        <c:delete val="0"/>
        <c:axPos val="t"/>
        <c:majorGridlines>
          <c:spPr>
            <a:ln>
              <a:noFill/>
            </a:ln>
          </c:spPr>
        </c:majorGridlines>
        <c:minorGridlines>
          <c:spPr>
            <a:ln>
              <a:noFill/>
            </a:ln>
          </c:spPr>
        </c:minorGridlines>
        <c:numFmt formatCode="0.0" sourceLinked="0"/>
        <c:majorTickMark val="none"/>
        <c:minorTickMark val="none"/>
        <c:tickLblPos val="low"/>
        <c:spPr>
          <a:ln w="3175">
            <a:solidFill>
              <a:schemeClr val="bg1">
                <a:lumMod val="85000"/>
              </a:schemeClr>
            </a:solidFill>
          </a:ln>
        </c:spPr>
        <c:txPr>
          <a:bodyPr/>
          <a:lstStyle/>
          <a:p>
            <a:pPr>
              <a:defRPr sz="600" b="0">
                <a:solidFill>
                  <a:schemeClr val="tx1">
                    <a:lumMod val="50000"/>
                    <a:lumOff val="50000"/>
                  </a:schemeClr>
                </a:solidFill>
              </a:defRPr>
            </a:pPr>
            <a:endParaRPr lang="en-US"/>
          </a:p>
        </c:txPr>
        <c:crossAx val="224296320"/>
        <c:crosses val="autoZero"/>
        <c:crossBetween val="between"/>
      </c:valAx>
      <c:spPr>
        <a:noFill/>
      </c:spPr>
    </c:plotArea>
    <c:plotVisOnly val="1"/>
    <c:dispBlanksAs val="gap"/>
    <c:showDLblsOverMax val="0"/>
  </c:chart>
  <c:spPr>
    <a:noFill/>
    <a:ln>
      <a:noFill/>
    </a:ln>
    <a:effectLst>
      <a:outerShdw blurRad="50800" dist="50800" dir="5400000" algn="ctr" rotWithShape="0">
        <a:srgbClr val="000000">
          <a:alpha val="0"/>
        </a:srgbClr>
      </a:outerShdw>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928369053206098"/>
          <c:y val="5.0472962402878449E-2"/>
          <c:w val="0.47644359839635431"/>
          <c:h val="0.74310533743986473"/>
        </c:manualLayout>
      </c:layout>
      <c:barChart>
        <c:barDir val="bar"/>
        <c:grouping val="clustered"/>
        <c:varyColors val="0"/>
        <c:ser>
          <c:idx val="0"/>
          <c:order val="0"/>
          <c:tx>
            <c:strRef>
              <c:f>'FACTOR CONTRIBUTION'!$AB$9</c:f>
              <c:strCache>
                <c:ptCount val="1"/>
                <c:pt idx="0">
                  <c:v>Factor PC to StDev (%) •</c:v>
                </c:pt>
              </c:strCache>
            </c:strRef>
          </c:tx>
          <c:spPr>
            <a:ln w="25400">
              <a:noFill/>
            </a:ln>
          </c:spPr>
          <c:invertIfNegative val="0"/>
          <c:cat>
            <c:strRef>
              <c:f>FCTR_DATA!$A$1:$A$27</c:f>
              <c:strCache>
                <c:ptCount val="9"/>
                <c:pt idx="0">
                  <c:v>ML Global High Yield - AAA Spread USD</c:v>
                </c:pt>
                <c:pt idx="1">
                  <c:v>MSCI Small Minus Large World USD</c:v>
                </c:pt>
                <c:pt idx="2">
                  <c:v>MSCI The World USD</c:v>
                </c:pt>
                <c:pt idx="3">
                  <c:v>ML Global Govt Bond II USD</c:v>
                </c:pt>
                <c:pt idx="4">
                  <c:v>CBOE Volatility Index as Difference USD</c:v>
                </c:pt>
                <c:pt idx="5">
                  <c:v>US Treasury 10Yr - 2Yr Spread USD</c:v>
                </c:pt>
                <c:pt idx="6">
                  <c:v>MSCI Value Minus Growth World USD</c:v>
                </c:pt>
                <c:pt idx="7">
                  <c:v>Trade Weighted Exchange Index: Broad</c:v>
                </c:pt>
                <c:pt idx="8">
                  <c:v>S&amp;P GSCI Index</c:v>
                </c:pt>
              </c:strCache>
            </c:strRef>
          </c:cat>
          <c:val>
            <c:numRef>
              <c:f>FCTR_DATA!$B$1:$B$27</c:f>
              <c:numCache>
                <c:formatCode>General</c:formatCode>
                <c:ptCount val="27"/>
                <c:pt idx="0">
                  <c:v>40.77477289355182</c:v>
                </c:pt>
                <c:pt idx="1">
                  <c:v>4.6628847221463516</c:v>
                </c:pt>
                <c:pt idx="2">
                  <c:v>3.2915026597671102</c:v>
                </c:pt>
                <c:pt idx="3">
                  <c:v>1.9769688145197841</c:v>
                </c:pt>
                <c:pt idx="4">
                  <c:v>0.80402132668019843</c:v>
                </c:pt>
                <c:pt idx="5">
                  <c:v>6.1423329015140408E-2</c:v>
                </c:pt>
                <c:pt idx="6">
                  <c:v>-0.18859047152681971</c:v>
                </c:pt>
                <c:pt idx="7">
                  <c:v>-0.20667011720828174</c:v>
                </c:pt>
                <c:pt idx="8">
                  <c:v>-4.0265997179469526</c:v>
                </c:pt>
              </c:numCache>
            </c:numRef>
          </c:val>
          <c:extLst>
            <c:ext xmlns:c16="http://schemas.microsoft.com/office/drawing/2014/chart" uri="{C3380CC4-5D6E-409C-BE32-E72D297353CC}">
              <c16:uniqueId val="{00000000-CF41-4389-97F5-6AD8F964EBBD}"/>
            </c:ext>
          </c:extLst>
        </c:ser>
        <c:ser>
          <c:idx val="1"/>
          <c:order val="1"/>
          <c:tx>
            <c:strRef>
              <c:f>'FACTOR CONTRIBUTION'!$AD$9</c:f>
              <c:strCache>
                <c:ptCount val="1"/>
                <c:pt idx="0">
                  <c:v>Factor PC to ETL (%) •</c:v>
                </c:pt>
              </c:strCache>
            </c:strRef>
          </c:tx>
          <c:spPr>
            <a:solidFill>
              <a:schemeClr val="accent2">
                <a:alpha val="83000"/>
              </a:schemeClr>
            </a:solidFill>
            <a:ln w="25400">
              <a:noFill/>
            </a:ln>
          </c:spPr>
          <c:invertIfNegative val="0"/>
          <c:cat>
            <c:strRef>
              <c:f>FCTR_DATA!$A$1:$A$27</c:f>
              <c:strCache>
                <c:ptCount val="9"/>
                <c:pt idx="0">
                  <c:v>ML Global High Yield - AAA Spread USD</c:v>
                </c:pt>
                <c:pt idx="1">
                  <c:v>MSCI Small Minus Large World USD</c:v>
                </c:pt>
                <c:pt idx="2">
                  <c:v>MSCI The World USD</c:v>
                </c:pt>
                <c:pt idx="3">
                  <c:v>ML Global Govt Bond II USD</c:v>
                </c:pt>
                <c:pt idx="4">
                  <c:v>CBOE Volatility Index as Difference USD</c:v>
                </c:pt>
                <c:pt idx="5">
                  <c:v>US Treasury 10Yr - 2Yr Spread USD</c:v>
                </c:pt>
                <c:pt idx="6">
                  <c:v>MSCI Value Minus Growth World USD</c:v>
                </c:pt>
                <c:pt idx="7">
                  <c:v>Trade Weighted Exchange Index: Broad</c:v>
                </c:pt>
                <c:pt idx="8">
                  <c:v>S&amp;P GSCI Index</c:v>
                </c:pt>
              </c:strCache>
            </c:strRef>
          </c:cat>
          <c:val>
            <c:numRef>
              <c:f>FCTR_DATA!$C$1:$C$27</c:f>
              <c:numCache>
                <c:formatCode>General</c:formatCode>
                <c:ptCount val="27"/>
                <c:pt idx="0">
                  <c:v>101.54616108263488</c:v>
                </c:pt>
                <c:pt idx="1">
                  <c:v>12.441900060887772</c:v>
                </c:pt>
                <c:pt idx="2">
                  <c:v>6.8117282246677568</c:v>
                </c:pt>
                <c:pt idx="3">
                  <c:v>2.3484622484588349</c:v>
                </c:pt>
                <c:pt idx="4">
                  <c:v>1.6721821148712281</c:v>
                </c:pt>
                <c:pt idx="5">
                  <c:v>0.12630520543112606</c:v>
                </c:pt>
                <c:pt idx="6">
                  <c:v>-0.17970688953688932</c:v>
                </c:pt>
                <c:pt idx="7">
                  <c:v>-0.56591470172295144</c:v>
                </c:pt>
                <c:pt idx="8">
                  <c:v>-8.4279646036092117</c:v>
                </c:pt>
              </c:numCache>
            </c:numRef>
          </c:val>
          <c:extLst>
            <c:ext xmlns:c16="http://schemas.microsoft.com/office/drawing/2014/chart" uri="{C3380CC4-5D6E-409C-BE32-E72D297353CC}">
              <c16:uniqueId val="{00000001-CF41-4389-97F5-6AD8F964EBBD}"/>
            </c:ext>
          </c:extLst>
        </c:ser>
        <c:dLbls>
          <c:showLegendKey val="0"/>
          <c:showVal val="0"/>
          <c:showCatName val="0"/>
          <c:showSerName val="0"/>
          <c:showPercent val="0"/>
          <c:showBubbleSize val="0"/>
        </c:dLbls>
        <c:gapWidth val="150"/>
        <c:axId val="224326784"/>
        <c:axId val="224328320"/>
      </c:barChart>
      <c:catAx>
        <c:axId val="224326784"/>
        <c:scaling>
          <c:orientation val="maxMin"/>
        </c:scaling>
        <c:delete val="0"/>
        <c:axPos val="l"/>
        <c:majorGridlines>
          <c:spPr>
            <a:ln>
              <a:noFill/>
            </a:ln>
          </c:spPr>
        </c:majorGridlines>
        <c:numFmt formatCode="#,##0" sourceLinked="0"/>
        <c:majorTickMark val="none"/>
        <c:minorTickMark val="none"/>
        <c:tickLblPos val="low"/>
        <c:spPr>
          <a:ln w="9525">
            <a:noFill/>
          </a:ln>
        </c:spPr>
        <c:txPr>
          <a:bodyPr/>
          <a:lstStyle/>
          <a:p>
            <a:pPr>
              <a:defRPr sz="900">
                <a:solidFill>
                  <a:schemeClr val="tx1">
                    <a:lumMod val="50000"/>
                    <a:lumOff val="50000"/>
                  </a:schemeClr>
                </a:solidFill>
              </a:defRPr>
            </a:pPr>
            <a:endParaRPr lang="en-US"/>
          </a:p>
        </c:txPr>
        <c:crossAx val="224328320"/>
        <c:crosses val="autoZero"/>
        <c:auto val="1"/>
        <c:lblAlgn val="ctr"/>
        <c:lblOffset val="100"/>
        <c:noMultiLvlLbl val="0"/>
      </c:catAx>
      <c:valAx>
        <c:axId val="224328320"/>
        <c:scaling>
          <c:orientation val="minMax"/>
        </c:scaling>
        <c:delete val="0"/>
        <c:axPos val="t"/>
        <c:majorGridlines>
          <c:spPr>
            <a:ln>
              <a:noFill/>
            </a:ln>
          </c:spPr>
        </c:majorGridlines>
        <c:minorGridlines>
          <c:spPr>
            <a:ln>
              <a:noFill/>
            </a:ln>
          </c:spPr>
        </c:minorGridlines>
        <c:numFmt formatCode="0.0" sourceLinked="0"/>
        <c:majorTickMark val="none"/>
        <c:minorTickMark val="none"/>
        <c:tickLblPos val="low"/>
        <c:spPr>
          <a:ln w="3175">
            <a:solidFill>
              <a:schemeClr val="bg1">
                <a:lumMod val="85000"/>
              </a:schemeClr>
            </a:solidFill>
          </a:ln>
        </c:spPr>
        <c:txPr>
          <a:bodyPr/>
          <a:lstStyle/>
          <a:p>
            <a:pPr>
              <a:defRPr sz="600" b="0">
                <a:solidFill>
                  <a:schemeClr val="tx1">
                    <a:lumMod val="50000"/>
                    <a:lumOff val="50000"/>
                  </a:schemeClr>
                </a:solidFill>
              </a:defRPr>
            </a:pPr>
            <a:endParaRPr lang="en-US"/>
          </a:p>
        </c:txPr>
        <c:crossAx val="224326784"/>
        <c:crosses val="autoZero"/>
        <c:crossBetween val="between"/>
      </c:valAx>
      <c:spPr>
        <a:noFill/>
      </c:spPr>
    </c:plotArea>
    <c:plotVisOnly val="1"/>
    <c:dispBlanksAs val="gap"/>
    <c:showDLblsOverMax val="0"/>
  </c:chart>
  <c:spPr>
    <a:noFill/>
    <a:ln>
      <a:noFill/>
    </a:ln>
    <a:effectLst>
      <a:outerShdw blurRad="50800" dist="50800" dir="5400000" algn="ctr" rotWithShape="0">
        <a:srgbClr val="000000">
          <a:alpha val="0"/>
        </a:srgbClr>
      </a:outerShdw>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0"/>
    <c:plotArea>
      <c:layout>
        <c:manualLayout>
          <c:layoutTarget val="inner"/>
          <c:xMode val="edge"/>
          <c:yMode val="edge"/>
          <c:x val="1.8425460636515914E-2"/>
          <c:y val="0.21791214777398107"/>
          <c:w val="0.96984924623115576"/>
          <c:h val="0.53382855444956168"/>
        </c:manualLayout>
      </c:layout>
      <c:barChart>
        <c:barDir val="col"/>
        <c:grouping val="clustered"/>
        <c:varyColors val="1"/>
        <c:ser>
          <c:idx val="0"/>
          <c:order val="0"/>
          <c:invertIfNegative val="0"/>
          <c:dPt>
            <c:idx val="0"/>
            <c:invertIfNegative val="0"/>
            <c:bubble3D val="0"/>
            <c:spPr>
              <a:gradFill>
                <a:gsLst>
                  <a:gs pos="0">
                    <a:schemeClr val="accent5">
                      <a:shade val="41000"/>
                    </a:schemeClr>
                  </a:gs>
                  <a:gs pos="100000">
                    <a:schemeClr val="accent5">
                      <a:shade val="41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280E-4D2A-B7D7-F42047294A9C}"/>
              </c:ext>
            </c:extLst>
          </c:dPt>
          <c:dPt>
            <c:idx val="1"/>
            <c:invertIfNegative val="0"/>
            <c:bubble3D val="0"/>
            <c:spPr>
              <a:gradFill>
                <a:gsLst>
                  <a:gs pos="0">
                    <a:schemeClr val="accent5">
                      <a:shade val="53000"/>
                    </a:schemeClr>
                  </a:gs>
                  <a:gs pos="100000">
                    <a:schemeClr val="accent5">
                      <a:shade val="53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280E-4D2A-B7D7-F42047294A9C}"/>
              </c:ext>
            </c:extLst>
          </c:dPt>
          <c:dPt>
            <c:idx val="2"/>
            <c:invertIfNegative val="0"/>
            <c:bubble3D val="0"/>
            <c:spPr>
              <a:gradFill>
                <a:gsLst>
                  <a:gs pos="0">
                    <a:schemeClr val="accent5">
                      <a:shade val="65000"/>
                    </a:schemeClr>
                  </a:gs>
                  <a:gs pos="100000">
                    <a:schemeClr val="accent5">
                      <a:shade val="65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280E-4D2A-B7D7-F42047294A9C}"/>
              </c:ext>
            </c:extLst>
          </c:dPt>
          <c:dPt>
            <c:idx val="3"/>
            <c:invertIfNegative val="0"/>
            <c:bubble3D val="0"/>
            <c:spPr>
              <a:gradFill>
                <a:gsLst>
                  <a:gs pos="0">
                    <a:schemeClr val="accent5">
                      <a:shade val="76000"/>
                    </a:schemeClr>
                  </a:gs>
                  <a:gs pos="100000">
                    <a:schemeClr val="accent5">
                      <a:shade val="76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280E-4D2A-B7D7-F42047294A9C}"/>
              </c:ext>
            </c:extLst>
          </c:dPt>
          <c:dPt>
            <c:idx val="4"/>
            <c:invertIfNegative val="0"/>
            <c:bubble3D val="0"/>
            <c:spPr>
              <a:gradFill>
                <a:gsLst>
                  <a:gs pos="0">
                    <a:schemeClr val="accent5">
                      <a:shade val="88000"/>
                    </a:schemeClr>
                  </a:gs>
                  <a:gs pos="100000">
                    <a:schemeClr val="accent5">
                      <a:shade val="88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280E-4D2A-B7D7-F42047294A9C}"/>
              </c:ext>
            </c:extLst>
          </c:dPt>
          <c:dPt>
            <c:idx val="5"/>
            <c:invertIfNegative val="0"/>
            <c:bubble3D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280E-4D2A-B7D7-F42047294A9C}"/>
              </c:ext>
            </c:extLst>
          </c:dPt>
          <c:dPt>
            <c:idx val="6"/>
            <c:invertIfNegative val="0"/>
            <c:bubble3D val="0"/>
            <c:spPr>
              <a:gradFill>
                <a:gsLst>
                  <a:gs pos="0">
                    <a:schemeClr val="accent5">
                      <a:tint val="89000"/>
                    </a:schemeClr>
                  </a:gs>
                  <a:gs pos="100000">
                    <a:schemeClr val="accent5">
                      <a:tint val="89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280E-4D2A-B7D7-F42047294A9C}"/>
              </c:ext>
            </c:extLst>
          </c:dPt>
          <c:dPt>
            <c:idx val="7"/>
            <c:invertIfNegative val="0"/>
            <c:bubble3D val="0"/>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F-280E-4D2A-B7D7-F42047294A9C}"/>
              </c:ext>
            </c:extLst>
          </c:dPt>
          <c:dPt>
            <c:idx val="8"/>
            <c:invertIfNegative val="0"/>
            <c:bubble3D val="0"/>
            <c:spPr>
              <a:gradFill>
                <a:gsLst>
                  <a:gs pos="0">
                    <a:schemeClr val="accent5">
                      <a:tint val="65000"/>
                    </a:schemeClr>
                  </a:gs>
                  <a:gs pos="100000">
                    <a:schemeClr val="accent5">
                      <a:tint val="65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1-280E-4D2A-B7D7-F42047294A9C}"/>
              </c:ext>
            </c:extLst>
          </c:dPt>
          <c:dPt>
            <c:idx val="9"/>
            <c:invertIfNegative val="0"/>
            <c:bubble3D val="0"/>
            <c:spPr>
              <a:gradFill>
                <a:gsLst>
                  <a:gs pos="0">
                    <a:schemeClr val="accent5">
                      <a:tint val="54000"/>
                    </a:schemeClr>
                  </a:gs>
                  <a:gs pos="100000">
                    <a:schemeClr val="accent5">
                      <a:tint val="54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3-280E-4D2A-B7D7-F42047294A9C}"/>
              </c:ext>
            </c:extLst>
          </c:dPt>
          <c:dPt>
            <c:idx val="10"/>
            <c:invertIfNegative val="0"/>
            <c:bubble3D val="0"/>
            <c:spPr>
              <a:gradFill>
                <a:gsLst>
                  <a:gs pos="0">
                    <a:schemeClr val="accent5">
                      <a:tint val="42000"/>
                    </a:schemeClr>
                  </a:gs>
                  <a:gs pos="100000">
                    <a:schemeClr val="accent5">
                      <a:tint val="42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5-280E-4D2A-B7D7-F42047294A9C}"/>
              </c:ext>
            </c:extLst>
          </c:dPt>
          <c:cat>
            <c:strRef>
              <c:f>SUMMARY!$I$31:$I$41</c:f>
              <c:strCache>
                <c:ptCount val="11"/>
                <c:pt idx="0">
                  <c:v>2008 Lehman Blow-Up</c:v>
                </c:pt>
                <c:pt idx="1">
                  <c:v>2002 Market Downturn</c:v>
                </c:pt>
                <c:pt idx="2">
                  <c:v>2001 WTC Attack</c:v>
                </c:pt>
                <c:pt idx="3">
                  <c:v>1987 Black Monday</c:v>
                </c:pt>
                <c:pt idx="4">
                  <c:v>1998 Russian Crisis</c:v>
                </c:pt>
                <c:pt idx="5">
                  <c:v>2008 January Crisis</c:v>
                </c:pt>
                <c:pt idx="6">
                  <c:v>2007 August Crisis</c:v>
                </c:pt>
                <c:pt idx="7">
                  <c:v>2001 Nasdaq</c:v>
                </c:pt>
                <c:pt idx="8">
                  <c:v>1997 - 1998 Asian Crisis</c:v>
                </c:pt>
                <c:pt idx="9">
                  <c:v>1990 Kuwait Invasion</c:v>
                </c:pt>
                <c:pt idx="10">
                  <c:v>2005 Katrina</c:v>
                </c:pt>
              </c:strCache>
            </c:strRef>
          </c:cat>
          <c:val>
            <c:numRef>
              <c:f>SUMMARY!$O$31:$O$41</c:f>
              <c:numCache>
                <c:formatCode>0.00</c:formatCode>
                <c:ptCount val="11"/>
                <c:pt idx="0">
                  <c:v>-3.5256818272930803</c:v>
                </c:pt>
                <c:pt idx="1">
                  <c:v>-1.7508843568673358</c:v>
                </c:pt>
                <c:pt idx="2">
                  <c:v>-1.1625695239190361</c:v>
                </c:pt>
                <c:pt idx="3">
                  <c:v>-0.69521190211696082</c:v>
                </c:pt>
                <c:pt idx="4">
                  <c:v>-0.68043189072259702</c:v>
                </c:pt>
                <c:pt idx="5">
                  <c:v>-0.30050480784091632</c:v>
                </c:pt>
                <c:pt idx="6">
                  <c:v>-2.4435815019009169E-2</c:v>
                </c:pt>
                <c:pt idx="7">
                  <c:v>7.205590222263708E-2</c:v>
                </c:pt>
                <c:pt idx="8">
                  <c:v>0.10203680349010974</c:v>
                </c:pt>
                <c:pt idx="9">
                  <c:v>0.2926616784079466</c:v>
                </c:pt>
                <c:pt idx="10">
                  <c:v>1.1043835732221836</c:v>
                </c:pt>
              </c:numCache>
            </c:numRef>
          </c:val>
          <c:extLst>
            <c:ext xmlns:c16="http://schemas.microsoft.com/office/drawing/2014/chart" uri="{C3380CC4-5D6E-409C-BE32-E72D297353CC}">
              <c16:uniqueId val="{00000016-280E-4D2A-B7D7-F42047294A9C}"/>
            </c:ext>
          </c:extLst>
        </c:ser>
        <c:dLbls>
          <c:showLegendKey val="0"/>
          <c:showVal val="0"/>
          <c:showCatName val="0"/>
          <c:showSerName val="0"/>
          <c:showPercent val="0"/>
          <c:showBubbleSize val="0"/>
        </c:dLbls>
        <c:gapWidth val="41"/>
        <c:axId val="225593216"/>
        <c:axId val="225594752"/>
      </c:barChart>
      <c:catAx>
        <c:axId val="225593216"/>
        <c:scaling>
          <c:orientation val="minMax"/>
        </c:scaling>
        <c:delete val="1"/>
        <c:axPos val="b"/>
        <c:numFmt formatCode="General" sourceLinked="0"/>
        <c:majorTickMark val="none"/>
        <c:minorTickMark val="none"/>
        <c:tickLblPos val="low"/>
        <c:crossAx val="225594752"/>
        <c:crosses val="autoZero"/>
        <c:auto val="1"/>
        <c:lblAlgn val="ctr"/>
        <c:lblOffset val="100"/>
        <c:noMultiLvlLbl val="0"/>
      </c:catAx>
      <c:valAx>
        <c:axId val="225594752"/>
        <c:scaling>
          <c:orientation val="minMax"/>
        </c:scaling>
        <c:delete val="1"/>
        <c:axPos val="l"/>
        <c:numFmt formatCode="0.00" sourceLinked="1"/>
        <c:majorTickMark val="none"/>
        <c:minorTickMark val="none"/>
        <c:tickLblPos val="nextTo"/>
        <c:crossAx val="2255932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BottomManagersPerScenario_Data!$A$2:$A$11</c:f>
              <c:strCache>
                <c:ptCount val="10"/>
                <c:pt idx="0">
                  <c:v>Silver Point Capital: Silver Point Distressed Opportunity Institutional Partners + Silver Point HF</c:v>
                </c:pt>
                <c:pt idx="1">
                  <c:v>LibreMax Partners LP: LibreMax Partners LP</c:v>
                </c:pt>
                <c:pt idx="2">
                  <c:v>PIMCO: PIMCO Commodity Alpha Fund</c:v>
                </c:pt>
                <c:pt idx="3">
                  <c:v>Saba: CEF1 MN - 2.75x</c:v>
                </c:pt>
                <c:pt idx="4">
                  <c:v>Graham Absolute Return Ltd: Graham Absolute Return Ltd</c:v>
                </c:pt>
                <c:pt idx="5">
                  <c:v>Mesarete: Prior TR+back with Pharo Macro+Mesarete Capital Fund</c:v>
                </c:pt>
                <c:pt idx="6">
                  <c:v>King Street Capital LP: King Street Capital LP</c:v>
                </c:pt>
                <c:pt idx="7">
                  <c:v>HF: Current Coinvests (Excluding BH Coinvests)</c:v>
                </c:pt>
                <c:pt idx="8">
                  <c:v>Walleye: Walleye Opportunities Fund</c:v>
                </c:pt>
                <c:pt idx="9">
                  <c:v>HF: Current Specialty Finance (Excluding Pathfinder)</c:v>
                </c:pt>
              </c:strCache>
            </c:strRef>
          </c:cat>
          <c:val>
            <c:numRef>
              <c:f>BottomManagersPerScenario_Data!$B$2:$B$11</c:f>
              <c:numCache>
                <c:formatCode>General</c:formatCode>
                <c:ptCount val="10"/>
                <c:pt idx="0">
                  <c:v>-42.28932457139117</c:v>
                </c:pt>
                <c:pt idx="1">
                  <c:v>-23.790872445042407</c:v>
                </c:pt>
                <c:pt idx="2">
                  <c:v>-22.480781925735812</c:v>
                </c:pt>
                <c:pt idx="3">
                  <c:v>-22.023036649229113</c:v>
                </c:pt>
                <c:pt idx="4">
                  <c:v>-16.977619762744329</c:v>
                </c:pt>
                <c:pt idx="5">
                  <c:v>-16.879502644044148</c:v>
                </c:pt>
                <c:pt idx="6">
                  <c:v>-12.537968275147522</c:v>
                </c:pt>
                <c:pt idx="7">
                  <c:v>-11.195901784560053</c:v>
                </c:pt>
                <c:pt idx="8">
                  <c:v>-11.034804547462146</c:v>
                </c:pt>
                <c:pt idx="9">
                  <c:v>-10.30476682862669</c:v>
                </c:pt>
              </c:numCache>
            </c:numRef>
          </c:val>
          <c:extLst>
            <c:ext xmlns:c16="http://schemas.microsoft.com/office/drawing/2014/chart" uri="{C3380CC4-5D6E-409C-BE32-E72D297353CC}">
              <c16:uniqueId val="{00000000-5B5A-405B-AF8D-0EF68F3D2D8D}"/>
            </c:ext>
          </c:extLst>
        </c:ser>
        <c:dLbls>
          <c:showLegendKey val="0"/>
          <c:showVal val="0"/>
          <c:showCatName val="0"/>
          <c:showSerName val="0"/>
          <c:showPercent val="0"/>
          <c:showBubbleSize val="0"/>
        </c:dLbls>
        <c:gapWidth val="26"/>
        <c:axId val="226050816"/>
        <c:axId val="226052352"/>
      </c:barChart>
      <c:catAx>
        <c:axId val="226050816"/>
        <c:scaling>
          <c:orientation val="maxMin"/>
        </c:scaling>
        <c:delete val="0"/>
        <c:axPos val="l"/>
        <c:numFmt formatCode="General" sourceLinked="1"/>
        <c:majorTickMark val="out"/>
        <c:minorTickMark val="none"/>
        <c:tickLblPos val="low"/>
        <c:txPr>
          <a:bodyPr/>
          <a:lstStyle/>
          <a:p>
            <a:pPr>
              <a:defRPr sz="900"/>
            </a:pPr>
            <a:endParaRPr lang="en-US"/>
          </a:p>
        </c:txPr>
        <c:crossAx val="226052352"/>
        <c:crosses val="autoZero"/>
        <c:auto val="1"/>
        <c:lblAlgn val="ctr"/>
        <c:lblOffset val="100"/>
        <c:noMultiLvlLbl val="0"/>
      </c:catAx>
      <c:valAx>
        <c:axId val="226052352"/>
        <c:scaling>
          <c:orientation val="minMax"/>
        </c:scaling>
        <c:delete val="0"/>
        <c:axPos val="t"/>
        <c:numFmt formatCode="General" sourceLinked="1"/>
        <c:majorTickMark val="out"/>
        <c:minorTickMark val="none"/>
        <c:tickLblPos val="nextTo"/>
        <c:txPr>
          <a:bodyPr/>
          <a:lstStyle/>
          <a:p>
            <a:pPr>
              <a:defRPr sz="800"/>
            </a:pPr>
            <a:endParaRPr lang="en-US"/>
          </a:p>
        </c:txPr>
        <c:crossAx val="22605081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BottomManagersPerScenario_Data!$C$2:$C$11</c:f>
              <c:strCache>
                <c:ptCount val="10"/>
                <c:pt idx="0">
                  <c:v>PIMCO: PIMCO Commodity Alpha Fund</c:v>
                </c:pt>
                <c:pt idx="1">
                  <c:v>Silver Point Capital: Silver Point Distressed Opportunity Institutional Partners + Silver Point HF</c:v>
                </c:pt>
                <c:pt idx="2">
                  <c:v>Rokos Global Macro Fund LP: Rokos Global Macro Fund LP</c:v>
                </c:pt>
                <c:pt idx="3">
                  <c:v>Saba: CEF1 MN - 2.75x</c:v>
                </c:pt>
                <c:pt idx="4">
                  <c:v>Graham Absolute Return Ltd: Graham Absolute Return Ltd</c:v>
                </c:pt>
                <c:pt idx="5">
                  <c:v>LibreMax Partners LP: LibreMax Partners LP</c:v>
                </c:pt>
                <c:pt idx="6">
                  <c:v>King Street Capital LP: King Street Capital LP</c:v>
                </c:pt>
                <c:pt idx="7">
                  <c:v>Mesarete: Prior TR+back with Pharo Macro+Mesarete Capital Fund</c:v>
                </c:pt>
                <c:pt idx="8">
                  <c:v>HF: Current Coinvests (Excluding BH Coinvests)</c:v>
                </c:pt>
                <c:pt idx="9">
                  <c:v>Aquatic: Aquatic - Nautilus CFM (Net)</c:v>
                </c:pt>
              </c:strCache>
            </c:strRef>
          </c:cat>
          <c:val>
            <c:numRef>
              <c:f>BottomManagersPerScenario_Data!$D$2:$D$11</c:f>
              <c:numCache>
                <c:formatCode>General</c:formatCode>
                <c:ptCount val="10"/>
                <c:pt idx="0">
                  <c:v>-26.684503637185941</c:v>
                </c:pt>
                <c:pt idx="1">
                  <c:v>-23.438739688260057</c:v>
                </c:pt>
                <c:pt idx="2">
                  <c:v>-17.907609047900781</c:v>
                </c:pt>
                <c:pt idx="3">
                  <c:v>-12.305298847103748</c:v>
                </c:pt>
                <c:pt idx="4">
                  <c:v>-11.838912091075446</c:v>
                </c:pt>
                <c:pt idx="5">
                  <c:v>-11.81770826487192</c:v>
                </c:pt>
                <c:pt idx="6">
                  <c:v>-9.1200007126399694</c:v>
                </c:pt>
                <c:pt idx="7">
                  <c:v>-8.5193266303453594</c:v>
                </c:pt>
                <c:pt idx="8">
                  <c:v>-7.2088594895851887</c:v>
                </c:pt>
                <c:pt idx="9">
                  <c:v>-5.5819151450637197</c:v>
                </c:pt>
              </c:numCache>
            </c:numRef>
          </c:val>
          <c:extLst>
            <c:ext xmlns:c16="http://schemas.microsoft.com/office/drawing/2014/chart" uri="{C3380CC4-5D6E-409C-BE32-E72D297353CC}">
              <c16:uniqueId val="{00000000-C549-4606-8A7E-CAD06BB63BCB}"/>
            </c:ext>
          </c:extLst>
        </c:ser>
        <c:dLbls>
          <c:showLegendKey val="0"/>
          <c:showVal val="0"/>
          <c:showCatName val="0"/>
          <c:showSerName val="0"/>
          <c:showPercent val="0"/>
          <c:showBubbleSize val="0"/>
        </c:dLbls>
        <c:gapWidth val="26"/>
        <c:axId val="226076544"/>
        <c:axId val="226078080"/>
      </c:barChart>
      <c:catAx>
        <c:axId val="226076544"/>
        <c:scaling>
          <c:orientation val="maxMin"/>
        </c:scaling>
        <c:delete val="0"/>
        <c:axPos val="l"/>
        <c:numFmt formatCode="General" sourceLinked="1"/>
        <c:majorTickMark val="out"/>
        <c:minorTickMark val="none"/>
        <c:tickLblPos val="low"/>
        <c:txPr>
          <a:bodyPr/>
          <a:lstStyle/>
          <a:p>
            <a:pPr>
              <a:defRPr sz="900"/>
            </a:pPr>
            <a:endParaRPr lang="en-US"/>
          </a:p>
        </c:txPr>
        <c:crossAx val="226078080"/>
        <c:crosses val="autoZero"/>
        <c:auto val="1"/>
        <c:lblAlgn val="ctr"/>
        <c:lblOffset val="100"/>
        <c:noMultiLvlLbl val="0"/>
      </c:catAx>
      <c:valAx>
        <c:axId val="226078080"/>
        <c:scaling>
          <c:orientation val="minMax"/>
        </c:scaling>
        <c:delete val="0"/>
        <c:axPos val="t"/>
        <c:numFmt formatCode="General" sourceLinked="1"/>
        <c:majorTickMark val="out"/>
        <c:minorTickMark val="none"/>
        <c:tickLblPos val="nextTo"/>
        <c:txPr>
          <a:bodyPr/>
          <a:lstStyle/>
          <a:p>
            <a:pPr>
              <a:defRPr sz="800"/>
            </a:pPr>
            <a:endParaRPr lang="en-US"/>
          </a:p>
        </c:txPr>
        <c:crossAx val="226076544"/>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BottomManagersPerScenario_Data!$E$2:$E$11</c:f>
              <c:strCache>
                <c:ptCount val="10"/>
                <c:pt idx="0">
                  <c:v>Silver Point Capital: Silver Point Distressed Opportunity Institutional Partners + Silver Point HF</c:v>
                </c:pt>
                <c:pt idx="1">
                  <c:v>PIMCO: PIMCO Commodity Alpha Fund</c:v>
                </c:pt>
                <c:pt idx="2">
                  <c:v>Saba: CEF1 MN - 2.75x</c:v>
                </c:pt>
                <c:pt idx="3">
                  <c:v>LibreMax Partners LP: LibreMax Partners LP</c:v>
                </c:pt>
                <c:pt idx="4">
                  <c:v>Graham Absolute Return Ltd: Graham Absolute Return Ltd</c:v>
                </c:pt>
                <c:pt idx="5">
                  <c:v>Mesarete: Prior TR+back with Pharo Macro+Mesarete Capital Fund</c:v>
                </c:pt>
                <c:pt idx="6">
                  <c:v>HF: Current Coinvests (Excluding BH Coinvests)</c:v>
                </c:pt>
                <c:pt idx="7">
                  <c:v>King Street Capital LP: King Street Capital LP</c:v>
                </c:pt>
                <c:pt idx="8">
                  <c:v>Rokos Global Macro Fund LP: Rokos Global Macro Fund LP</c:v>
                </c:pt>
                <c:pt idx="9">
                  <c:v>Walleye: Walleye Opportunities Fund</c:v>
                </c:pt>
              </c:strCache>
            </c:strRef>
          </c:cat>
          <c:val>
            <c:numRef>
              <c:f>BottomManagersPerScenario_Data!$F$2:$F$11</c:f>
              <c:numCache>
                <c:formatCode>General</c:formatCode>
                <c:ptCount val="10"/>
                <c:pt idx="0">
                  <c:v>-11.380305382180246</c:v>
                </c:pt>
                <c:pt idx="1">
                  <c:v>-7.9984564303591066</c:v>
                </c:pt>
                <c:pt idx="2">
                  <c:v>-7.3312915726993149</c:v>
                </c:pt>
                <c:pt idx="3">
                  <c:v>-5.0703637247444595</c:v>
                </c:pt>
                <c:pt idx="4">
                  <c:v>-4.7514883139514357</c:v>
                </c:pt>
                <c:pt idx="5">
                  <c:v>-4.4265950918537582</c:v>
                </c:pt>
                <c:pt idx="6">
                  <c:v>-3.707237742358954</c:v>
                </c:pt>
                <c:pt idx="7">
                  <c:v>-3.5747142018442659</c:v>
                </c:pt>
                <c:pt idx="8">
                  <c:v>-3.4222911136872529</c:v>
                </c:pt>
                <c:pt idx="9">
                  <c:v>-2.7098063689377336</c:v>
                </c:pt>
              </c:numCache>
            </c:numRef>
          </c:val>
          <c:extLst>
            <c:ext xmlns:c16="http://schemas.microsoft.com/office/drawing/2014/chart" uri="{C3380CC4-5D6E-409C-BE32-E72D297353CC}">
              <c16:uniqueId val="{00000000-0AA2-4CBD-9237-363A782FED03}"/>
            </c:ext>
          </c:extLst>
        </c:ser>
        <c:dLbls>
          <c:showLegendKey val="0"/>
          <c:showVal val="0"/>
          <c:showCatName val="0"/>
          <c:showSerName val="0"/>
          <c:showPercent val="0"/>
          <c:showBubbleSize val="0"/>
        </c:dLbls>
        <c:gapWidth val="26"/>
        <c:axId val="226102272"/>
        <c:axId val="226120448"/>
      </c:barChart>
      <c:catAx>
        <c:axId val="226102272"/>
        <c:scaling>
          <c:orientation val="maxMin"/>
        </c:scaling>
        <c:delete val="0"/>
        <c:axPos val="l"/>
        <c:numFmt formatCode="General" sourceLinked="1"/>
        <c:majorTickMark val="out"/>
        <c:minorTickMark val="none"/>
        <c:tickLblPos val="low"/>
        <c:txPr>
          <a:bodyPr/>
          <a:lstStyle/>
          <a:p>
            <a:pPr>
              <a:defRPr sz="900"/>
            </a:pPr>
            <a:endParaRPr lang="en-US"/>
          </a:p>
        </c:txPr>
        <c:crossAx val="226120448"/>
        <c:crosses val="autoZero"/>
        <c:auto val="1"/>
        <c:lblAlgn val="ctr"/>
        <c:lblOffset val="100"/>
        <c:noMultiLvlLbl val="0"/>
      </c:catAx>
      <c:valAx>
        <c:axId val="226120448"/>
        <c:scaling>
          <c:orientation val="minMax"/>
        </c:scaling>
        <c:delete val="0"/>
        <c:axPos val="t"/>
        <c:numFmt formatCode="General" sourceLinked="1"/>
        <c:majorTickMark val="out"/>
        <c:minorTickMark val="none"/>
        <c:tickLblPos val="nextTo"/>
        <c:txPr>
          <a:bodyPr/>
          <a:lstStyle/>
          <a:p>
            <a:pPr>
              <a:defRPr sz="800"/>
            </a:pPr>
            <a:endParaRPr lang="en-US"/>
          </a:p>
        </c:txPr>
        <c:crossAx val="226102272"/>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BottomManagersPerScenario_Data!$G$2:$G$11</c:f>
              <c:strCache>
                <c:ptCount val="10"/>
                <c:pt idx="0">
                  <c:v>Silver Point Capital: Silver Point Distressed Opportunity Institutional Partners + Silver Point HF</c:v>
                </c:pt>
                <c:pt idx="1">
                  <c:v>Aquatic: Aquatic - Nautilus CFM (Net)</c:v>
                </c:pt>
                <c:pt idx="2">
                  <c:v>PIMCO: PIMCO Commodity Alpha Fund</c:v>
                </c:pt>
                <c:pt idx="3">
                  <c:v>King Street Capital LP: King Street Capital LP</c:v>
                </c:pt>
                <c:pt idx="4">
                  <c:v>Saba: CEF1 MN - 2.75x</c:v>
                </c:pt>
                <c:pt idx="5">
                  <c:v>Graham Absolute Return Ltd: Graham Absolute Return Ltd</c:v>
                </c:pt>
                <c:pt idx="6">
                  <c:v>12267: Trexquant Onshore Fund LP</c:v>
                </c:pt>
                <c:pt idx="7">
                  <c:v>LibreMax Partners LP: LibreMax Partners LP</c:v>
                </c:pt>
                <c:pt idx="8">
                  <c:v>Voleon Composition Domestic Fund LP: Voleon Composition Domestic Fund LP</c:v>
                </c:pt>
                <c:pt idx="9">
                  <c:v>HF: Current Coinvests (Excluding BH Coinvests)</c:v>
                </c:pt>
              </c:strCache>
            </c:strRef>
          </c:cat>
          <c:val>
            <c:numRef>
              <c:f>BottomManagersPerScenario_Data!$H$2:$H$11</c:f>
              <c:numCache>
                <c:formatCode>General</c:formatCode>
                <c:ptCount val="10"/>
                <c:pt idx="0">
                  <c:v>-28.416508124618026</c:v>
                </c:pt>
                <c:pt idx="1">
                  <c:v>-8.6444406835236638</c:v>
                </c:pt>
                <c:pt idx="2">
                  <c:v>-8.507815522386597</c:v>
                </c:pt>
                <c:pt idx="3">
                  <c:v>-7.6120140886997891</c:v>
                </c:pt>
                <c:pt idx="4">
                  <c:v>-7.5699808954907466</c:v>
                </c:pt>
                <c:pt idx="5">
                  <c:v>-7.5121472741717561</c:v>
                </c:pt>
                <c:pt idx="6">
                  <c:v>-7.3918502905041965</c:v>
                </c:pt>
                <c:pt idx="7">
                  <c:v>-4.6811003572911458</c:v>
                </c:pt>
                <c:pt idx="8">
                  <c:v>-4.5053065581845111</c:v>
                </c:pt>
                <c:pt idx="9">
                  <c:v>-3.3343309585217544</c:v>
                </c:pt>
              </c:numCache>
            </c:numRef>
          </c:val>
          <c:extLst>
            <c:ext xmlns:c16="http://schemas.microsoft.com/office/drawing/2014/chart" uri="{C3380CC4-5D6E-409C-BE32-E72D297353CC}">
              <c16:uniqueId val="{00000000-080A-4F58-BCEE-34664597E5A5}"/>
            </c:ext>
          </c:extLst>
        </c:ser>
        <c:dLbls>
          <c:showLegendKey val="0"/>
          <c:showVal val="0"/>
          <c:showCatName val="0"/>
          <c:showSerName val="0"/>
          <c:showPercent val="0"/>
          <c:showBubbleSize val="0"/>
        </c:dLbls>
        <c:gapWidth val="26"/>
        <c:axId val="226144640"/>
        <c:axId val="226146176"/>
      </c:barChart>
      <c:catAx>
        <c:axId val="226144640"/>
        <c:scaling>
          <c:orientation val="maxMin"/>
        </c:scaling>
        <c:delete val="0"/>
        <c:axPos val="l"/>
        <c:numFmt formatCode="General" sourceLinked="1"/>
        <c:majorTickMark val="out"/>
        <c:minorTickMark val="none"/>
        <c:tickLblPos val="low"/>
        <c:txPr>
          <a:bodyPr/>
          <a:lstStyle/>
          <a:p>
            <a:pPr>
              <a:defRPr sz="900"/>
            </a:pPr>
            <a:endParaRPr lang="en-US"/>
          </a:p>
        </c:txPr>
        <c:crossAx val="226146176"/>
        <c:crosses val="autoZero"/>
        <c:auto val="1"/>
        <c:lblAlgn val="ctr"/>
        <c:lblOffset val="100"/>
        <c:noMultiLvlLbl val="0"/>
      </c:catAx>
      <c:valAx>
        <c:axId val="226146176"/>
        <c:scaling>
          <c:orientation val="minMax"/>
        </c:scaling>
        <c:delete val="0"/>
        <c:axPos val="t"/>
        <c:numFmt formatCode="General" sourceLinked="1"/>
        <c:majorTickMark val="out"/>
        <c:minorTickMark val="none"/>
        <c:tickLblPos val="nextTo"/>
        <c:txPr>
          <a:bodyPr/>
          <a:lstStyle/>
          <a:p>
            <a:pPr>
              <a:defRPr sz="800"/>
            </a:pPr>
            <a:endParaRPr lang="en-US"/>
          </a:p>
        </c:txPr>
        <c:crossAx val="22614464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BottomManagersPerScenario_Data!$I$2:$I$11</c:f>
              <c:strCache>
                <c:ptCount val="10"/>
                <c:pt idx="0">
                  <c:v>PIMCO: PIMCO Commodity Alpha Fund</c:v>
                </c:pt>
                <c:pt idx="1">
                  <c:v>Silver Point Capital: Silver Point Distressed Opportunity Institutional Partners + Silver Point HF</c:v>
                </c:pt>
                <c:pt idx="2">
                  <c:v>Saba: CEF1 MN - 2.75x</c:v>
                </c:pt>
                <c:pt idx="3">
                  <c:v>LibreMax Partners LP: LibreMax Partners LP</c:v>
                </c:pt>
                <c:pt idx="4">
                  <c:v>Graham Absolute Return Ltd: Graham Absolute Return Ltd</c:v>
                </c:pt>
                <c:pt idx="5">
                  <c:v>King Street Capital LP: King Street Capital LP</c:v>
                </c:pt>
                <c:pt idx="6">
                  <c:v>Mesarete: Prior TR+back with Pharo Macro+Mesarete Capital Fund</c:v>
                </c:pt>
                <c:pt idx="7">
                  <c:v>Aquatic: Aquatic - Nautilus CFM (Net)</c:v>
                </c:pt>
                <c:pt idx="8">
                  <c:v>HF: Current Coinvests (Excluding BH Coinvests)</c:v>
                </c:pt>
                <c:pt idx="9">
                  <c:v>Walleye: Walleye Opportunities Fund</c:v>
                </c:pt>
              </c:strCache>
            </c:strRef>
          </c:cat>
          <c:val>
            <c:numRef>
              <c:f>BottomManagersPerScenario_Data!$J$2:$J$11</c:f>
              <c:numCache>
                <c:formatCode>General</c:formatCode>
                <c:ptCount val="10"/>
                <c:pt idx="0">
                  <c:v>-7.5970197633444698</c:v>
                </c:pt>
                <c:pt idx="1">
                  <c:v>-7.3458459597908004</c:v>
                </c:pt>
                <c:pt idx="2">
                  <c:v>-7.1881349389475506</c:v>
                </c:pt>
                <c:pt idx="3">
                  <c:v>-7.0528825004414815</c:v>
                </c:pt>
                <c:pt idx="4">
                  <c:v>-5.4571407738563833</c:v>
                </c:pt>
                <c:pt idx="5">
                  <c:v>-4.299803979267466</c:v>
                </c:pt>
                <c:pt idx="6">
                  <c:v>-4.1492299716576122</c:v>
                </c:pt>
                <c:pt idx="7">
                  <c:v>-3.952085567908687</c:v>
                </c:pt>
                <c:pt idx="8">
                  <c:v>-3.1258403573455067</c:v>
                </c:pt>
                <c:pt idx="9">
                  <c:v>-2.9557736178442626</c:v>
                </c:pt>
              </c:numCache>
            </c:numRef>
          </c:val>
          <c:extLst>
            <c:ext xmlns:c16="http://schemas.microsoft.com/office/drawing/2014/chart" uri="{C3380CC4-5D6E-409C-BE32-E72D297353CC}">
              <c16:uniqueId val="{00000000-3CC5-4637-8F6D-3CCA0538114E}"/>
            </c:ext>
          </c:extLst>
        </c:ser>
        <c:dLbls>
          <c:showLegendKey val="0"/>
          <c:showVal val="0"/>
          <c:showCatName val="0"/>
          <c:showSerName val="0"/>
          <c:showPercent val="0"/>
          <c:showBubbleSize val="0"/>
        </c:dLbls>
        <c:gapWidth val="26"/>
        <c:axId val="226170368"/>
        <c:axId val="226171904"/>
      </c:barChart>
      <c:catAx>
        <c:axId val="226170368"/>
        <c:scaling>
          <c:orientation val="maxMin"/>
        </c:scaling>
        <c:delete val="0"/>
        <c:axPos val="l"/>
        <c:numFmt formatCode="General" sourceLinked="1"/>
        <c:majorTickMark val="out"/>
        <c:minorTickMark val="none"/>
        <c:tickLblPos val="low"/>
        <c:txPr>
          <a:bodyPr/>
          <a:lstStyle/>
          <a:p>
            <a:pPr>
              <a:defRPr sz="900"/>
            </a:pPr>
            <a:endParaRPr lang="en-US"/>
          </a:p>
        </c:txPr>
        <c:crossAx val="226171904"/>
        <c:crosses val="autoZero"/>
        <c:auto val="1"/>
        <c:lblAlgn val="ctr"/>
        <c:lblOffset val="100"/>
        <c:noMultiLvlLbl val="0"/>
      </c:catAx>
      <c:valAx>
        <c:axId val="226171904"/>
        <c:scaling>
          <c:orientation val="minMax"/>
        </c:scaling>
        <c:delete val="0"/>
        <c:axPos val="t"/>
        <c:numFmt formatCode="General" sourceLinked="1"/>
        <c:majorTickMark val="out"/>
        <c:minorTickMark val="none"/>
        <c:tickLblPos val="nextTo"/>
        <c:txPr>
          <a:bodyPr/>
          <a:lstStyle/>
          <a:p>
            <a:pPr>
              <a:defRPr sz="800"/>
            </a:pPr>
            <a:endParaRPr lang="en-US"/>
          </a:p>
        </c:txPr>
        <c:crossAx val="226170368"/>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BottomManagersPerScenario_Data!$K$2:$K$11</c:f>
              <c:strCache>
                <c:ptCount val="10"/>
                <c:pt idx="0">
                  <c:v>PIMCO: PIMCO Commodity Alpha Fund</c:v>
                </c:pt>
                <c:pt idx="1">
                  <c:v>Saba: CEF1 MN - 2.75x</c:v>
                </c:pt>
                <c:pt idx="2">
                  <c:v>Silver Point Capital: Silver Point Distressed Opportunity Institutional Partners + Silver Point HF</c:v>
                </c:pt>
                <c:pt idx="3">
                  <c:v>Rokos Global Macro Fund LP: Rokos Global Macro Fund LP</c:v>
                </c:pt>
                <c:pt idx="4">
                  <c:v>HF: Current Coinvests (Excluding BH Coinvests)</c:v>
                </c:pt>
                <c:pt idx="5">
                  <c:v>LibreMax Partners LP: LibreMax Partners LP</c:v>
                </c:pt>
                <c:pt idx="6">
                  <c:v>Mesarete: Prior TR+back with Pharo Macro+Mesarete Capital Fund</c:v>
                </c:pt>
                <c:pt idx="7">
                  <c:v>Graham Absolute Return Ltd: Graham Absolute Return Ltd</c:v>
                </c:pt>
                <c:pt idx="8">
                  <c:v>King Street Capital LP: King Street Capital LP</c:v>
                </c:pt>
                <c:pt idx="9">
                  <c:v>Aquatic: Aquatic - Nautilus CFM (Net)</c:v>
                </c:pt>
              </c:strCache>
            </c:strRef>
          </c:cat>
          <c:val>
            <c:numRef>
              <c:f>BottomManagersPerScenario_Data!$L$2:$L$11</c:f>
              <c:numCache>
                <c:formatCode>General</c:formatCode>
                <c:ptCount val="10"/>
                <c:pt idx="0">
                  <c:v>-7.5670559385438514</c:v>
                </c:pt>
                <c:pt idx="1">
                  <c:v>-5.3643522202020755</c:v>
                </c:pt>
                <c:pt idx="2">
                  <c:v>-4.52793397762842</c:v>
                </c:pt>
                <c:pt idx="3">
                  <c:v>-3.662776822609946</c:v>
                </c:pt>
                <c:pt idx="4">
                  <c:v>-3.2731405224161221</c:v>
                </c:pt>
                <c:pt idx="5">
                  <c:v>-3.1157384119114937</c:v>
                </c:pt>
                <c:pt idx="6">
                  <c:v>-2.8373036559940381</c:v>
                </c:pt>
                <c:pt idx="7">
                  <c:v>-2.7260680580995862</c:v>
                </c:pt>
                <c:pt idx="8">
                  <c:v>-2.12084464273503</c:v>
                </c:pt>
                <c:pt idx="9">
                  <c:v>-1.6919120590381127</c:v>
                </c:pt>
              </c:numCache>
            </c:numRef>
          </c:val>
          <c:extLst>
            <c:ext xmlns:c16="http://schemas.microsoft.com/office/drawing/2014/chart" uri="{C3380CC4-5D6E-409C-BE32-E72D297353CC}">
              <c16:uniqueId val="{00000000-2F21-4DD9-8E63-D66A98BA596C}"/>
            </c:ext>
          </c:extLst>
        </c:ser>
        <c:dLbls>
          <c:showLegendKey val="0"/>
          <c:showVal val="0"/>
          <c:showCatName val="0"/>
          <c:showSerName val="0"/>
          <c:showPercent val="0"/>
          <c:showBubbleSize val="0"/>
        </c:dLbls>
        <c:gapWidth val="26"/>
        <c:axId val="226216576"/>
        <c:axId val="226218368"/>
      </c:barChart>
      <c:catAx>
        <c:axId val="226216576"/>
        <c:scaling>
          <c:orientation val="maxMin"/>
        </c:scaling>
        <c:delete val="0"/>
        <c:axPos val="l"/>
        <c:numFmt formatCode="General" sourceLinked="1"/>
        <c:majorTickMark val="out"/>
        <c:minorTickMark val="none"/>
        <c:tickLblPos val="low"/>
        <c:txPr>
          <a:bodyPr/>
          <a:lstStyle/>
          <a:p>
            <a:pPr>
              <a:defRPr sz="900"/>
            </a:pPr>
            <a:endParaRPr lang="en-US"/>
          </a:p>
        </c:txPr>
        <c:crossAx val="226218368"/>
        <c:crosses val="autoZero"/>
        <c:auto val="1"/>
        <c:lblAlgn val="ctr"/>
        <c:lblOffset val="100"/>
        <c:noMultiLvlLbl val="0"/>
      </c:catAx>
      <c:valAx>
        <c:axId val="226218368"/>
        <c:scaling>
          <c:orientation val="minMax"/>
        </c:scaling>
        <c:delete val="0"/>
        <c:axPos val="t"/>
        <c:numFmt formatCode="General" sourceLinked="1"/>
        <c:majorTickMark val="out"/>
        <c:minorTickMark val="none"/>
        <c:tickLblPos val="nextTo"/>
        <c:txPr>
          <a:bodyPr/>
          <a:lstStyle/>
          <a:p>
            <a:pPr>
              <a:defRPr sz="800"/>
            </a:pPr>
            <a:endParaRPr lang="en-US"/>
          </a:p>
        </c:txPr>
        <c:crossAx val="22621657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BottomManagersPerScenario_Data!$M$2:$M$11</c:f>
              <c:strCache>
                <c:ptCount val="10"/>
                <c:pt idx="0">
                  <c:v>Saba: CEF1 MN - 2.75x</c:v>
                </c:pt>
                <c:pt idx="1">
                  <c:v>PIMCO: PIMCO Commodity Alpha Fund</c:v>
                </c:pt>
                <c:pt idx="2">
                  <c:v>LibreMax Partners LP: LibreMax Partners LP</c:v>
                </c:pt>
                <c:pt idx="3">
                  <c:v>Mesarete: Prior TR+back with Pharo Macro+Mesarete Capital Fund</c:v>
                </c:pt>
                <c:pt idx="4">
                  <c:v>Aquatic: Aquatic - Nautilus CFM (Net)</c:v>
                </c:pt>
                <c:pt idx="5">
                  <c:v>HF: Current Coinvests (Excluding BH Coinvests)</c:v>
                </c:pt>
                <c:pt idx="6">
                  <c:v>Graham Absolute Return Ltd: Graham Absolute Return Ltd</c:v>
                </c:pt>
                <c:pt idx="7">
                  <c:v>King Street Capital LP: King Street Capital LP</c:v>
                </c:pt>
                <c:pt idx="8">
                  <c:v>Walleye: Walleye Opportunities Fund</c:v>
                </c:pt>
                <c:pt idx="9">
                  <c:v>Dockside: I-94 Minus Standalones</c:v>
                </c:pt>
              </c:strCache>
            </c:strRef>
          </c:cat>
          <c:val>
            <c:numRef>
              <c:f>BottomManagersPerScenario_Data!$N$2:$N$11</c:f>
              <c:numCache>
                <c:formatCode>General</c:formatCode>
                <c:ptCount val="10"/>
                <c:pt idx="0">
                  <c:v>-3.8341475083106547</c:v>
                </c:pt>
                <c:pt idx="1">
                  <c:v>-3.5451570564127977</c:v>
                </c:pt>
                <c:pt idx="2">
                  <c:v>-2.5716397596816423</c:v>
                </c:pt>
                <c:pt idx="3">
                  <c:v>-2.3252195474876975</c:v>
                </c:pt>
                <c:pt idx="4">
                  <c:v>-2.2353650361554345</c:v>
                </c:pt>
                <c:pt idx="5">
                  <c:v>-2.1878496864122039</c:v>
                </c:pt>
                <c:pt idx="6">
                  <c:v>-1.9894528564475957</c:v>
                </c:pt>
                <c:pt idx="7">
                  <c:v>-1.8782169227399705</c:v>
                </c:pt>
                <c:pt idx="8">
                  <c:v>-0.86936771555451731</c:v>
                </c:pt>
                <c:pt idx="9">
                  <c:v>-0.73111112043249382</c:v>
                </c:pt>
              </c:numCache>
            </c:numRef>
          </c:val>
          <c:extLst>
            <c:ext xmlns:c16="http://schemas.microsoft.com/office/drawing/2014/chart" uri="{C3380CC4-5D6E-409C-BE32-E72D297353CC}">
              <c16:uniqueId val="{00000000-9571-4A85-BEF6-CEB7A212FE2B}"/>
            </c:ext>
          </c:extLst>
        </c:ser>
        <c:dLbls>
          <c:showLegendKey val="0"/>
          <c:showVal val="0"/>
          <c:showCatName val="0"/>
          <c:showSerName val="0"/>
          <c:showPercent val="0"/>
          <c:showBubbleSize val="0"/>
        </c:dLbls>
        <c:gapWidth val="26"/>
        <c:axId val="226324480"/>
        <c:axId val="226326016"/>
      </c:barChart>
      <c:catAx>
        <c:axId val="226324480"/>
        <c:scaling>
          <c:orientation val="maxMin"/>
        </c:scaling>
        <c:delete val="0"/>
        <c:axPos val="l"/>
        <c:numFmt formatCode="General" sourceLinked="1"/>
        <c:majorTickMark val="out"/>
        <c:minorTickMark val="none"/>
        <c:tickLblPos val="low"/>
        <c:txPr>
          <a:bodyPr/>
          <a:lstStyle/>
          <a:p>
            <a:pPr>
              <a:defRPr sz="900"/>
            </a:pPr>
            <a:endParaRPr lang="en-US"/>
          </a:p>
        </c:txPr>
        <c:crossAx val="226326016"/>
        <c:crosses val="autoZero"/>
        <c:auto val="1"/>
        <c:lblAlgn val="ctr"/>
        <c:lblOffset val="100"/>
        <c:noMultiLvlLbl val="0"/>
      </c:catAx>
      <c:valAx>
        <c:axId val="226326016"/>
        <c:scaling>
          <c:orientation val="minMax"/>
        </c:scaling>
        <c:delete val="0"/>
        <c:axPos val="t"/>
        <c:numFmt formatCode="General" sourceLinked="1"/>
        <c:majorTickMark val="out"/>
        <c:minorTickMark val="none"/>
        <c:tickLblPos val="nextTo"/>
        <c:txPr>
          <a:bodyPr/>
          <a:lstStyle/>
          <a:p>
            <a:pPr>
              <a:defRPr sz="800"/>
            </a:pPr>
            <a:endParaRPr lang="en-US"/>
          </a:p>
        </c:txPr>
        <c:crossAx val="22632448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BottomManagersPerScenario_Data!$O$2:$O$11</c:f>
              <c:strCache>
                <c:ptCount val="10"/>
                <c:pt idx="0">
                  <c:v>Silver Point Capital: Silver Point Distressed Opportunity Institutional Partners + Silver Point HF</c:v>
                </c:pt>
                <c:pt idx="1">
                  <c:v>PIMCO: PIMCO Commodity Alpha Fund</c:v>
                </c:pt>
                <c:pt idx="2">
                  <c:v>Mesarete: Prior TR+back with Pharo Macro+Mesarete Capital Fund</c:v>
                </c:pt>
                <c:pt idx="3">
                  <c:v>HF: Current Coinvests (Excluding BH Coinvests)</c:v>
                </c:pt>
                <c:pt idx="4">
                  <c:v>Saba: CEF1 MN - 2.75x</c:v>
                </c:pt>
                <c:pt idx="5">
                  <c:v>King Street Capital LP: King Street Capital LP</c:v>
                </c:pt>
                <c:pt idx="6">
                  <c:v>LibreMax Partners LP: LibreMax Partners LP</c:v>
                </c:pt>
                <c:pt idx="7">
                  <c:v>Aquatic: Aquatic - Nautilus CFM (Net)</c:v>
                </c:pt>
                <c:pt idx="8">
                  <c:v>Graham Absolute Return Ltd: Graham Absolute Return Ltd</c:v>
                </c:pt>
                <c:pt idx="9">
                  <c:v>Voleon Composition Domestic Fund LP: Voleon Composition Domestic Fund LP</c:v>
                </c:pt>
              </c:strCache>
            </c:strRef>
          </c:cat>
          <c:val>
            <c:numRef>
              <c:f>BottomManagersPerScenario_Data!$P$2:$P$11</c:f>
              <c:numCache>
                <c:formatCode>General</c:formatCode>
                <c:ptCount val="10"/>
                <c:pt idx="0">
                  <c:v>-8.6402481033416763</c:v>
                </c:pt>
                <c:pt idx="1">
                  <c:v>-4.5800419162435357</c:v>
                </c:pt>
                <c:pt idx="2">
                  <c:v>-3.0934758921549279</c:v>
                </c:pt>
                <c:pt idx="3">
                  <c:v>-2.3753221779039864</c:v>
                </c:pt>
                <c:pt idx="4">
                  <c:v>-2.1782198990995756</c:v>
                </c:pt>
                <c:pt idx="5">
                  <c:v>-1.9508288438789056</c:v>
                </c:pt>
                <c:pt idx="6">
                  <c:v>-1.7613745190526677</c:v>
                </c:pt>
                <c:pt idx="7">
                  <c:v>-1.6731249200523914</c:v>
                </c:pt>
                <c:pt idx="8">
                  <c:v>-1.6232624351017801</c:v>
                </c:pt>
                <c:pt idx="9">
                  <c:v>-1.4624458137414531</c:v>
                </c:pt>
              </c:numCache>
            </c:numRef>
          </c:val>
          <c:extLst>
            <c:ext xmlns:c16="http://schemas.microsoft.com/office/drawing/2014/chart" uri="{C3380CC4-5D6E-409C-BE32-E72D297353CC}">
              <c16:uniqueId val="{00000000-F1BC-44FE-81B4-C3C5153DA0E0}"/>
            </c:ext>
          </c:extLst>
        </c:ser>
        <c:dLbls>
          <c:showLegendKey val="0"/>
          <c:showVal val="0"/>
          <c:showCatName val="0"/>
          <c:showSerName val="0"/>
          <c:showPercent val="0"/>
          <c:showBubbleSize val="0"/>
        </c:dLbls>
        <c:gapWidth val="26"/>
        <c:axId val="226362496"/>
        <c:axId val="226364032"/>
      </c:barChart>
      <c:catAx>
        <c:axId val="226362496"/>
        <c:scaling>
          <c:orientation val="maxMin"/>
        </c:scaling>
        <c:delete val="0"/>
        <c:axPos val="l"/>
        <c:numFmt formatCode="General" sourceLinked="1"/>
        <c:majorTickMark val="out"/>
        <c:minorTickMark val="none"/>
        <c:tickLblPos val="low"/>
        <c:txPr>
          <a:bodyPr/>
          <a:lstStyle/>
          <a:p>
            <a:pPr>
              <a:defRPr sz="900"/>
            </a:pPr>
            <a:endParaRPr lang="en-US"/>
          </a:p>
        </c:txPr>
        <c:crossAx val="226364032"/>
        <c:crosses val="autoZero"/>
        <c:auto val="1"/>
        <c:lblAlgn val="ctr"/>
        <c:lblOffset val="100"/>
        <c:noMultiLvlLbl val="0"/>
      </c:catAx>
      <c:valAx>
        <c:axId val="226364032"/>
        <c:scaling>
          <c:orientation val="minMax"/>
        </c:scaling>
        <c:delete val="0"/>
        <c:axPos val="t"/>
        <c:numFmt formatCode="General" sourceLinked="1"/>
        <c:majorTickMark val="out"/>
        <c:minorTickMark val="none"/>
        <c:tickLblPos val="nextTo"/>
        <c:txPr>
          <a:bodyPr/>
          <a:lstStyle/>
          <a:p>
            <a:pPr>
              <a:defRPr sz="800"/>
            </a:pPr>
            <a:endParaRPr lang="en-US"/>
          </a:p>
        </c:txPr>
        <c:crossAx val="22636249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BottomManagersPerScenario_Data!$Q$2:$Q$11</c:f>
              <c:strCache>
                <c:ptCount val="10"/>
                <c:pt idx="0">
                  <c:v>PIMCO: PIMCO Commodity Alpha Fund</c:v>
                </c:pt>
                <c:pt idx="1">
                  <c:v>Aquatic: Aquatic - Nautilus CFM (Net)</c:v>
                </c:pt>
                <c:pt idx="2">
                  <c:v>Rokos Global Macro Fund LP: Rokos Global Macro Fund LP</c:v>
                </c:pt>
                <c:pt idx="3">
                  <c:v>King Street Capital LP: King Street Capital LP</c:v>
                </c:pt>
                <c:pt idx="4">
                  <c:v>Mesarete: Prior TR+back with Pharo Macro+Mesarete Capital Fund</c:v>
                </c:pt>
                <c:pt idx="5">
                  <c:v>Graham Absolute Return Ltd: Graham Absolute Return Ltd</c:v>
                </c:pt>
                <c:pt idx="6">
                  <c:v>Saba: CEF1 MN - 2.75x</c:v>
                </c:pt>
                <c:pt idx="7">
                  <c:v>HF: Current Coinvests (Excluding BH Coinvests)</c:v>
                </c:pt>
                <c:pt idx="8">
                  <c:v>Voleon Composition Domestic Fund LP: Voleon Composition Domestic Fund LP</c:v>
                </c:pt>
                <c:pt idx="9">
                  <c:v>Taula: SWIB-DM Taula</c:v>
                </c:pt>
              </c:strCache>
            </c:strRef>
          </c:cat>
          <c:val>
            <c:numRef>
              <c:f>BottomManagersPerScenario_Data!$R$2:$R$11</c:f>
              <c:numCache>
                <c:formatCode>General</c:formatCode>
                <c:ptCount val="10"/>
                <c:pt idx="0">
                  <c:v>-2.7795679690313913</c:v>
                </c:pt>
                <c:pt idx="1">
                  <c:v>-1.5928982033935848</c:v>
                </c:pt>
                <c:pt idx="2">
                  <c:v>-1.3056845433300475</c:v>
                </c:pt>
                <c:pt idx="3">
                  <c:v>-1.2404076188234707</c:v>
                </c:pt>
                <c:pt idx="4">
                  <c:v>-1.1603701184528736</c:v>
                </c:pt>
                <c:pt idx="5">
                  <c:v>-0.99289453574083641</c:v>
                </c:pt>
                <c:pt idx="6">
                  <c:v>-0.9044658423210965</c:v>
                </c:pt>
                <c:pt idx="7">
                  <c:v>-0.76868295779815266</c:v>
                </c:pt>
                <c:pt idx="8">
                  <c:v>-0.47735815994663705</c:v>
                </c:pt>
                <c:pt idx="9">
                  <c:v>-0.37912509398912941</c:v>
                </c:pt>
              </c:numCache>
            </c:numRef>
          </c:val>
          <c:extLst>
            <c:ext xmlns:c16="http://schemas.microsoft.com/office/drawing/2014/chart" uri="{C3380CC4-5D6E-409C-BE32-E72D297353CC}">
              <c16:uniqueId val="{00000000-782A-4BD2-A7BB-9ACD35DAA971}"/>
            </c:ext>
          </c:extLst>
        </c:ser>
        <c:dLbls>
          <c:showLegendKey val="0"/>
          <c:showVal val="0"/>
          <c:showCatName val="0"/>
          <c:showSerName val="0"/>
          <c:showPercent val="0"/>
          <c:showBubbleSize val="0"/>
        </c:dLbls>
        <c:gapWidth val="26"/>
        <c:axId val="226420992"/>
        <c:axId val="226430976"/>
      </c:barChart>
      <c:catAx>
        <c:axId val="226420992"/>
        <c:scaling>
          <c:orientation val="maxMin"/>
        </c:scaling>
        <c:delete val="0"/>
        <c:axPos val="l"/>
        <c:numFmt formatCode="General" sourceLinked="1"/>
        <c:majorTickMark val="out"/>
        <c:minorTickMark val="none"/>
        <c:tickLblPos val="low"/>
        <c:txPr>
          <a:bodyPr/>
          <a:lstStyle/>
          <a:p>
            <a:pPr>
              <a:defRPr sz="900"/>
            </a:pPr>
            <a:endParaRPr lang="en-US"/>
          </a:p>
        </c:txPr>
        <c:crossAx val="226430976"/>
        <c:crosses val="autoZero"/>
        <c:auto val="1"/>
        <c:lblAlgn val="ctr"/>
        <c:lblOffset val="100"/>
        <c:noMultiLvlLbl val="0"/>
      </c:catAx>
      <c:valAx>
        <c:axId val="226430976"/>
        <c:scaling>
          <c:orientation val="minMax"/>
        </c:scaling>
        <c:delete val="0"/>
        <c:axPos val="t"/>
        <c:numFmt formatCode="General" sourceLinked="1"/>
        <c:majorTickMark val="out"/>
        <c:minorTickMark val="none"/>
        <c:tickLblPos val="nextTo"/>
        <c:txPr>
          <a:bodyPr/>
          <a:lstStyle/>
          <a:p>
            <a:pPr>
              <a:defRPr sz="800"/>
            </a:pPr>
            <a:endParaRPr lang="en-US"/>
          </a:p>
        </c:txPr>
        <c:crossAx val="226420992"/>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BottomManagersPerScenario_Data!$S$2:$S$11</c:f>
              <c:strCache>
                <c:ptCount val="10"/>
                <c:pt idx="0">
                  <c:v>Rokos Global Macro Fund LP: Rokos Global Macro Fund LP</c:v>
                </c:pt>
                <c:pt idx="1">
                  <c:v>PIMCO: PIMCO Commodity Alpha Fund</c:v>
                </c:pt>
                <c:pt idx="2">
                  <c:v>Aquatic: Aquatic - Nautilus CFM (Net)</c:v>
                </c:pt>
                <c:pt idx="3">
                  <c:v>Saba: CEF1 MN - 2.75x</c:v>
                </c:pt>
                <c:pt idx="4">
                  <c:v>Brevan Howard MB Macro Fund: Brevan Howard MB Macro Fund with proforma</c:v>
                </c:pt>
                <c:pt idx="5">
                  <c:v>Taula: SWIB-DM Taula</c:v>
                </c:pt>
                <c:pt idx="6">
                  <c:v>King Street Capital LP: King Street Capital LP</c:v>
                </c:pt>
                <c:pt idx="7">
                  <c:v>Brevan Howard Coinvests (Aksia): Brevan Howard Special Opportunities SPC</c:v>
                </c:pt>
                <c:pt idx="8">
                  <c:v>HF: Current Coinvests (Excluding BH Coinvests)</c:v>
                </c:pt>
                <c:pt idx="9">
                  <c:v>Graham Absolute Return Ltd: Graham Absolute Return Ltd</c:v>
                </c:pt>
              </c:strCache>
            </c:strRef>
          </c:cat>
          <c:val>
            <c:numRef>
              <c:f>BottomManagersPerScenario_Data!$T$2:$T$11</c:f>
              <c:numCache>
                <c:formatCode>General</c:formatCode>
                <c:ptCount val="10"/>
                <c:pt idx="0">
                  <c:v>-7.6864085235347197</c:v>
                </c:pt>
                <c:pt idx="1">
                  <c:v>-6.1479653830193159</c:v>
                </c:pt>
                <c:pt idx="2">
                  <c:v>-2.9249690791846397</c:v>
                </c:pt>
                <c:pt idx="3">
                  <c:v>-2.5962676454907765</c:v>
                </c:pt>
                <c:pt idx="4">
                  <c:v>-2.1274732421877425</c:v>
                </c:pt>
                <c:pt idx="5">
                  <c:v>-2.0773846805142098</c:v>
                </c:pt>
                <c:pt idx="6">
                  <c:v>-1.6355197867162823</c:v>
                </c:pt>
                <c:pt idx="7">
                  <c:v>-1.5587522525899025</c:v>
                </c:pt>
                <c:pt idx="8">
                  <c:v>-1.4819288819841772</c:v>
                </c:pt>
                <c:pt idx="9">
                  <c:v>-1.0988992592152995</c:v>
                </c:pt>
              </c:numCache>
            </c:numRef>
          </c:val>
          <c:extLst>
            <c:ext xmlns:c16="http://schemas.microsoft.com/office/drawing/2014/chart" uri="{C3380CC4-5D6E-409C-BE32-E72D297353CC}">
              <c16:uniqueId val="{00000000-04D7-4C15-9AB3-1961476D0943}"/>
            </c:ext>
          </c:extLst>
        </c:ser>
        <c:dLbls>
          <c:showLegendKey val="0"/>
          <c:showVal val="0"/>
          <c:showCatName val="0"/>
          <c:showSerName val="0"/>
          <c:showPercent val="0"/>
          <c:showBubbleSize val="0"/>
        </c:dLbls>
        <c:gapWidth val="26"/>
        <c:axId val="226438528"/>
        <c:axId val="226452608"/>
      </c:barChart>
      <c:catAx>
        <c:axId val="226438528"/>
        <c:scaling>
          <c:orientation val="maxMin"/>
        </c:scaling>
        <c:delete val="0"/>
        <c:axPos val="l"/>
        <c:numFmt formatCode="General" sourceLinked="1"/>
        <c:majorTickMark val="out"/>
        <c:minorTickMark val="none"/>
        <c:tickLblPos val="low"/>
        <c:txPr>
          <a:bodyPr/>
          <a:lstStyle/>
          <a:p>
            <a:pPr>
              <a:defRPr sz="900"/>
            </a:pPr>
            <a:endParaRPr lang="en-US"/>
          </a:p>
        </c:txPr>
        <c:crossAx val="226452608"/>
        <c:crosses val="autoZero"/>
        <c:auto val="1"/>
        <c:lblAlgn val="ctr"/>
        <c:lblOffset val="100"/>
        <c:noMultiLvlLbl val="0"/>
      </c:catAx>
      <c:valAx>
        <c:axId val="226452608"/>
        <c:scaling>
          <c:orientation val="minMax"/>
        </c:scaling>
        <c:delete val="0"/>
        <c:axPos val="t"/>
        <c:numFmt formatCode="General" sourceLinked="1"/>
        <c:majorTickMark val="out"/>
        <c:minorTickMark val="none"/>
        <c:tickLblPos val="nextTo"/>
        <c:txPr>
          <a:bodyPr/>
          <a:lstStyle/>
          <a:p>
            <a:pPr>
              <a:defRPr sz="800"/>
            </a:pPr>
            <a:endParaRPr lang="en-US"/>
          </a:p>
        </c:txPr>
        <c:crossAx val="226438528"/>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clustered"/>
        <c:varyColors val="0"/>
        <c:ser>
          <c:idx val="0"/>
          <c:order val="0"/>
          <c:spPr>
            <a:solidFill>
              <a:srgbClr val="689CDA"/>
            </a:solidFill>
          </c:spPr>
          <c:invertIfNegative val="0"/>
          <c:dLbls>
            <c:numFmt formatCode="0.0" sourceLinked="0"/>
            <c:spPr>
              <a:noFill/>
              <a:ln>
                <a:noFill/>
              </a:ln>
              <a:effectLst/>
            </c:spPr>
            <c:txPr>
              <a:bodyPr/>
              <a:lstStyle/>
              <a:p>
                <a:pPr>
                  <a:defRPr sz="800"/>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BottomManagersPerScenario_Data!$U$2:$U$11</c:f>
              <c:strCache>
                <c:ptCount val="10"/>
                <c:pt idx="0">
                  <c:v>Silver Point Capital: Silver Point Distressed Opportunity Institutional Partners + Silver Point HF</c:v>
                </c:pt>
                <c:pt idx="1">
                  <c:v>PIMCO: PIMCO Commodity Alpha Fund</c:v>
                </c:pt>
                <c:pt idx="2">
                  <c:v>Aquatic: Aquatic - Nautilus CFM (Net)</c:v>
                </c:pt>
                <c:pt idx="3">
                  <c:v>HF: Current Coinvests (Excluding BH Coinvests)</c:v>
                </c:pt>
                <c:pt idx="4">
                  <c:v>Mesarete: Prior TR+back with Pharo Macro+Mesarete Capital Fund</c:v>
                </c:pt>
                <c:pt idx="5">
                  <c:v>Hudson Structured: HSCM w MFC</c:v>
                </c:pt>
                <c:pt idx="6">
                  <c:v>Saba: CEF1 MN - 2.75x</c:v>
                </c:pt>
                <c:pt idx="7">
                  <c:v>King Street Capital LP: King Street Capital LP</c:v>
                </c:pt>
                <c:pt idx="8">
                  <c:v>LibreMax Partners LP: LibreMax Partners LP</c:v>
                </c:pt>
                <c:pt idx="9">
                  <c:v>Four World: FWGO Minority Descent</c:v>
                </c:pt>
              </c:strCache>
            </c:strRef>
          </c:cat>
          <c:val>
            <c:numRef>
              <c:f>BottomManagersPerScenario_Data!$V$2:$V$11</c:f>
              <c:numCache>
                <c:formatCode>General</c:formatCode>
                <c:ptCount val="10"/>
                <c:pt idx="0">
                  <c:v>-2.8024160161237313</c:v>
                </c:pt>
                <c:pt idx="1">
                  <c:v>-1.2212106026756813</c:v>
                </c:pt>
                <c:pt idx="2">
                  <c:v>-1.1990010182602795</c:v>
                </c:pt>
                <c:pt idx="3">
                  <c:v>-0.91281200259418671</c:v>
                </c:pt>
                <c:pt idx="4">
                  <c:v>-0.86863254144673596</c:v>
                </c:pt>
                <c:pt idx="5">
                  <c:v>-0.73264088250035808</c:v>
                </c:pt>
                <c:pt idx="6">
                  <c:v>-0.18303597640621741</c:v>
                </c:pt>
                <c:pt idx="7">
                  <c:v>-0.15866768505998344</c:v>
                </c:pt>
                <c:pt idx="8">
                  <c:v>2.8230378647028254E-2</c:v>
                </c:pt>
                <c:pt idx="9">
                  <c:v>0.20936444276679042</c:v>
                </c:pt>
              </c:numCache>
            </c:numRef>
          </c:val>
          <c:extLst>
            <c:ext xmlns:c16="http://schemas.microsoft.com/office/drawing/2014/chart" uri="{C3380CC4-5D6E-409C-BE32-E72D297353CC}">
              <c16:uniqueId val="{00000000-B898-42B6-BE18-A0153762E263}"/>
            </c:ext>
          </c:extLst>
        </c:ser>
        <c:dLbls>
          <c:showLegendKey val="0"/>
          <c:showVal val="0"/>
          <c:showCatName val="0"/>
          <c:showSerName val="0"/>
          <c:showPercent val="0"/>
          <c:showBubbleSize val="0"/>
        </c:dLbls>
        <c:gapWidth val="26"/>
        <c:axId val="226632448"/>
        <c:axId val="226633984"/>
      </c:barChart>
      <c:catAx>
        <c:axId val="226632448"/>
        <c:scaling>
          <c:orientation val="maxMin"/>
        </c:scaling>
        <c:delete val="0"/>
        <c:axPos val="l"/>
        <c:numFmt formatCode="General" sourceLinked="1"/>
        <c:majorTickMark val="out"/>
        <c:minorTickMark val="none"/>
        <c:tickLblPos val="low"/>
        <c:txPr>
          <a:bodyPr/>
          <a:lstStyle/>
          <a:p>
            <a:pPr>
              <a:defRPr sz="900"/>
            </a:pPr>
            <a:endParaRPr lang="en-US"/>
          </a:p>
        </c:txPr>
        <c:crossAx val="226633984"/>
        <c:crosses val="autoZero"/>
        <c:auto val="1"/>
        <c:lblAlgn val="ctr"/>
        <c:lblOffset val="100"/>
        <c:noMultiLvlLbl val="0"/>
      </c:catAx>
      <c:valAx>
        <c:axId val="226633984"/>
        <c:scaling>
          <c:orientation val="minMax"/>
        </c:scaling>
        <c:delete val="0"/>
        <c:axPos val="t"/>
        <c:numFmt formatCode="General" sourceLinked="1"/>
        <c:majorTickMark val="out"/>
        <c:minorTickMark val="none"/>
        <c:tickLblPos val="nextTo"/>
        <c:txPr>
          <a:bodyPr/>
          <a:lstStyle/>
          <a:p>
            <a:pPr>
              <a:defRPr sz="800"/>
            </a:pPr>
            <a:endParaRPr lang="en-US"/>
          </a:p>
        </c:txPr>
        <c:crossAx val="226632448"/>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07/relationships/hdphoto" Target="../media/hdphoto1.wdp"/><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chart" Target="../charts/chart13.xml"/><Relationship Id="rId4"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3.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23.xml"/><Relationship Id="rId3" Type="http://schemas.openxmlformats.org/officeDocument/2006/relationships/chart" Target="../charts/chart17.xml"/><Relationship Id="rId7" Type="http://schemas.openxmlformats.org/officeDocument/2006/relationships/image" Target="../media/image2.png"/><Relationship Id="rId12" Type="http://schemas.openxmlformats.org/officeDocument/2006/relationships/chart" Target="../charts/chart22.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1.xml"/><Relationship Id="rId5" Type="http://schemas.openxmlformats.org/officeDocument/2006/relationships/chart" Target="../charts/chart19.xml"/><Relationship Id="rId15" Type="http://schemas.openxmlformats.org/officeDocument/2006/relationships/chart" Target="../charts/chart25.xml"/><Relationship Id="rId10" Type="http://schemas.openxmlformats.org/officeDocument/2006/relationships/image" Target="../media/image7.png"/><Relationship Id="rId4" Type="http://schemas.openxmlformats.org/officeDocument/2006/relationships/chart" Target="../charts/chart18.xml"/><Relationship Id="rId9" Type="http://schemas.openxmlformats.org/officeDocument/2006/relationships/image" Target="../media/image6.png"/><Relationship Id="rId14" Type="http://schemas.openxmlformats.org/officeDocument/2006/relationships/chart" Target="../charts/chart24.xml"/></Relationships>
</file>

<file path=xl/drawings/_rels/drawing1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7.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20</xdr:row>
      <xdr:rowOff>209551</xdr:rowOff>
    </xdr:from>
    <xdr:to>
      <xdr:col>5</xdr:col>
      <xdr:colOff>171149</xdr:colOff>
      <xdr:row>22</xdr:row>
      <xdr:rowOff>104775</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4829176"/>
          <a:ext cx="1647523" cy="390524"/>
        </a:xfrm>
        <a:prstGeom prst="rect">
          <a:avLst/>
        </a:prstGeom>
      </xdr:spPr>
    </xdr:pic>
    <xdr:clientData/>
  </xdr:twoCellAnchor>
  <xdr:twoCellAnchor>
    <xdr:from>
      <xdr:col>0</xdr:col>
      <xdr:colOff>0</xdr:colOff>
      <xdr:row>0</xdr:row>
      <xdr:rowOff>0</xdr:rowOff>
    </xdr:from>
    <xdr:to>
      <xdr:col>35</xdr:col>
      <xdr:colOff>9525</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8677275" cy="381000"/>
        </a:xfrm>
        <a:prstGeom prst="rect">
          <a:avLst/>
        </a:prstGeom>
      </xdr:spPr>
    </xdr:pic>
    <xdr:clientData/>
  </xdr:twoCellAnchor>
  <xdr:twoCellAnchor>
    <xdr:from>
      <xdr:col>0</xdr:col>
      <xdr:colOff>19051</xdr:colOff>
      <xdr:row>0</xdr:row>
      <xdr:rowOff>15875</xdr:rowOff>
    </xdr:from>
    <xdr:to>
      <xdr:col>34</xdr:col>
      <xdr:colOff>314325</xdr:colOff>
      <xdr:row>1</xdr:row>
      <xdr:rowOff>166492</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9051" y="15875"/>
          <a:ext cx="11630024"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INDEX</a:t>
          </a:r>
        </a:p>
        <a:p>
          <a:pPr algn="ctr"/>
          <a:endParaRPr lang="en-US" sz="1600">
            <a:solidFill>
              <a:schemeClr val="bg1"/>
            </a:solidFill>
            <a:latin typeface="Cambria" pitchFamily="18" charset="0"/>
            <a:cs typeface="Arial" pitchFamily="34" charset="0"/>
          </a:endParaRPr>
        </a:p>
      </xdr:txBody>
    </xdr:sp>
    <xdr:clientData/>
  </xdr:twoCellAnchor>
  <xdr:twoCellAnchor>
    <xdr:from>
      <xdr:col>21</xdr:col>
      <xdr:colOff>28574</xdr:colOff>
      <xdr:row>24</xdr:row>
      <xdr:rowOff>47625</xdr:rowOff>
    </xdr:from>
    <xdr:to>
      <xdr:col>34</xdr:col>
      <xdr:colOff>161924</xdr:colOff>
      <xdr:row>36</xdr:row>
      <xdr:rowOff>95250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190500</xdr:colOff>
      <xdr:row>20</xdr:row>
      <xdr:rowOff>171450</xdr:rowOff>
    </xdr:from>
    <xdr:to>
      <xdr:col>34</xdr:col>
      <xdr:colOff>85897</xdr:colOff>
      <xdr:row>22</xdr:row>
      <xdr:rowOff>104835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191750" y="5314950"/>
          <a:ext cx="1228897" cy="4286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557892</xdr:colOff>
      <xdr:row>1</xdr:row>
      <xdr:rowOff>204106</xdr:rowOff>
    </xdr:from>
    <xdr:to>
      <xdr:col>11</xdr:col>
      <xdr:colOff>612322</xdr:colOff>
      <xdr:row>22</xdr:row>
      <xdr:rowOff>176893</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68</xdr:row>
      <xdr:rowOff>133350</xdr:rowOff>
    </xdr:from>
    <xdr:to>
      <xdr:col>5</xdr:col>
      <xdr:colOff>28273</xdr:colOff>
      <xdr:row>70</xdr:row>
      <xdr:rowOff>142874</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0296525"/>
          <a:ext cx="1647523" cy="390524"/>
        </a:xfrm>
        <a:prstGeom prst="rect">
          <a:avLst/>
        </a:prstGeom>
      </xdr:spPr>
    </xdr:pic>
    <xdr:clientData/>
  </xdr:twoCellAnchor>
  <xdr:twoCellAnchor>
    <xdr:from>
      <xdr:col>0</xdr:col>
      <xdr:colOff>0</xdr:colOff>
      <xdr:row>0</xdr:row>
      <xdr:rowOff>0</xdr:rowOff>
    </xdr:from>
    <xdr:to>
      <xdr:col>35</xdr:col>
      <xdr:colOff>0</xdr:colOff>
      <xdr:row>2</xdr:row>
      <xdr:rowOff>85724</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11668125" cy="371474"/>
        </a:xfrm>
        <a:prstGeom prst="rect">
          <a:avLst/>
        </a:prstGeom>
      </xdr:spPr>
    </xdr:pic>
    <xdr:clientData/>
  </xdr:twoCellAnchor>
  <xdr:twoCellAnchor>
    <xdr:from>
      <xdr:col>7</xdr:col>
      <xdr:colOff>161924</xdr:colOff>
      <xdr:row>0</xdr:row>
      <xdr:rowOff>13578</xdr:rowOff>
    </xdr:from>
    <xdr:to>
      <xdr:col>28</xdr:col>
      <xdr:colOff>209549</xdr:colOff>
      <xdr:row>2</xdr:row>
      <xdr:rowOff>9525</xdr:rowOff>
    </xdr:to>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2495549" y="13578"/>
          <a:ext cx="7048500" cy="281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SUMMARY</a:t>
          </a:r>
        </a:p>
        <a:p>
          <a:pPr algn="ctr"/>
          <a:endParaRPr lang="en-US" sz="1600">
            <a:solidFill>
              <a:schemeClr val="bg1"/>
            </a:solidFill>
            <a:latin typeface="Cambria" pitchFamily="18" charset="0"/>
            <a:cs typeface="Arial" pitchFamily="34" charset="0"/>
          </a:endParaRPr>
        </a:p>
      </xdr:txBody>
    </xdr:sp>
    <xdr:clientData/>
  </xdr:twoCellAnchor>
  <xdr:twoCellAnchor>
    <xdr:from>
      <xdr:col>21</xdr:col>
      <xdr:colOff>0</xdr:colOff>
      <xdr:row>47</xdr:row>
      <xdr:rowOff>42527</xdr:rowOff>
    </xdr:from>
    <xdr:to>
      <xdr:col>24</xdr:col>
      <xdr:colOff>38723</xdr:colOff>
      <xdr:row>54</xdr:row>
      <xdr:rowOff>57151</xdr:rowOff>
    </xdr:to>
    <xdr:graphicFrame macro="">
      <xdr:nvGraphicFramePr>
        <xdr:cNvPr id="12" name="Chart 11">
          <a:extLst>
            <a:ext uri="{FF2B5EF4-FFF2-40B4-BE49-F238E27FC236}">
              <a16:creationId xmlns:a16="http://schemas.microsoft.com/office/drawing/2014/main" id="{00000000-0008-0000-0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256190</xdr:colOff>
      <xdr:row>47</xdr:row>
      <xdr:rowOff>42526</xdr:rowOff>
    </xdr:from>
    <xdr:to>
      <xdr:col>35</xdr:col>
      <xdr:colOff>0</xdr:colOff>
      <xdr:row>54</xdr:row>
      <xdr:rowOff>104776</xdr:rowOff>
    </xdr:to>
    <xdr:graphicFrame macro="">
      <xdr:nvGraphicFramePr>
        <xdr:cNvPr id="13" name="Chart 12">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237140</xdr:colOff>
      <xdr:row>57</xdr:row>
      <xdr:rowOff>42526</xdr:rowOff>
    </xdr:from>
    <xdr:to>
      <xdr:col>24</xdr:col>
      <xdr:colOff>38723</xdr:colOff>
      <xdr:row>64</xdr:row>
      <xdr:rowOff>95250</xdr:rowOff>
    </xdr:to>
    <xdr:graphicFrame macro="">
      <xdr:nvGraphicFramePr>
        <xdr:cNvPr id="18" name="Chart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256190</xdr:colOff>
      <xdr:row>56</xdr:row>
      <xdr:rowOff>137776</xdr:rowOff>
    </xdr:from>
    <xdr:to>
      <xdr:col>35</xdr:col>
      <xdr:colOff>0</xdr:colOff>
      <xdr:row>64</xdr:row>
      <xdr:rowOff>57150</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161924</xdr:colOff>
      <xdr:row>27</xdr:row>
      <xdr:rowOff>38100</xdr:rowOff>
    </xdr:from>
    <xdr:to>
      <xdr:col>34</xdr:col>
      <xdr:colOff>257174</xdr:colOff>
      <xdr:row>41</xdr:row>
      <xdr:rowOff>57150</xdr:rowOff>
    </xdr:to>
    <xdr:graphicFrame macro="">
      <xdr:nvGraphicFramePr>
        <xdr:cNvPr id="17" name="Chart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9526</xdr:colOff>
      <xdr:row>6</xdr:row>
      <xdr:rowOff>9525</xdr:rowOff>
    </xdr:from>
    <xdr:to>
      <xdr:col>16</xdr:col>
      <xdr:colOff>323850</xdr:colOff>
      <xdr:row>24</xdr:row>
      <xdr:rowOff>95250</xdr:rowOff>
    </xdr:to>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30</xdr:col>
      <xdr:colOff>171450</xdr:colOff>
      <xdr:row>68</xdr:row>
      <xdr:rowOff>123825</xdr:rowOff>
    </xdr:from>
    <xdr:to>
      <xdr:col>34</xdr:col>
      <xdr:colOff>66847</xdr:colOff>
      <xdr:row>70</xdr:row>
      <xdr:rowOff>171510</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172700" y="10287000"/>
          <a:ext cx="1228897" cy="4286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84</xdr:row>
      <xdr:rowOff>0</xdr:rowOff>
    </xdr:from>
    <xdr:to>
      <xdr:col>5</xdr:col>
      <xdr:colOff>56848</xdr:colOff>
      <xdr:row>86</xdr:row>
      <xdr:rowOff>9524</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11372850"/>
          <a:ext cx="1647523" cy="390524"/>
        </a:xfrm>
        <a:prstGeom prst="rect">
          <a:avLst/>
        </a:prstGeom>
      </xdr:spPr>
    </xdr:pic>
    <xdr:clientData/>
  </xdr:twoCellAnchor>
  <xdr:twoCellAnchor>
    <xdr:from>
      <xdr:col>0</xdr:col>
      <xdr:colOff>0</xdr:colOff>
      <xdr:row>0</xdr:row>
      <xdr:rowOff>0</xdr:rowOff>
    </xdr:from>
    <xdr:to>
      <xdr:col>35</xdr:col>
      <xdr:colOff>304800</xdr:colOff>
      <xdr:row>2</xdr:row>
      <xdr:rowOff>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11972925" cy="381000"/>
        </a:xfrm>
        <a:prstGeom prst="rect">
          <a:avLst/>
        </a:prstGeom>
      </xdr:spPr>
    </xdr:pic>
    <xdr:clientData/>
  </xdr:twoCellAnchor>
  <xdr:twoCellAnchor>
    <xdr:from>
      <xdr:col>0</xdr:col>
      <xdr:colOff>0</xdr:colOff>
      <xdr:row>0</xdr:row>
      <xdr:rowOff>15875</xdr:rowOff>
    </xdr:from>
    <xdr:to>
      <xdr:col>34</xdr:col>
      <xdr:colOff>228600</xdr:colOff>
      <xdr:row>1</xdr:row>
      <xdr:rowOff>166492</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0" y="15875"/>
          <a:ext cx="8648700"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HISTORICAL</a:t>
          </a:r>
          <a:r>
            <a:rPr lang="en-US" sz="1600" baseline="0">
              <a:solidFill>
                <a:schemeClr val="bg1"/>
              </a:solidFill>
              <a:latin typeface="Cambria" pitchFamily="18" charset="0"/>
              <a:cs typeface="Arial" pitchFamily="34" charset="0"/>
            </a:rPr>
            <a:t> </a:t>
          </a:r>
          <a:r>
            <a:rPr lang="en-US" sz="1600">
              <a:solidFill>
                <a:schemeClr val="bg1"/>
              </a:solidFill>
              <a:latin typeface="Cambria" pitchFamily="18" charset="0"/>
              <a:cs typeface="Arial" pitchFamily="34" charset="0"/>
            </a:rPr>
            <a:t>STATISTICS</a:t>
          </a:r>
        </a:p>
        <a:p>
          <a:pPr algn="ctr"/>
          <a:endParaRPr lang="en-US" sz="1600">
            <a:solidFill>
              <a:schemeClr val="bg1"/>
            </a:solidFill>
            <a:latin typeface="Cambria" pitchFamily="18" charset="0"/>
            <a:cs typeface="Arial" pitchFamily="34" charset="0"/>
          </a:endParaRPr>
        </a:p>
      </xdr:txBody>
    </xdr:sp>
    <xdr:clientData/>
  </xdr:twoCellAnchor>
  <xdr:twoCellAnchor editAs="oneCell">
    <xdr:from>
      <xdr:col>31</xdr:col>
      <xdr:colOff>285750</xdr:colOff>
      <xdr:row>83</xdr:row>
      <xdr:rowOff>142875</xdr:rowOff>
    </xdr:from>
    <xdr:to>
      <xdr:col>35</xdr:col>
      <xdr:colOff>181147</xdr:colOff>
      <xdr:row>86</xdr:row>
      <xdr:rowOff>60</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620375" y="11325225"/>
          <a:ext cx="1228897" cy="4286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83</xdr:row>
      <xdr:rowOff>38100</xdr:rowOff>
    </xdr:from>
    <xdr:to>
      <xdr:col>5</xdr:col>
      <xdr:colOff>66373</xdr:colOff>
      <xdr:row>85</xdr:row>
      <xdr:rowOff>142874</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268075"/>
          <a:ext cx="1647523" cy="390524"/>
        </a:xfrm>
        <a:prstGeom prst="rect">
          <a:avLst/>
        </a:prstGeom>
      </xdr:spPr>
    </xdr:pic>
    <xdr:clientData/>
  </xdr:twoCellAnchor>
  <xdr:twoCellAnchor>
    <xdr:from>
      <xdr:col>0</xdr:col>
      <xdr:colOff>0</xdr:colOff>
      <xdr:row>0</xdr:row>
      <xdr:rowOff>0</xdr:rowOff>
    </xdr:from>
    <xdr:to>
      <xdr:col>35</xdr:col>
      <xdr:colOff>0</xdr:colOff>
      <xdr:row>2</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11668125" cy="381000"/>
        </a:xfrm>
        <a:prstGeom prst="rect">
          <a:avLst/>
        </a:prstGeom>
      </xdr:spPr>
    </xdr:pic>
    <xdr:clientData/>
  </xdr:twoCellAnchor>
  <xdr:twoCellAnchor>
    <xdr:from>
      <xdr:col>0</xdr:col>
      <xdr:colOff>0</xdr:colOff>
      <xdr:row>0</xdr:row>
      <xdr:rowOff>15875</xdr:rowOff>
    </xdr:from>
    <xdr:to>
      <xdr:col>34</xdr:col>
      <xdr:colOff>228600</xdr:colOff>
      <xdr:row>1</xdr:row>
      <xdr:rowOff>166492</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15875"/>
          <a:ext cx="11563350"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SIMULATED STATISTICS</a:t>
          </a:r>
        </a:p>
        <a:p>
          <a:pPr algn="ctr"/>
          <a:endParaRPr lang="en-US" sz="1600">
            <a:solidFill>
              <a:schemeClr val="bg1"/>
            </a:solidFill>
            <a:latin typeface="Cambria" pitchFamily="18" charset="0"/>
            <a:cs typeface="Arial" pitchFamily="34" charset="0"/>
          </a:endParaRPr>
        </a:p>
      </xdr:txBody>
    </xdr:sp>
    <xdr:clientData/>
  </xdr:twoCellAnchor>
  <xdr:twoCellAnchor>
    <xdr:from>
      <xdr:col>28</xdr:col>
      <xdr:colOff>19050</xdr:colOff>
      <xdr:row>7</xdr:row>
      <xdr:rowOff>66675</xdr:rowOff>
    </xdr:from>
    <xdr:to>
      <xdr:col>35</xdr:col>
      <xdr:colOff>0</xdr:colOff>
      <xdr:row>81</xdr:row>
      <xdr:rowOff>57150</xdr:rowOff>
    </xdr:to>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266700</xdr:colOff>
      <xdr:row>82</xdr:row>
      <xdr:rowOff>123825</xdr:rowOff>
    </xdr:from>
    <xdr:to>
      <xdr:col>33</xdr:col>
      <xdr:colOff>162097</xdr:colOff>
      <xdr:row>85</xdr:row>
      <xdr:rowOff>133410</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934575" y="11220450"/>
          <a:ext cx="1228897" cy="4286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76200</xdr:colOff>
      <xdr:row>84</xdr:row>
      <xdr:rowOff>171450</xdr:rowOff>
    </xdr:from>
    <xdr:to>
      <xdr:col>5</xdr:col>
      <xdr:colOff>56848</xdr:colOff>
      <xdr:row>86</xdr:row>
      <xdr:rowOff>180974</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11372850"/>
          <a:ext cx="1647523" cy="390524"/>
        </a:xfrm>
        <a:prstGeom prst="rect">
          <a:avLst/>
        </a:prstGeom>
      </xdr:spPr>
    </xdr:pic>
    <xdr:clientData/>
  </xdr:twoCellAnchor>
  <xdr:twoCellAnchor>
    <xdr:from>
      <xdr:col>0</xdr:col>
      <xdr:colOff>0</xdr:colOff>
      <xdr:row>0</xdr:row>
      <xdr:rowOff>0</xdr:rowOff>
    </xdr:from>
    <xdr:to>
      <xdr:col>35</xdr:col>
      <xdr:colOff>9524</xdr:colOff>
      <xdr:row>2</xdr:row>
      <xdr:rowOff>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9039224" cy="381000"/>
        </a:xfrm>
        <a:prstGeom prst="rect">
          <a:avLst/>
        </a:prstGeom>
      </xdr:spPr>
    </xdr:pic>
    <xdr:clientData/>
  </xdr:twoCellAnchor>
  <xdr:twoCellAnchor>
    <xdr:from>
      <xdr:col>0</xdr:col>
      <xdr:colOff>0</xdr:colOff>
      <xdr:row>0</xdr:row>
      <xdr:rowOff>15875</xdr:rowOff>
    </xdr:from>
    <xdr:to>
      <xdr:col>34</xdr:col>
      <xdr:colOff>590550</xdr:colOff>
      <xdr:row>1</xdr:row>
      <xdr:rowOff>166492</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0" y="15875"/>
          <a:ext cx="9010650"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RISK BUDGETING</a:t>
          </a:r>
        </a:p>
        <a:p>
          <a:pPr algn="ctr"/>
          <a:endParaRPr lang="en-US" sz="1600">
            <a:solidFill>
              <a:schemeClr val="bg1"/>
            </a:solidFill>
            <a:latin typeface="Cambria" pitchFamily="18" charset="0"/>
            <a:cs typeface="Arial" pitchFamily="34" charset="0"/>
          </a:endParaRPr>
        </a:p>
      </xdr:txBody>
    </xdr:sp>
    <xdr:clientData/>
  </xdr:twoCellAnchor>
  <xdr:twoCellAnchor>
    <xdr:from>
      <xdr:col>0</xdr:col>
      <xdr:colOff>38100</xdr:colOff>
      <xdr:row>9</xdr:row>
      <xdr:rowOff>14286</xdr:rowOff>
    </xdr:from>
    <xdr:to>
      <xdr:col>15</xdr:col>
      <xdr:colOff>200025</xdr:colOff>
      <xdr:row>44</xdr:row>
      <xdr:rowOff>76200</xdr:rowOff>
    </xdr:to>
    <xdr:graphicFrame macro="">
      <xdr:nvGraphicFramePr>
        <xdr:cNvPr id="3" name="Chart 2" descr="Risk Budgeting ETL" title="Risk Budgeting ET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9525</xdr:colOff>
      <xdr:row>84</xdr:row>
      <xdr:rowOff>142875</xdr:rowOff>
    </xdr:from>
    <xdr:to>
      <xdr:col>33</xdr:col>
      <xdr:colOff>238297</xdr:colOff>
      <xdr:row>87</xdr:row>
      <xdr:rowOff>60</xdr:rowOff>
    </xdr:to>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010775" y="11344275"/>
          <a:ext cx="1228897" cy="4286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84</xdr:row>
      <xdr:rowOff>180975</xdr:rowOff>
    </xdr:from>
    <xdr:to>
      <xdr:col>5</xdr:col>
      <xdr:colOff>66373</xdr:colOff>
      <xdr:row>86</xdr:row>
      <xdr:rowOff>190499</xdr:rowOff>
    </xdr:to>
    <xdr:pic>
      <xdr:nvPicPr>
        <xdr:cNvPr id="13" name="Picture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382375"/>
          <a:ext cx="1647523" cy="390524"/>
        </a:xfrm>
        <a:prstGeom prst="rect">
          <a:avLst/>
        </a:prstGeom>
      </xdr:spPr>
    </xdr:pic>
    <xdr:clientData/>
  </xdr:twoCellAnchor>
  <xdr:twoCellAnchor>
    <xdr:from>
      <xdr:col>0</xdr:col>
      <xdr:colOff>0</xdr:colOff>
      <xdr:row>0</xdr:row>
      <xdr:rowOff>0</xdr:rowOff>
    </xdr:from>
    <xdr:to>
      <xdr:col>35</xdr:col>
      <xdr:colOff>9524</xdr:colOff>
      <xdr:row>2</xdr:row>
      <xdr:rowOff>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11677649" cy="381000"/>
        </a:xfrm>
        <a:prstGeom prst="rect">
          <a:avLst/>
        </a:prstGeom>
      </xdr:spPr>
    </xdr:pic>
    <xdr:clientData/>
  </xdr:twoCellAnchor>
  <xdr:twoCellAnchor>
    <xdr:from>
      <xdr:col>0</xdr:col>
      <xdr:colOff>0</xdr:colOff>
      <xdr:row>0</xdr:row>
      <xdr:rowOff>15875</xdr:rowOff>
    </xdr:from>
    <xdr:to>
      <xdr:col>34</xdr:col>
      <xdr:colOff>590550</xdr:colOff>
      <xdr:row>1</xdr:row>
      <xdr:rowOff>166492</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0" y="15875"/>
          <a:ext cx="11668125"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RISK BUDGETING</a:t>
          </a:r>
        </a:p>
        <a:p>
          <a:pPr algn="ctr"/>
          <a:endParaRPr lang="en-US" sz="1600">
            <a:solidFill>
              <a:schemeClr val="bg1"/>
            </a:solidFill>
            <a:latin typeface="Cambria" pitchFamily="18" charset="0"/>
            <a:cs typeface="Arial" pitchFamily="34" charset="0"/>
          </a:endParaRPr>
        </a:p>
      </xdr:txBody>
    </xdr:sp>
    <xdr:clientData/>
  </xdr:twoCellAnchor>
  <xdr:twoCellAnchor>
    <xdr:from>
      <xdr:col>0</xdr:col>
      <xdr:colOff>28575</xdr:colOff>
      <xdr:row>9</xdr:row>
      <xdr:rowOff>9526</xdr:rowOff>
    </xdr:from>
    <xdr:to>
      <xdr:col>15</xdr:col>
      <xdr:colOff>190500</xdr:colOff>
      <xdr:row>44</xdr:row>
      <xdr:rowOff>66676</xdr:rowOff>
    </xdr:to>
    <xdr:graphicFrame macro="">
      <xdr:nvGraphicFramePr>
        <xdr:cNvPr id="6" name="Chart 5" descr="Risk Budgeting StDev" title="Risk Budgeting StDev">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323850</xdr:colOff>
      <xdr:row>84</xdr:row>
      <xdr:rowOff>123825</xdr:rowOff>
    </xdr:from>
    <xdr:to>
      <xdr:col>33</xdr:col>
      <xdr:colOff>219247</xdr:colOff>
      <xdr:row>86</xdr:row>
      <xdr:rowOff>171510</xdr:rowOff>
    </xdr:to>
    <xdr:pic>
      <xdr:nvPicPr>
        <xdr:cNvPr id="11" name="Pictur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991725" y="11325225"/>
          <a:ext cx="1228897" cy="4286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71</xdr:row>
      <xdr:rowOff>171450</xdr:rowOff>
    </xdr:from>
    <xdr:to>
      <xdr:col>5</xdr:col>
      <xdr:colOff>28273</xdr:colOff>
      <xdr:row>73</xdr:row>
      <xdr:rowOff>180974</xdr:rowOff>
    </xdr:to>
    <xdr:pic>
      <xdr:nvPicPr>
        <xdr:cNvPr id="12" name="Picture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1029950"/>
          <a:ext cx="1647523" cy="390524"/>
        </a:xfrm>
        <a:prstGeom prst="rect">
          <a:avLst/>
        </a:prstGeom>
      </xdr:spPr>
    </xdr:pic>
    <xdr:clientData/>
  </xdr:twoCellAnchor>
  <xdr:twoCellAnchor>
    <xdr:from>
      <xdr:col>0</xdr:col>
      <xdr:colOff>1</xdr:colOff>
      <xdr:row>0</xdr:row>
      <xdr:rowOff>0</xdr:rowOff>
    </xdr:from>
    <xdr:to>
      <xdr:col>35</xdr:col>
      <xdr:colOff>0</xdr:colOff>
      <xdr:row>2</xdr:row>
      <xdr:rowOff>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1" y="0"/>
          <a:ext cx="8677274" cy="381000"/>
        </a:xfrm>
        <a:prstGeom prst="rect">
          <a:avLst/>
        </a:prstGeom>
      </xdr:spPr>
    </xdr:pic>
    <xdr:clientData/>
  </xdr:twoCellAnchor>
  <xdr:twoCellAnchor>
    <xdr:from>
      <xdr:col>0</xdr:col>
      <xdr:colOff>0</xdr:colOff>
      <xdr:row>0</xdr:row>
      <xdr:rowOff>15875</xdr:rowOff>
    </xdr:from>
    <xdr:to>
      <xdr:col>35</xdr:col>
      <xdr:colOff>0</xdr:colOff>
      <xdr:row>1</xdr:row>
      <xdr:rowOff>166492</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0" y="15875"/>
          <a:ext cx="8667750"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FACTOR CONTRIBUTION TO PORTFOLIO</a:t>
          </a:r>
          <a:r>
            <a:rPr lang="en-US" sz="1600" baseline="0">
              <a:solidFill>
                <a:schemeClr val="bg1"/>
              </a:solidFill>
              <a:latin typeface="Cambria" pitchFamily="18" charset="0"/>
              <a:cs typeface="Arial" pitchFamily="34" charset="0"/>
            </a:rPr>
            <a:t> RISK</a:t>
          </a:r>
          <a:endParaRPr lang="en-US" sz="1600">
            <a:solidFill>
              <a:schemeClr val="bg1"/>
            </a:solidFill>
            <a:latin typeface="Cambria" pitchFamily="18" charset="0"/>
            <a:cs typeface="Arial" pitchFamily="34" charset="0"/>
          </a:endParaRPr>
        </a:p>
        <a:p>
          <a:pPr algn="ctr"/>
          <a:endParaRPr lang="en-US" sz="1600">
            <a:solidFill>
              <a:schemeClr val="bg1"/>
            </a:solidFill>
            <a:latin typeface="Cambria" pitchFamily="18" charset="0"/>
            <a:cs typeface="Arial" pitchFamily="34" charset="0"/>
          </a:endParaRPr>
        </a:p>
      </xdr:txBody>
    </xdr:sp>
    <xdr:clientData/>
  </xdr:twoCellAnchor>
  <xdr:twoCellAnchor editAs="oneCell">
    <xdr:from>
      <xdr:col>0</xdr:col>
      <xdr:colOff>2</xdr:colOff>
      <xdr:row>8</xdr:row>
      <xdr:rowOff>304801</xdr:rowOff>
    </xdr:from>
    <xdr:to>
      <xdr:col>16</xdr:col>
      <xdr:colOff>314326</xdr:colOff>
      <xdr:row>23</xdr:row>
      <xdr:rowOff>95252</xdr:rowOff>
    </xdr:to>
    <xdr:graphicFrame macro="">
      <xdr:nvGraphicFramePr>
        <xdr:cNvPr id="9" name="Chart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30</xdr:row>
      <xdr:rowOff>95249</xdr:rowOff>
    </xdr:from>
    <xdr:to>
      <xdr:col>17</xdr:col>
      <xdr:colOff>133350</xdr:colOff>
      <xdr:row>70</xdr:row>
      <xdr:rowOff>247650</xdr:rowOff>
    </xdr:to>
    <xdr:graphicFrame macro="">
      <xdr:nvGraphicFramePr>
        <xdr:cNvPr id="10" name="Chart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76200</xdr:colOff>
      <xdr:row>71</xdr:row>
      <xdr:rowOff>76200</xdr:rowOff>
    </xdr:from>
    <xdr:to>
      <xdr:col>33</xdr:col>
      <xdr:colOff>304972</xdr:colOff>
      <xdr:row>73</xdr:row>
      <xdr:rowOff>123885</xdr:rowOff>
    </xdr:to>
    <xdr:pic>
      <xdr:nvPicPr>
        <xdr:cNvPr id="8" name="Picture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077450" y="10934700"/>
          <a:ext cx="1228897" cy="4286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81</xdr:row>
      <xdr:rowOff>66675</xdr:rowOff>
    </xdr:from>
    <xdr:to>
      <xdr:col>5</xdr:col>
      <xdr:colOff>28273</xdr:colOff>
      <xdr:row>83</xdr:row>
      <xdr:rowOff>190499</xdr:rowOff>
    </xdr:to>
    <xdr:pic>
      <xdr:nvPicPr>
        <xdr:cNvPr id="11" name="Picture 10">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1153775"/>
          <a:ext cx="1647523" cy="390524"/>
        </a:xfrm>
        <a:prstGeom prst="rect">
          <a:avLst/>
        </a:prstGeom>
      </xdr:spPr>
    </xdr:pic>
    <xdr:clientData/>
  </xdr:twoCellAnchor>
  <xdr:twoCellAnchor>
    <xdr:from>
      <xdr:col>0</xdr:col>
      <xdr:colOff>0</xdr:colOff>
      <xdr:row>0</xdr:row>
      <xdr:rowOff>0</xdr:rowOff>
    </xdr:from>
    <xdr:to>
      <xdr:col>35</xdr:col>
      <xdr:colOff>0</xdr:colOff>
      <xdr:row>2</xdr:row>
      <xdr:rowOff>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11668125" cy="381000"/>
        </a:xfrm>
        <a:prstGeom prst="rect">
          <a:avLst/>
        </a:prstGeom>
      </xdr:spPr>
    </xdr:pic>
    <xdr:clientData/>
  </xdr:twoCellAnchor>
  <xdr:twoCellAnchor>
    <xdr:from>
      <xdr:col>0</xdr:col>
      <xdr:colOff>0</xdr:colOff>
      <xdr:row>0</xdr:row>
      <xdr:rowOff>15875</xdr:rowOff>
    </xdr:from>
    <xdr:to>
      <xdr:col>34</xdr:col>
      <xdr:colOff>228600</xdr:colOff>
      <xdr:row>1</xdr:row>
      <xdr:rowOff>166492</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0" y="15875"/>
          <a:ext cx="11563350"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DETAILED EXPOSURE</a:t>
          </a:r>
        </a:p>
        <a:p>
          <a:pPr algn="ctr"/>
          <a:endParaRPr lang="en-US" sz="1600">
            <a:solidFill>
              <a:schemeClr val="bg1"/>
            </a:solidFill>
            <a:latin typeface="Cambria" pitchFamily="18" charset="0"/>
            <a:cs typeface="Arial" pitchFamily="34" charset="0"/>
          </a:endParaRPr>
        </a:p>
      </xdr:txBody>
    </xdr:sp>
    <xdr:clientData/>
  </xdr:twoCellAnchor>
  <xdr:twoCellAnchor editAs="oneCell">
    <xdr:from>
      <xdr:col>29</xdr:col>
      <xdr:colOff>247650</xdr:colOff>
      <xdr:row>81</xdr:row>
      <xdr:rowOff>9525</xdr:rowOff>
    </xdr:from>
    <xdr:to>
      <xdr:col>33</xdr:col>
      <xdr:colOff>143047</xdr:colOff>
      <xdr:row>83</xdr:row>
      <xdr:rowOff>171510</xdr:rowOff>
    </xdr:to>
    <xdr:pic>
      <xdr:nvPicPr>
        <xdr:cNvPr id="12" name="Picture 11">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915525" y="11096625"/>
          <a:ext cx="1228897" cy="4286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85</xdr:row>
      <xdr:rowOff>9525</xdr:rowOff>
    </xdr:from>
    <xdr:to>
      <xdr:col>5</xdr:col>
      <xdr:colOff>66373</xdr:colOff>
      <xdr:row>87</xdr:row>
      <xdr:rowOff>19049</xdr:rowOff>
    </xdr:to>
    <xdr:pic>
      <xdr:nvPicPr>
        <xdr:cNvPr id="12" name="Pictur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544300"/>
          <a:ext cx="1647523" cy="390524"/>
        </a:xfrm>
        <a:prstGeom prst="rect">
          <a:avLst/>
        </a:prstGeom>
      </xdr:spPr>
    </xdr:pic>
    <xdr:clientData/>
  </xdr:twoCellAnchor>
  <xdr:twoCellAnchor>
    <xdr:from>
      <xdr:col>0</xdr:col>
      <xdr:colOff>0</xdr:colOff>
      <xdr:row>0</xdr:row>
      <xdr:rowOff>0</xdr:rowOff>
    </xdr:from>
    <xdr:to>
      <xdr:col>36</xdr:col>
      <xdr:colOff>0</xdr:colOff>
      <xdr:row>2</xdr:row>
      <xdr:rowOff>0</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8667750" cy="381000"/>
        </a:xfrm>
        <a:prstGeom prst="rect">
          <a:avLst/>
        </a:prstGeom>
      </xdr:spPr>
    </xdr:pic>
    <xdr:clientData/>
  </xdr:twoCellAnchor>
  <xdr:twoCellAnchor>
    <xdr:from>
      <xdr:col>0</xdr:col>
      <xdr:colOff>0</xdr:colOff>
      <xdr:row>0</xdr:row>
      <xdr:rowOff>15875</xdr:rowOff>
    </xdr:from>
    <xdr:to>
      <xdr:col>35</xdr:col>
      <xdr:colOff>228600</xdr:colOff>
      <xdr:row>1</xdr:row>
      <xdr:rowOff>166492</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0" y="15875"/>
          <a:ext cx="8648700"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PORTFOLIO STRESS TEST</a:t>
          </a:r>
        </a:p>
        <a:p>
          <a:pPr algn="ctr"/>
          <a:endParaRPr lang="en-US" sz="1600">
            <a:solidFill>
              <a:schemeClr val="bg1"/>
            </a:solidFill>
            <a:latin typeface="Cambria" pitchFamily="18" charset="0"/>
            <a:cs typeface="Arial" pitchFamily="34" charset="0"/>
          </a:endParaRPr>
        </a:p>
      </xdr:txBody>
    </xdr:sp>
    <xdr:clientData/>
  </xdr:twoCellAnchor>
  <xdr:twoCellAnchor>
    <xdr:from>
      <xdr:col>13</xdr:col>
      <xdr:colOff>295275</xdr:colOff>
      <xdr:row>5</xdr:row>
      <xdr:rowOff>38101</xdr:rowOff>
    </xdr:from>
    <xdr:to>
      <xdr:col>36</xdr:col>
      <xdr:colOff>104775</xdr:colOff>
      <xdr:row>12</xdr:row>
      <xdr:rowOff>276226</xdr:rowOff>
    </xdr:to>
    <xdr:graphicFrame macro="">
      <xdr:nvGraphicFramePr>
        <xdr:cNvPr id="13" name="Chart 12">
          <a:extLst>
            <a:ext uri="{FF2B5EF4-FFF2-40B4-BE49-F238E27FC236}">
              <a16:creationId xmlns:a16="http://schemas.microsoft.com/office/drawing/2014/main" id="{00000000-0008-0000-0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9525</xdr:colOff>
      <xdr:row>84</xdr:row>
      <xdr:rowOff>123825</xdr:rowOff>
    </xdr:from>
    <xdr:to>
      <xdr:col>34</xdr:col>
      <xdr:colOff>238297</xdr:colOff>
      <xdr:row>86</xdr:row>
      <xdr:rowOff>171510</xdr:rowOff>
    </xdr:to>
    <xdr:pic>
      <xdr:nvPicPr>
        <xdr:cNvPr id="14" name="Picture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448925" y="11468100"/>
          <a:ext cx="1228897" cy="42868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1</xdr:rowOff>
    </xdr:from>
    <xdr:to>
      <xdr:col>31</xdr:col>
      <xdr:colOff>7200</xdr:colOff>
      <xdr:row>2</xdr:row>
      <xdr:rowOff>601</xdr:rowOff>
    </xdr:to>
    <xdr:grpSp>
      <xdr:nvGrpSpPr>
        <xdr:cNvPr id="2" name="Group 1">
          <a:extLst>
            <a:ext uri="{FF2B5EF4-FFF2-40B4-BE49-F238E27FC236}">
              <a16:creationId xmlns:a16="http://schemas.microsoft.com/office/drawing/2014/main" id="{00000000-0008-0000-0F00-000002000000}"/>
            </a:ext>
          </a:extLst>
        </xdr:cNvPr>
        <xdr:cNvGrpSpPr/>
      </xdr:nvGrpSpPr>
      <xdr:grpSpPr>
        <a:xfrm>
          <a:off x="0" y="1"/>
          <a:ext cx="10408500" cy="381600"/>
          <a:chOff x="0" y="0"/>
          <a:chExt cx="8943971" cy="380106"/>
        </a:xfrm>
      </xdr:grpSpPr>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1">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0" y="0"/>
            <a:ext cx="8943971" cy="380106"/>
          </a:xfrm>
          <a:prstGeom prst="rect">
            <a:avLst/>
          </a:prstGeom>
        </xdr:spPr>
      </xdr:pic>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0" y="23355"/>
            <a:ext cx="4248978" cy="356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a:solidFill>
                  <a:schemeClr val="bg1"/>
                </a:solidFill>
                <a:latin typeface="Cambria" pitchFamily="18" charset="0"/>
                <a:cs typeface="Arial" pitchFamily="34" charset="0"/>
              </a:rPr>
              <a:t>PORTFOLIO STRESS TEST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38100</xdr:colOff>
      <xdr:row>119</xdr:row>
      <xdr:rowOff>180975</xdr:rowOff>
    </xdr:from>
    <xdr:to>
      <xdr:col>2</xdr:col>
      <xdr:colOff>466423</xdr:colOff>
      <xdr:row>121</xdr:row>
      <xdr:rowOff>190499</xdr:rowOff>
    </xdr:to>
    <xdr:pic>
      <xdr:nvPicPr>
        <xdr:cNvPr id="15" name="Picture 14">
          <a:extLst>
            <a:ext uri="{FF2B5EF4-FFF2-40B4-BE49-F238E27FC236}">
              <a16:creationId xmlns:a16="http://schemas.microsoft.com/office/drawing/2014/main" id="{00000000-0008-0000-11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22850475"/>
          <a:ext cx="1647523" cy="390524"/>
        </a:xfrm>
        <a:prstGeom prst="rect">
          <a:avLst/>
        </a:prstGeom>
      </xdr:spPr>
    </xdr:pic>
    <xdr:clientData/>
  </xdr:twoCellAnchor>
  <xdr:twoCellAnchor editAs="oneCell">
    <xdr:from>
      <xdr:col>0</xdr:col>
      <xdr:colOff>47625</xdr:colOff>
      <xdr:row>58</xdr:row>
      <xdr:rowOff>171450</xdr:rowOff>
    </xdr:from>
    <xdr:to>
      <xdr:col>2</xdr:col>
      <xdr:colOff>475948</xdr:colOff>
      <xdr:row>60</xdr:row>
      <xdr:rowOff>180974</xdr:rowOff>
    </xdr:to>
    <xdr:pic>
      <xdr:nvPicPr>
        <xdr:cNvPr id="10" name="Picture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1220450"/>
          <a:ext cx="1647523" cy="390524"/>
        </a:xfrm>
        <a:prstGeom prst="rect">
          <a:avLst/>
        </a:prstGeom>
      </xdr:spPr>
    </xdr:pic>
    <xdr:clientData/>
  </xdr:twoCellAnchor>
  <xdr:twoCellAnchor>
    <xdr:from>
      <xdr:col>0</xdr:col>
      <xdr:colOff>0</xdr:colOff>
      <xdr:row>0</xdr:row>
      <xdr:rowOff>1</xdr:rowOff>
    </xdr:from>
    <xdr:to>
      <xdr:col>12</xdr:col>
      <xdr:colOff>365760</xdr:colOff>
      <xdr:row>2</xdr:row>
      <xdr:rowOff>9525</xdr:rowOff>
    </xdr:to>
    <xdr:pic>
      <xdr:nvPicPr>
        <xdr:cNvPr id="8" name="Picture 7">
          <a:extLst>
            <a:ext uri="{FF2B5EF4-FFF2-40B4-BE49-F238E27FC236}">
              <a16:creationId xmlns:a16="http://schemas.microsoft.com/office/drawing/2014/main" id="{00000000-0008-0000-1100-000008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1"/>
          <a:ext cx="7680960" cy="390524"/>
        </a:xfrm>
        <a:prstGeom prst="rect">
          <a:avLst/>
        </a:prstGeom>
      </xdr:spPr>
    </xdr:pic>
    <xdr:clientData/>
  </xdr:twoCellAnchor>
  <xdr:twoCellAnchor>
    <xdr:from>
      <xdr:col>0</xdr:col>
      <xdr:colOff>0</xdr:colOff>
      <xdr:row>61</xdr:row>
      <xdr:rowOff>9526</xdr:rowOff>
    </xdr:from>
    <xdr:to>
      <xdr:col>12</xdr:col>
      <xdr:colOff>365760</xdr:colOff>
      <xdr:row>63</xdr:row>
      <xdr:rowOff>19050</xdr:rowOff>
    </xdr:to>
    <xdr:pic>
      <xdr:nvPicPr>
        <xdr:cNvPr id="16" name="Picture 15">
          <a:extLst>
            <a:ext uri="{FF2B5EF4-FFF2-40B4-BE49-F238E27FC236}">
              <a16:creationId xmlns:a16="http://schemas.microsoft.com/office/drawing/2014/main" id="{00000000-0008-0000-1100-000010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11630026"/>
          <a:ext cx="7680960" cy="390524"/>
        </a:xfrm>
        <a:prstGeom prst="rect">
          <a:avLst/>
        </a:prstGeom>
      </xdr:spPr>
    </xdr:pic>
    <xdr:clientData/>
  </xdr:twoCellAnchor>
  <xdr:twoCellAnchor>
    <xdr:from>
      <xdr:col>0</xdr:col>
      <xdr:colOff>0</xdr:colOff>
      <xdr:row>0</xdr:row>
      <xdr:rowOff>1</xdr:rowOff>
    </xdr:from>
    <xdr:to>
      <xdr:col>12</xdr:col>
      <xdr:colOff>352425</xdr:colOff>
      <xdr:row>1</xdr:row>
      <xdr:rowOff>180975</xdr:rowOff>
    </xdr:to>
    <xdr:sp macro="" textlink="">
      <xdr:nvSpPr>
        <xdr:cNvPr id="11" name="TextBox 10">
          <a:extLst>
            <a:ext uri="{FF2B5EF4-FFF2-40B4-BE49-F238E27FC236}">
              <a16:creationId xmlns:a16="http://schemas.microsoft.com/office/drawing/2014/main" id="{00000000-0008-0000-1100-00000B000000}"/>
            </a:ext>
          </a:extLst>
        </xdr:cNvPr>
        <xdr:cNvSpPr txBox="1"/>
      </xdr:nvSpPr>
      <xdr:spPr>
        <a:xfrm>
          <a:off x="0" y="1"/>
          <a:ext cx="76676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mj-lt"/>
              <a:cs typeface="Arial" pitchFamily="34" charset="0"/>
            </a:rPr>
            <a:t>BOTTOM 10 MANAGERS PER SCENARIO</a:t>
          </a:r>
        </a:p>
      </xdr:txBody>
    </xdr:sp>
    <xdr:clientData/>
  </xdr:twoCellAnchor>
  <xdr:twoCellAnchor>
    <xdr:from>
      <xdr:col>0</xdr:col>
      <xdr:colOff>0</xdr:colOff>
      <xdr:row>61</xdr:row>
      <xdr:rowOff>19051</xdr:rowOff>
    </xdr:from>
    <xdr:to>
      <xdr:col>12</xdr:col>
      <xdr:colOff>352424</xdr:colOff>
      <xdr:row>62</xdr:row>
      <xdr:rowOff>180975</xdr:rowOff>
    </xdr:to>
    <xdr:sp macro="" textlink="">
      <xdr:nvSpPr>
        <xdr:cNvPr id="12" name="TextBox 11">
          <a:extLst>
            <a:ext uri="{FF2B5EF4-FFF2-40B4-BE49-F238E27FC236}">
              <a16:creationId xmlns:a16="http://schemas.microsoft.com/office/drawing/2014/main" id="{00000000-0008-0000-1100-00000C000000}"/>
            </a:ext>
          </a:extLst>
        </xdr:cNvPr>
        <xdr:cNvSpPr txBox="1"/>
      </xdr:nvSpPr>
      <xdr:spPr>
        <a:xfrm>
          <a:off x="0" y="11639551"/>
          <a:ext cx="7667624"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mj-lt"/>
              <a:cs typeface="Arial" pitchFamily="34" charset="0"/>
            </a:rPr>
            <a:t>BOTTOM 10 MANAGERS PER SCENARIO</a:t>
          </a:r>
        </a:p>
      </xdr:txBody>
    </xdr:sp>
    <xdr:clientData/>
  </xdr:twoCellAnchor>
  <xdr:twoCellAnchor editAs="oneCell">
    <xdr:from>
      <xdr:col>9</xdr:col>
      <xdr:colOff>552450</xdr:colOff>
      <xdr:row>58</xdr:row>
      <xdr:rowOff>133350</xdr:rowOff>
    </xdr:from>
    <xdr:to>
      <xdr:col>11</xdr:col>
      <xdr:colOff>562147</xdr:colOff>
      <xdr:row>60</xdr:row>
      <xdr:rowOff>181035</xdr:rowOff>
    </xdr:to>
    <xdr:pic>
      <xdr:nvPicPr>
        <xdr:cNvPr id="13" name="Picture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38850" y="11182350"/>
          <a:ext cx="1228897" cy="428685"/>
        </a:xfrm>
        <a:prstGeom prst="rect">
          <a:avLst/>
        </a:prstGeom>
      </xdr:spPr>
    </xdr:pic>
    <xdr:clientData/>
  </xdr:twoCellAnchor>
  <xdr:twoCellAnchor editAs="oneCell">
    <xdr:from>
      <xdr:col>9</xdr:col>
      <xdr:colOff>542925</xdr:colOff>
      <xdr:row>119</xdr:row>
      <xdr:rowOff>123825</xdr:rowOff>
    </xdr:from>
    <xdr:to>
      <xdr:col>11</xdr:col>
      <xdr:colOff>552622</xdr:colOff>
      <xdr:row>121</xdr:row>
      <xdr:rowOff>171510</xdr:rowOff>
    </xdr:to>
    <xdr:pic>
      <xdr:nvPicPr>
        <xdr:cNvPr id="14" name="Picture 13">
          <a:extLst>
            <a:ext uri="{FF2B5EF4-FFF2-40B4-BE49-F238E27FC236}">
              <a16:creationId xmlns:a16="http://schemas.microsoft.com/office/drawing/2014/main" id="{00000000-0008-0000-1100-00000E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29325" y="22793325"/>
          <a:ext cx="1228897" cy="4286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66676</xdr:colOff>
      <xdr:row>5</xdr:row>
      <xdr:rowOff>180975</xdr:rowOff>
    </xdr:from>
    <xdr:to>
      <xdr:col>5</xdr:col>
      <xdr:colOff>57150</xdr:colOff>
      <xdr:row>16</xdr:row>
      <xdr:rowOff>57150</xdr:rowOff>
    </xdr:to>
    <xdr:graphicFrame macro="">
      <xdr:nvGraphicFramePr>
        <xdr:cNvPr id="2" name="Chart 1" descr="A" title="A">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485776</xdr:colOff>
      <xdr:row>5</xdr:row>
      <xdr:rowOff>180975</xdr:rowOff>
    </xdr:from>
    <xdr:to>
      <xdr:col>11</xdr:col>
      <xdr:colOff>476250</xdr:colOff>
      <xdr:row>16</xdr:row>
      <xdr:rowOff>57150</xdr:rowOff>
    </xdr:to>
    <xdr:graphicFrame macro="">
      <xdr:nvGraphicFramePr>
        <xdr:cNvPr id="3" name="Chart 2" descr="C" title="C">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66676</xdr:colOff>
      <xdr:row>20</xdr:row>
      <xdr:rowOff>104775</xdr:rowOff>
    </xdr:from>
    <xdr:to>
      <xdr:col>5</xdr:col>
      <xdr:colOff>57150</xdr:colOff>
      <xdr:row>30</xdr:row>
      <xdr:rowOff>171450</xdr:rowOff>
    </xdr:to>
    <xdr:graphicFrame macro="">
      <xdr:nvGraphicFramePr>
        <xdr:cNvPr id="4" name="Chart 3" descr="E" title="E">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485776</xdr:colOff>
      <xdr:row>20</xdr:row>
      <xdr:rowOff>104775</xdr:rowOff>
    </xdr:from>
    <xdr:to>
      <xdr:col>11</xdr:col>
      <xdr:colOff>476250</xdr:colOff>
      <xdr:row>30</xdr:row>
      <xdr:rowOff>171450</xdr:rowOff>
    </xdr:to>
    <xdr:graphicFrame macro="">
      <xdr:nvGraphicFramePr>
        <xdr:cNvPr id="5" name="Chart 4" descr="G" title="G">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66676</xdr:colOff>
      <xdr:row>35</xdr:row>
      <xdr:rowOff>104775</xdr:rowOff>
    </xdr:from>
    <xdr:to>
      <xdr:col>5</xdr:col>
      <xdr:colOff>57150</xdr:colOff>
      <xdr:row>45</xdr:row>
      <xdr:rowOff>171450</xdr:rowOff>
    </xdr:to>
    <xdr:graphicFrame macro="">
      <xdr:nvGraphicFramePr>
        <xdr:cNvPr id="6" name="Chart 5" descr="I" title="I">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485776</xdr:colOff>
      <xdr:row>35</xdr:row>
      <xdr:rowOff>104775</xdr:rowOff>
    </xdr:from>
    <xdr:to>
      <xdr:col>11</xdr:col>
      <xdr:colOff>476250</xdr:colOff>
      <xdr:row>45</xdr:row>
      <xdr:rowOff>171450</xdr:rowOff>
    </xdr:to>
    <xdr:graphicFrame macro="">
      <xdr:nvGraphicFramePr>
        <xdr:cNvPr id="7" name="Chart 6" descr="K" title="K">
          <a:extLst>
            <a:ext uri="{FF2B5EF4-FFF2-40B4-BE49-F238E27FC236}">
              <a16:creationId xmlns:a16="http://schemas.microsoft.com/office/drawing/2014/main" id="{00000000-0008-0000-1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1</xdr:rowOff>
    </xdr:from>
    <xdr:to>
      <xdr:col>12</xdr:col>
      <xdr:colOff>365760</xdr:colOff>
      <xdr:row>1</xdr:row>
      <xdr:rowOff>60306</xdr:rowOff>
    </xdr:to>
    <xdr:pic>
      <xdr:nvPicPr>
        <xdr:cNvPr id="11" name="Picture 10">
          <a:extLst>
            <a:ext uri="{FF2B5EF4-FFF2-40B4-BE49-F238E27FC236}">
              <a16:creationId xmlns:a16="http://schemas.microsoft.com/office/drawing/2014/main" id="{00000000-0008-0000-1200-00000B000000}"/>
            </a:ext>
          </a:extLst>
        </xdr:cNvPr>
        <xdr:cNvPicPr>
          <a:picLocks noChangeAspect="1"/>
        </xdr:cNvPicPr>
      </xdr:nvPicPr>
      <xdr:blipFill>
        <a:blip xmlns:r="http://schemas.openxmlformats.org/officeDocument/2006/relationships" r:embed="rId7">
          <a:duotone>
            <a:prstClr val="black"/>
            <a:schemeClr val="accent1">
              <a:tint val="45000"/>
              <a:satMod val="400000"/>
            </a:schemeClr>
          </a:duotone>
          <a:extLst>
            <a:ext uri="{BEBA8EAE-BF5A-486C-A8C5-ECC9F3942E4B}">
              <a14:imgProps xmlns:a14="http://schemas.microsoft.com/office/drawing/2010/main">
                <a14:imgLayer r:embed="rId8">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1"/>
          <a:ext cx="7680960" cy="250805"/>
        </a:xfrm>
        <a:prstGeom prst="rect">
          <a:avLst/>
        </a:prstGeom>
      </xdr:spPr>
    </xdr:pic>
    <xdr:clientData/>
  </xdr:twoCellAnchor>
  <xdr:twoCellAnchor editAs="absolute">
    <xdr:from>
      <xdr:col>0</xdr:col>
      <xdr:colOff>0</xdr:colOff>
      <xdr:row>59</xdr:row>
      <xdr:rowOff>0</xdr:rowOff>
    </xdr:from>
    <xdr:to>
      <xdr:col>2</xdr:col>
      <xdr:colOff>314325</xdr:colOff>
      <xdr:row>60</xdr:row>
      <xdr:rowOff>171450</xdr:rowOff>
    </xdr:to>
    <xdr:pic>
      <xdr:nvPicPr>
        <xdr:cNvPr id="12" name="Picture 1">
          <a:extLst>
            <a:ext uri="{FF2B5EF4-FFF2-40B4-BE49-F238E27FC236}">
              <a16:creationId xmlns:a16="http://schemas.microsoft.com/office/drawing/2014/main" id="{00000000-0008-0000-1200-00000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11239500"/>
          <a:ext cx="15335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9</xdr:col>
      <xdr:colOff>556592</xdr:colOff>
      <xdr:row>59</xdr:row>
      <xdr:rowOff>9525</xdr:rowOff>
    </xdr:from>
    <xdr:to>
      <xdr:col>12</xdr:col>
      <xdr:colOff>147017</xdr:colOff>
      <xdr:row>60</xdr:row>
      <xdr:rowOff>173107</xdr:rowOff>
    </xdr:to>
    <xdr:pic>
      <xdr:nvPicPr>
        <xdr:cNvPr id="13" name="Picture 2">
          <a:extLst>
            <a:ext uri="{FF2B5EF4-FFF2-40B4-BE49-F238E27FC236}">
              <a16:creationId xmlns:a16="http://schemas.microsoft.com/office/drawing/2014/main" id="{00000000-0008-0000-12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42992" y="11249025"/>
          <a:ext cx="1419225" cy="3540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66676</xdr:colOff>
      <xdr:row>66</xdr:row>
      <xdr:rowOff>180975</xdr:rowOff>
    </xdr:from>
    <xdr:to>
      <xdr:col>5</xdr:col>
      <xdr:colOff>57150</xdr:colOff>
      <xdr:row>77</xdr:row>
      <xdr:rowOff>57150</xdr:rowOff>
    </xdr:to>
    <xdr:graphicFrame macro="">
      <xdr:nvGraphicFramePr>
        <xdr:cNvPr id="14" name="Chart 13" descr="M" title="M">
          <a:extLst>
            <a:ext uri="{FF2B5EF4-FFF2-40B4-BE49-F238E27FC236}">
              <a16:creationId xmlns:a16="http://schemas.microsoft.com/office/drawing/2014/main" id="{00000000-0008-0000-1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485776</xdr:colOff>
      <xdr:row>66</xdr:row>
      <xdr:rowOff>180975</xdr:rowOff>
    </xdr:from>
    <xdr:to>
      <xdr:col>11</xdr:col>
      <xdr:colOff>476250</xdr:colOff>
      <xdr:row>77</xdr:row>
      <xdr:rowOff>57150</xdr:rowOff>
    </xdr:to>
    <xdr:graphicFrame macro="">
      <xdr:nvGraphicFramePr>
        <xdr:cNvPr id="15" name="Chart 14" descr="O" title="O">
          <a:extLst>
            <a:ext uri="{FF2B5EF4-FFF2-40B4-BE49-F238E27FC236}">
              <a16:creationId xmlns:a16="http://schemas.microsoft.com/office/drawing/2014/main" id="{00000000-0008-0000-1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66676</xdr:colOff>
      <xdr:row>81</xdr:row>
      <xdr:rowOff>104775</xdr:rowOff>
    </xdr:from>
    <xdr:to>
      <xdr:col>5</xdr:col>
      <xdr:colOff>57150</xdr:colOff>
      <xdr:row>91</xdr:row>
      <xdr:rowOff>171450</xdr:rowOff>
    </xdr:to>
    <xdr:graphicFrame macro="">
      <xdr:nvGraphicFramePr>
        <xdr:cNvPr id="16" name="Chart 15" descr="Q" title="Q">
          <a:extLst>
            <a:ext uri="{FF2B5EF4-FFF2-40B4-BE49-F238E27FC236}">
              <a16:creationId xmlns:a16="http://schemas.microsoft.com/office/drawing/2014/main" id="{00000000-0008-0000-1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485776</xdr:colOff>
      <xdr:row>81</xdr:row>
      <xdr:rowOff>104775</xdr:rowOff>
    </xdr:from>
    <xdr:to>
      <xdr:col>11</xdr:col>
      <xdr:colOff>476250</xdr:colOff>
      <xdr:row>91</xdr:row>
      <xdr:rowOff>171450</xdr:rowOff>
    </xdr:to>
    <xdr:graphicFrame macro="">
      <xdr:nvGraphicFramePr>
        <xdr:cNvPr id="17" name="Chart 16" descr="S" title="S">
          <a:extLst>
            <a:ext uri="{FF2B5EF4-FFF2-40B4-BE49-F238E27FC236}">
              <a16:creationId xmlns:a16="http://schemas.microsoft.com/office/drawing/2014/main" id="{00000000-0008-0000-1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66676</xdr:colOff>
      <xdr:row>96</xdr:row>
      <xdr:rowOff>104775</xdr:rowOff>
    </xdr:from>
    <xdr:to>
      <xdr:col>5</xdr:col>
      <xdr:colOff>57150</xdr:colOff>
      <xdr:row>106</xdr:row>
      <xdr:rowOff>171450</xdr:rowOff>
    </xdr:to>
    <xdr:graphicFrame macro="">
      <xdr:nvGraphicFramePr>
        <xdr:cNvPr id="18" name="Chart 17" descr="U" title="U">
          <a:extLst>
            <a:ext uri="{FF2B5EF4-FFF2-40B4-BE49-F238E27FC236}">
              <a16:creationId xmlns:a16="http://schemas.microsoft.com/office/drawing/2014/main" id="{00000000-0008-0000-1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61</xdr:row>
      <xdr:rowOff>9526</xdr:rowOff>
    </xdr:from>
    <xdr:to>
      <xdr:col>12</xdr:col>
      <xdr:colOff>365760</xdr:colOff>
      <xdr:row>62</xdr:row>
      <xdr:rowOff>69831</xdr:rowOff>
    </xdr:to>
    <xdr:pic>
      <xdr:nvPicPr>
        <xdr:cNvPr id="20" name="Picture 19">
          <a:extLst>
            <a:ext uri="{FF2B5EF4-FFF2-40B4-BE49-F238E27FC236}">
              <a16:creationId xmlns:a16="http://schemas.microsoft.com/office/drawing/2014/main" id="{00000000-0008-0000-1200-000014000000}"/>
            </a:ext>
          </a:extLst>
        </xdr:cNvPr>
        <xdr:cNvPicPr>
          <a:picLocks noChangeAspect="1"/>
        </xdr:cNvPicPr>
      </xdr:nvPicPr>
      <xdr:blipFill>
        <a:blip xmlns:r="http://schemas.openxmlformats.org/officeDocument/2006/relationships" r:embed="rId7">
          <a:duotone>
            <a:prstClr val="black"/>
            <a:schemeClr val="accent1">
              <a:tint val="45000"/>
              <a:satMod val="400000"/>
            </a:schemeClr>
          </a:duotone>
          <a:extLst>
            <a:ext uri="{BEBA8EAE-BF5A-486C-A8C5-ECC9F3942E4B}">
              <a14:imgProps xmlns:a14="http://schemas.microsoft.com/office/drawing/2010/main">
                <a14:imgLayer r:embed="rId8">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11630026"/>
          <a:ext cx="7680960" cy="250805"/>
        </a:xfrm>
        <a:prstGeom prst="rect">
          <a:avLst/>
        </a:prstGeom>
      </xdr:spPr>
    </xdr:pic>
    <xdr:clientData/>
  </xdr:twoCellAnchor>
  <xdr:twoCellAnchor editAs="absolute">
    <xdr:from>
      <xdr:col>0</xdr:col>
      <xdr:colOff>0</xdr:colOff>
      <xdr:row>120</xdr:row>
      <xdr:rowOff>0</xdr:rowOff>
    </xdr:from>
    <xdr:to>
      <xdr:col>2</xdr:col>
      <xdr:colOff>314325</xdr:colOff>
      <xdr:row>121</xdr:row>
      <xdr:rowOff>171450</xdr:rowOff>
    </xdr:to>
    <xdr:pic>
      <xdr:nvPicPr>
        <xdr:cNvPr id="21" name="Picture 1">
          <a:extLst>
            <a:ext uri="{FF2B5EF4-FFF2-40B4-BE49-F238E27FC236}">
              <a16:creationId xmlns:a16="http://schemas.microsoft.com/office/drawing/2014/main" id="{00000000-0008-0000-1200-000015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2860000"/>
          <a:ext cx="15335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9</xdr:col>
      <xdr:colOff>556592</xdr:colOff>
      <xdr:row>120</xdr:row>
      <xdr:rowOff>9525</xdr:rowOff>
    </xdr:from>
    <xdr:to>
      <xdr:col>12</xdr:col>
      <xdr:colOff>147017</xdr:colOff>
      <xdr:row>121</xdr:row>
      <xdr:rowOff>173107</xdr:rowOff>
    </xdr:to>
    <xdr:pic>
      <xdr:nvPicPr>
        <xdr:cNvPr id="22" name="Picture 2">
          <a:extLst>
            <a:ext uri="{FF2B5EF4-FFF2-40B4-BE49-F238E27FC236}">
              <a16:creationId xmlns:a16="http://schemas.microsoft.com/office/drawing/2014/main" id="{00000000-0008-0000-1200-000016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42992" y="22869525"/>
          <a:ext cx="1419225" cy="3540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142875</xdr:colOff>
      <xdr:row>74</xdr:row>
      <xdr:rowOff>95250</xdr:rowOff>
    </xdr:from>
    <xdr:to>
      <xdr:col>5</xdr:col>
      <xdr:colOff>123523</xdr:colOff>
      <xdr:row>77</xdr:row>
      <xdr:rowOff>57149</xdr:rowOff>
    </xdr:to>
    <xdr:pic>
      <xdr:nvPicPr>
        <xdr:cNvPr id="8" name="Picture 7">
          <a:extLst>
            <a:ext uri="{FF2B5EF4-FFF2-40B4-BE49-F238E27FC236}">
              <a16:creationId xmlns:a16="http://schemas.microsoft.com/office/drawing/2014/main" id="{00000000-0008-0000-13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11068050"/>
          <a:ext cx="1647523" cy="390524"/>
        </a:xfrm>
        <a:prstGeom prst="rect">
          <a:avLst/>
        </a:prstGeom>
      </xdr:spPr>
    </xdr:pic>
    <xdr:clientData/>
  </xdr:twoCellAnchor>
  <xdr:twoCellAnchor>
    <xdr:from>
      <xdr:col>0</xdr:col>
      <xdr:colOff>0</xdr:colOff>
      <xdr:row>0</xdr:row>
      <xdr:rowOff>0</xdr:rowOff>
    </xdr:from>
    <xdr:to>
      <xdr:col>35</xdr:col>
      <xdr:colOff>0</xdr:colOff>
      <xdr:row>2</xdr:row>
      <xdr:rowOff>0</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8667750" cy="381000"/>
        </a:xfrm>
        <a:prstGeom prst="rect">
          <a:avLst/>
        </a:prstGeom>
      </xdr:spPr>
    </xdr:pic>
    <xdr:clientData/>
  </xdr:twoCellAnchor>
  <xdr:twoCellAnchor>
    <xdr:from>
      <xdr:col>0</xdr:col>
      <xdr:colOff>0</xdr:colOff>
      <xdr:row>0</xdr:row>
      <xdr:rowOff>15875</xdr:rowOff>
    </xdr:from>
    <xdr:to>
      <xdr:col>34</xdr:col>
      <xdr:colOff>314325</xdr:colOff>
      <xdr:row>1</xdr:row>
      <xdr:rowOff>166492</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0" y="15875"/>
          <a:ext cx="11649075"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STRESS TEST -</a:t>
          </a:r>
          <a:r>
            <a:rPr lang="en-US" sz="1600" baseline="0">
              <a:solidFill>
                <a:schemeClr val="bg1"/>
              </a:solidFill>
              <a:latin typeface="Cambria" pitchFamily="18" charset="0"/>
              <a:cs typeface="Arial" pitchFamily="34" charset="0"/>
            </a:rPr>
            <a:t> FACTOR VALUES</a:t>
          </a:r>
          <a:endParaRPr lang="en-US" sz="1600">
            <a:solidFill>
              <a:schemeClr val="bg1"/>
            </a:solidFill>
            <a:latin typeface="Cambria" pitchFamily="18" charset="0"/>
            <a:cs typeface="Arial" pitchFamily="34" charset="0"/>
          </a:endParaRPr>
        </a:p>
        <a:p>
          <a:pPr algn="ctr"/>
          <a:endParaRPr lang="en-US" sz="1600">
            <a:solidFill>
              <a:schemeClr val="bg1"/>
            </a:solidFill>
            <a:latin typeface="Cambria" pitchFamily="18" charset="0"/>
            <a:cs typeface="Arial" pitchFamily="34" charset="0"/>
          </a:endParaRPr>
        </a:p>
      </xdr:txBody>
    </xdr:sp>
    <xdr:clientData/>
  </xdr:twoCellAnchor>
  <xdr:twoCellAnchor editAs="oneCell">
    <xdr:from>
      <xdr:col>30</xdr:col>
      <xdr:colOff>285750</xdr:colOff>
      <xdr:row>74</xdr:row>
      <xdr:rowOff>38100</xdr:rowOff>
    </xdr:from>
    <xdr:to>
      <xdr:col>34</xdr:col>
      <xdr:colOff>181147</xdr:colOff>
      <xdr:row>77</xdr:row>
      <xdr:rowOff>38160</xdr:rowOff>
    </xdr:to>
    <xdr:pic>
      <xdr:nvPicPr>
        <xdr:cNvPr id="9" name="Picture 8">
          <a:extLst>
            <a:ext uri="{FF2B5EF4-FFF2-40B4-BE49-F238E27FC236}">
              <a16:creationId xmlns:a16="http://schemas.microsoft.com/office/drawing/2014/main" id="{00000000-0008-0000-13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287000" y="11010900"/>
          <a:ext cx="1228897" cy="42868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76200</xdr:colOff>
      <xdr:row>151</xdr:row>
      <xdr:rowOff>19050</xdr:rowOff>
    </xdr:from>
    <xdr:to>
      <xdr:col>5</xdr:col>
      <xdr:colOff>56848</xdr:colOff>
      <xdr:row>153</xdr:row>
      <xdr:rowOff>123824</xdr:rowOff>
    </xdr:to>
    <xdr:pic>
      <xdr:nvPicPr>
        <xdr:cNvPr id="20" name="Picture 19">
          <a:extLst>
            <a:ext uri="{FF2B5EF4-FFF2-40B4-BE49-F238E27FC236}">
              <a16:creationId xmlns:a16="http://schemas.microsoft.com/office/drawing/2014/main" id="{00000000-0008-0000-14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23117175"/>
          <a:ext cx="1647523" cy="390524"/>
        </a:xfrm>
        <a:prstGeom prst="rect">
          <a:avLst/>
        </a:prstGeom>
      </xdr:spPr>
    </xdr:pic>
    <xdr:clientData/>
  </xdr:twoCellAnchor>
  <xdr:twoCellAnchor editAs="oneCell">
    <xdr:from>
      <xdr:col>0</xdr:col>
      <xdr:colOff>85725</xdr:colOff>
      <xdr:row>74</xdr:row>
      <xdr:rowOff>9525</xdr:rowOff>
    </xdr:from>
    <xdr:to>
      <xdr:col>5</xdr:col>
      <xdr:colOff>66373</xdr:colOff>
      <xdr:row>76</xdr:row>
      <xdr:rowOff>114299</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344275"/>
          <a:ext cx="1647523" cy="390524"/>
        </a:xfrm>
        <a:prstGeom prst="rect">
          <a:avLst/>
        </a:prstGeom>
      </xdr:spPr>
    </xdr:pic>
    <xdr:clientData/>
  </xdr:twoCellAnchor>
  <xdr:twoCellAnchor>
    <xdr:from>
      <xdr:col>0</xdr:col>
      <xdr:colOff>0</xdr:colOff>
      <xdr:row>0</xdr:row>
      <xdr:rowOff>19050</xdr:rowOff>
    </xdr:from>
    <xdr:to>
      <xdr:col>35</xdr:col>
      <xdr:colOff>9524</xdr:colOff>
      <xdr:row>2</xdr:row>
      <xdr:rowOff>19050</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19050"/>
          <a:ext cx="11677649" cy="381000"/>
        </a:xfrm>
        <a:prstGeom prst="rect">
          <a:avLst/>
        </a:prstGeom>
      </xdr:spPr>
    </xdr:pic>
    <xdr:clientData/>
  </xdr:twoCellAnchor>
  <xdr:twoCellAnchor>
    <xdr:from>
      <xdr:col>0</xdr:col>
      <xdr:colOff>0</xdr:colOff>
      <xdr:row>0</xdr:row>
      <xdr:rowOff>34925</xdr:rowOff>
    </xdr:from>
    <xdr:to>
      <xdr:col>34</xdr:col>
      <xdr:colOff>323849</xdr:colOff>
      <xdr:row>1</xdr:row>
      <xdr:rowOff>185542</xdr:rowOff>
    </xdr:to>
    <xdr:sp macro="" textlink="">
      <xdr:nvSpPr>
        <xdr:cNvPr id="6" name="TextBox 5">
          <a:extLst>
            <a:ext uri="{FF2B5EF4-FFF2-40B4-BE49-F238E27FC236}">
              <a16:creationId xmlns:a16="http://schemas.microsoft.com/office/drawing/2014/main" id="{00000000-0008-0000-1400-000006000000}"/>
            </a:ext>
          </a:extLst>
        </xdr:cNvPr>
        <xdr:cNvSpPr txBox="1"/>
      </xdr:nvSpPr>
      <xdr:spPr>
        <a:xfrm>
          <a:off x="0" y="34925"/>
          <a:ext cx="11658599"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FACTOR ANALYSIS</a:t>
          </a:r>
        </a:p>
        <a:p>
          <a:pPr algn="ctr"/>
          <a:endParaRPr lang="en-US" sz="1600">
            <a:solidFill>
              <a:schemeClr val="bg1"/>
            </a:solidFill>
            <a:latin typeface="Cambria" pitchFamily="18" charset="0"/>
            <a:cs typeface="Arial" pitchFamily="34" charset="0"/>
          </a:endParaRPr>
        </a:p>
      </xdr:txBody>
    </xdr:sp>
    <xdr:clientData/>
  </xdr:twoCellAnchor>
  <xdr:twoCellAnchor>
    <xdr:from>
      <xdr:col>0</xdr:col>
      <xdr:colOff>0</xdr:colOff>
      <xdr:row>77</xdr:row>
      <xdr:rowOff>19050</xdr:rowOff>
    </xdr:from>
    <xdr:to>
      <xdr:col>35</xdr:col>
      <xdr:colOff>9524</xdr:colOff>
      <xdr:row>79</xdr:row>
      <xdr:rowOff>19050</xdr:rowOff>
    </xdr:to>
    <xdr:pic>
      <xdr:nvPicPr>
        <xdr:cNvPr id="7" name="Picture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11782425"/>
          <a:ext cx="11677649" cy="381000"/>
        </a:xfrm>
        <a:prstGeom prst="rect">
          <a:avLst/>
        </a:prstGeom>
      </xdr:spPr>
    </xdr:pic>
    <xdr:clientData/>
  </xdr:twoCellAnchor>
  <xdr:twoCellAnchor>
    <xdr:from>
      <xdr:col>0</xdr:col>
      <xdr:colOff>0</xdr:colOff>
      <xdr:row>77</xdr:row>
      <xdr:rowOff>34925</xdr:rowOff>
    </xdr:from>
    <xdr:to>
      <xdr:col>34</xdr:col>
      <xdr:colOff>323849</xdr:colOff>
      <xdr:row>78</xdr:row>
      <xdr:rowOff>185542</xdr:rowOff>
    </xdr:to>
    <xdr:sp macro="" textlink="">
      <xdr:nvSpPr>
        <xdr:cNvPr id="8" name="TextBox 7" descr="SECOND_SECTION">
          <a:extLst>
            <a:ext uri="{FF2B5EF4-FFF2-40B4-BE49-F238E27FC236}">
              <a16:creationId xmlns:a16="http://schemas.microsoft.com/office/drawing/2014/main" id="{00000000-0008-0000-1400-000008000000}"/>
            </a:ext>
          </a:extLst>
        </xdr:cNvPr>
        <xdr:cNvSpPr txBox="1"/>
      </xdr:nvSpPr>
      <xdr:spPr>
        <a:xfrm>
          <a:off x="0" y="11798300"/>
          <a:ext cx="11658599"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FACTOR ANALYSIS</a:t>
          </a:r>
        </a:p>
        <a:p>
          <a:pPr algn="ctr"/>
          <a:endParaRPr lang="en-US" sz="1600">
            <a:solidFill>
              <a:schemeClr val="bg1"/>
            </a:solidFill>
            <a:latin typeface="Cambria" pitchFamily="18" charset="0"/>
            <a:cs typeface="Arial" pitchFamily="34" charset="0"/>
          </a:endParaRPr>
        </a:p>
      </xdr:txBody>
    </xdr:sp>
    <xdr:clientData/>
  </xdr:twoCellAnchor>
  <xdr:twoCellAnchor editAs="oneCell">
    <xdr:from>
      <xdr:col>29</xdr:col>
      <xdr:colOff>209550</xdr:colOff>
      <xdr:row>73</xdr:row>
      <xdr:rowOff>123825</xdr:rowOff>
    </xdr:from>
    <xdr:to>
      <xdr:col>33</xdr:col>
      <xdr:colOff>104947</xdr:colOff>
      <xdr:row>76</xdr:row>
      <xdr:rowOff>123885</xdr:rowOff>
    </xdr:to>
    <xdr:pic>
      <xdr:nvPicPr>
        <xdr:cNvPr id="17" name="Picture 16">
          <a:extLst>
            <a:ext uri="{FF2B5EF4-FFF2-40B4-BE49-F238E27FC236}">
              <a16:creationId xmlns:a16="http://schemas.microsoft.com/office/drawing/2014/main" id="{00000000-0008-0000-1400-00001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877425" y="11315700"/>
          <a:ext cx="1228897" cy="428685"/>
        </a:xfrm>
        <a:prstGeom prst="rect">
          <a:avLst/>
        </a:prstGeom>
      </xdr:spPr>
    </xdr:pic>
    <xdr:clientData/>
  </xdr:twoCellAnchor>
  <xdr:twoCellAnchor editAs="oneCell">
    <xdr:from>
      <xdr:col>29</xdr:col>
      <xdr:colOff>200025</xdr:colOff>
      <xdr:row>150</xdr:row>
      <xdr:rowOff>123825</xdr:rowOff>
    </xdr:from>
    <xdr:to>
      <xdr:col>33</xdr:col>
      <xdr:colOff>95422</xdr:colOff>
      <xdr:row>153</xdr:row>
      <xdr:rowOff>123885</xdr:rowOff>
    </xdr:to>
    <xdr:pic>
      <xdr:nvPicPr>
        <xdr:cNvPr id="18" name="Picture 17">
          <a:extLst>
            <a:ext uri="{FF2B5EF4-FFF2-40B4-BE49-F238E27FC236}">
              <a16:creationId xmlns:a16="http://schemas.microsoft.com/office/drawing/2014/main" id="{00000000-0008-0000-1400-00001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867900" y="23079075"/>
          <a:ext cx="1228897" cy="42868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114300</xdr:colOff>
      <xdr:row>173</xdr:row>
      <xdr:rowOff>28575</xdr:rowOff>
    </xdr:from>
    <xdr:to>
      <xdr:col>5</xdr:col>
      <xdr:colOff>85423</xdr:colOff>
      <xdr:row>175</xdr:row>
      <xdr:rowOff>38099</xdr:rowOff>
    </xdr:to>
    <xdr:pic>
      <xdr:nvPicPr>
        <xdr:cNvPr id="8" name="Picture 7">
          <a:extLst>
            <a:ext uri="{FF2B5EF4-FFF2-40B4-BE49-F238E27FC236}">
              <a16:creationId xmlns:a16="http://schemas.microsoft.com/office/drawing/2014/main" id="{00000000-0008-0000-15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4201775"/>
          <a:ext cx="1647523" cy="390524"/>
        </a:xfrm>
        <a:prstGeom prst="rect">
          <a:avLst/>
        </a:prstGeom>
      </xdr:spPr>
    </xdr:pic>
    <xdr:clientData/>
  </xdr:twoCellAnchor>
  <xdr:twoCellAnchor>
    <xdr:from>
      <xdr:col>0</xdr:col>
      <xdr:colOff>0</xdr:colOff>
      <xdr:row>0</xdr:row>
      <xdr:rowOff>0</xdr:rowOff>
    </xdr:from>
    <xdr:to>
      <xdr:col>34</xdr:col>
      <xdr:colOff>600075</xdr:colOff>
      <xdr:row>2</xdr:row>
      <xdr:rowOff>0</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12220575" cy="381000"/>
        </a:xfrm>
        <a:prstGeom prst="rect">
          <a:avLst/>
        </a:prstGeom>
      </xdr:spPr>
    </xdr:pic>
    <xdr:clientData/>
  </xdr:twoCellAnchor>
  <xdr:twoCellAnchor>
    <xdr:from>
      <xdr:col>0</xdr:col>
      <xdr:colOff>0</xdr:colOff>
      <xdr:row>0</xdr:row>
      <xdr:rowOff>15875</xdr:rowOff>
    </xdr:from>
    <xdr:to>
      <xdr:col>35</xdr:col>
      <xdr:colOff>0</xdr:colOff>
      <xdr:row>1</xdr:row>
      <xdr:rowOff>166492</xdr:rowOff>
    </xdr:to>
    <xdr:sp macro="" textlink="">
      <xdr:nvSpPr>
        <xdr:cNvPr id="6" name="TextBox 5">
          <a:extLst>
            <a:ext uri="{FF2B5EF4-FFF2-40B4-BE49-F238E27FC236}">
              <a16:creationId xmlns:a16="http://schemas.microsoft.com/office/drawing/2014/main" id="{00000000-0008-0000-1500-000006000000}"/>
            </a:ext>
          </a:extLst>
        </xdr:cNvPr>
        <xdr:cNvSpPr txBox="1"/>
      </xdr:nvSpPr>
      <xdr:spPr>
        <a:xfrm>
          <a:off x="0" y="15875"/>
          <a:ext cx="11868150"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FUND CORRELATIONS</a:t>
          </a:r>
        </a:p>
        <a:p>
          <a:pPr algn="ctr"/>
          <a:endParaRPr lang="en-US" sz="1600">
            <a:solidFill>
              <a:schemeClr val="bg1"/>
            </a:solidFill>
            <a:latin typeface="Cambria" pitchFamily="18" charset="0"/>
            <a:cs typeface="Arial" pitchFamily="34" charset="0"/>
          </a:endParaRPr>
        </a:p>
      </xdr:txBody>
    </xdr:sp>
    <xdr:clientData/>
  </xdr:twoCellAnchor>
  <xdr:twoCellAnchor editAs="oneCell">
    <xdr:from>
      <xdr:col>30</xdr:col>
      <xdr:colOff>190500</xdr:colOff>
      <xdr:row>172</xdr:row>
      <xdr:rowOff>104775</xdr:rowOff>
    </xdr:from>
    <xdr:to>
      <xdr:col>34</xdr:col>
      <xdr:colOff>85897</xdr:colOff>
      <xdr:row>174</xdr:row>
      <xdr:rowOff>152460</xdr:rowOff>
    </xdr:to>
    <xdr:pic>
      <xdr:nvPicPr>
        <xdr:cNvPr id="7" name="Picture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91775" y="14135100"/>
          <a:ext cx="1228897" cy="42868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75</xdr:row>
      <xdr:rowOff>19050</xdr:rowOff>
    </xdr:from>
    <xdr:to>
      <xdr:col>5</xdr:col>
      <xdr:colOff>28273</xdr:colOff>
      <xdr:row>77</xdr:row>
      <xdr:rowOff>123824</xdr:rowOff>
    </xdr:to>
    <xdr:pic>
      <xdr:nvPicPr>
        <xdr:cNvPr id="7" name="Picture 6">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0906125"/>
          <a:ext cx="1647523" cy="390524"/>
        </a:xfrm>
        <a:prstGeom prst="rect">
          <a:avLst/>
        </a:prstGeom>
      </xdr:spPr>
    </xdr:pic>
    <xdr:clientData/>
  </xdr:twoCellAnchor>
  <xdr:twoCellAnchor>
    <xdr:from>
      <xdr:col>0</xdr:col>
      <xdr:colOff>0</xdr:colOff>
      <xdr:row>0</xdr:row>
      <xdr:rowOff>0</xdr:rowOff>
    </xdr:from>
    <xdr:to>
      <xdr:col>35</xdr:col>
      <xdr:colOff>19050</xdr:colOff>
      <xdr:row>2</xdr:row>
      <xdr:rowOff>0</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11877675"/>
          <a:ext cx="11887200" cy="371475"/>
        </a:xfrm>
        <a:prstGeom prst="rect">
          <a:avLst/>
        </a:prstGeom>
      </xdr:spPr>
    </xdr:pic>
    <xdr:clientData/>
  </xdr:twoCellAnchor>
  <xdr:twoCellAnchor>
    <xdr:from>
      <xdr:col>0</xdr:col>
      <xdr:colOff>0</xdr:colOff>
      <xdr:row>0</xdr:row>
      <xdr:rowOff>15875</xdr:rowOff>
    </xdr:from>
    <xdr:to>
      <xdr:col>35</xdr:col>
      <xdr:colOff>0</xdr:colOff>
      <xdr:row>1</xdr:row>
      <xdr:rowOff>166492</xdr:rowOff>
    </xdr:to>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0" y="15875"/>
          <a:ext cx="11868150" cy="331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FACTOR CORRELATIONS</a:t>
          </a:r>
        </a:p>
        <a:p>
          <a:pPr algn="ctr"/>
          <a:endParaRPr lang="en-US" sz="1600">
            <a:solidFill>
              <a:schemeClr val="bg1"/>
            </a:solidFill>
            <a:latin typeface="Cambria" pitchFamily="18" charset="0"/>
            <a:cs typeface="Arial" pitchFamily="34" charset="0"/>
          </a:endParaRPr>
        </a:p>
      </xdr:txBody>
    </xdr:sp>
    <xdr:clientData/>
  </xdr:twoCellAnchor>
  <xdr:twoCellAnchor editAs="oneCell">
    <xdr:from>
      <xdr:col>30</xdr:col>
      <xdr:colOff>142875</xdr:colOff>
      <xdr:row>75</xdr:row>
      <xdr:rowOff>19050</xdr:rowOff>
    </xdr:from>
    <xdr:to>
      <xdr:col>34</xdr:col>
      <xdr:colOff>38272</xdr:colOff>
      <xdr:row>78</xdr:row>
      <xdr:rowOff>19110</xdr:rowOff>
    </xdr:to>
    <xdr:pic>
      <xdr:nvPicPr>
        <xdr:cNvPr id="6" name="Picture 5">
          <a:extLst>
            <a:ext uri="{FF2B5EF4-FFF2-40B4-BE49-F238E27FC236}">
              <a16:creationId xmlns:a16="http://schemas.microsoft.com/office/drawing/2014/main" id="{00000000-0008-0000-16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44150" y="10906125"/>
          <a:ext cx="1228897" cy="42868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2</xdr:colOff>
      <xdr:row>0</xdr:row>
      <xdr:rowOff>0</xdr:rowOff>
    </xdr:from>
    <xdr:to>
      <xdr:col>34</xdr:col>
      <xdr:colOff>9525</xdr:colOff>
      <xdr:row>2</xdr:row>
      <xdr:rowOff>0</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extLst>
            <a:ext uri="{BEBA8EAE-BF5A-486C-A8C5-ECC9F3942E4B}">
              <a14:imgProps xmlns:a14="http://schemas.microsoft.com/office/drawing/2010/main">
                <a14:imgLayer r:embed="rId2">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2" y="0"/>
          <a:ext cx="11677648" cy="381000"/>
        </a:xfrm>
        <a:prstGeom prst="rect">
          <a:avLst/>
        </a:prstGeom>
      </xdr:spPr>
    </xdr:pic>
    <xdr:clientData/>
  </xdr:twoCellAnchor>
  <xdr:twoCellAnchor>
    <xdr:from>
      <xdr:col>0</xdr:col>
      <xdr:colOff>19051</xdr:colOff>
      <xdr:row>0</xdr:row>
      <xdr:rowOff>15875</xdr:rowOff>
    </xdr:from>
    <xdr:to>
      <xdr:col>33</xdr:col>
      <xdr:colOff>342900</xdr:colOff>
      <xdr:row>1</xdr:row>
      <xdr:rowOff>166492</xdr:rowOff>
    </xdr:to>
    <xdr:sp macro="" textlink="">
      <xdr:nvSpPr>
        <xdr:cNvPr id="6" name="TextBox 5">
          <a:extLst>
            <a:ext uri="{FF2B5EF4-FFF2-40B4-BE49-F238E27FC236}">
              <a16:creationId xmlns:a16="http://schemas.microsoft.com/office/drawing/2014/main" id="{00000000-0008-0000-1700-000006000000}"/>
            </a:ext>
          </a:extLst>
        </xdr:cNvPr>
        <xdr:cNvSpPr txBox="1"/>
      </xdr:nvSpPr>
      <xdr:spPr>
        <a:xfrm>
          <a:off x="19051" y="15875"/>
          <a:ext cx="11630024"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HISTORICAL</a:t>
          </a:r>
          <a:r>
            <a:rPr lang="en-US" sz="1600" baseline="0">
              <a:solidFill>
                <a:schemeClr val="bg1"/>
              </a:solidFill>
              <a:latin typeface="Cambria" pitchFamily="18" charset="0"/>
              <a:cs typeface="Arial" pitchFamily="34" charset="0"/>
            </a:rPr>
            <a:t> RETURNS</a:t>
          </a:r>
          <a:endParaRPr lang="en-US" sz="1600">
            <a:solidFill>
              <a:schemeClr val="bg1"/>
            </a:solidFill>
            <a:latin typeface="Cambria" pitchFamily="18" charset="0"/>
            <a:cs typeface="Arial"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47625</xdr:colOff>
      <xdr:row>61</xdr:row>
      <xdr:rowOff>171450</xdr:rowOff>
    </xdr:from>
    <xdr:to>
      <xdr:col>5</xdr:col>
      <xdr:colOff>28273</xdr:colOff>
      <xdr:row>63</xdr:row>
      <xdr:rowOff>180974</xdr:rowOff>
    </xdr:to>
    <xdr:pic>
      <xdr:nvPicPr>
        <xdr:cNvPr id="9" name="Picture 8">
          <a:extLst>
            <a:ext uri="{FF2B5EF4-FFF2-40B4-BE49-F238E27FC236}">
              <a16:creationId xmlns:a16="http://schemas.microsoft.com/office/drawing/2014/main" id="{00000000-0008-0000-18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1544300"/>
          <a:ext cx="1647523" cy="390524"/>
        </a:xfrm>
        <a:prstGeom prst="rect">
          <a:avLst/>
        </a:prstGeom>
      </xdr:spPr>
    </xdr:pic>
    <xdr:clientData/>
  </xdr:twoCellAnchor>
  <xdr:twoCellAnchor>
    <xdr:from>
      <xdr:col>0</xdr:col>
      <xdr:colOff>0</xdr:colOff>
      <xdr:row>0</xdr:row>
      <xdr:rowOff>0</xdr:rowOff>
    </xdr:from>
    <xdr:to>
      <xdr:col>35</xdr:col>
      <xdr:colOff>0</xdr:colOff>
      <xdr:row>2</xdr:row>
      <xdr:rowOff>0</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2">
          <a:duotone>
            <a:prstClr val="black"/>
            <a:schemeClr val="accent1">
              <a:tint val="45000"/>
              <a:satMod val="400000"/>
            </a:schemeClr>
          </a:duotone>
          <a:extLst>
            <a:ext uri="{BEBA8EAE-BF5A-486C-A8C5-ECC9F3942E4B}">
              <a14:imgProps xmlns:a14="http://schemas.microsoft.com/office/drawing/2010/main">
                <a14:imgLayer r:embed="rId3">
                  <a14:imgEffect>
                    <a14:saturation sat="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0" y="0"/>
          <a:ext cx="10706100" cy="381000"/>
        </a:xfrm>
        <a:prstGeom prst="rect">
          <a:avLst/>
        </a:prstGeom>
      </xdr:spPr>
    </xdr:pic>
    <xdr:clientData/>
  </xdr:twoCellAnchor>
  <xdr:twoCellAnchor>
    <xdr:from>
      <xdr:col>0</xdr:col>
      <xdr:colOff>28575</xdr:colOff>
      <xdr:row>0</xdr:row>
      <xdr:rowOff>15875</xdr:rowOff>
    </xdr:from>
    <xdr:to>
      <xdr:col>34</xdr:col>
      <xdr:colOff>314324</xdr:colOff>
      <xdr:row>1</xdr:row>
      <xdr:rowOff>166492</xdr:rowOff>
    </xdr:to>
    <xdr:sp macro="" textlink="">
      <xdr:nvSpPr>
        <xdr:cNvPr id="6" name="TextBox 5">
          <a:extLst>
            <a:ext uri="{FF2B5EF4-FFF2-40B4-BE49-F238E27FC236}">
              <a16:creationId xmlns:a16="http://schemas.microsoft.com/office/drawing/2014/main" id="{00000000-0008-0000-1800-000006000000}"/>
            </a:ext>
          </a:extLst>
        </xdr:cNvPr>
        <xdr:cNvSpPr txBox="1"/>
      </xdr:nvSpPr>
      <xdr:spPr>
        <a:xfrm>
          <a:off x="28575" y="15875"/>
          <a:ext cx="11620499" cy="34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Cambria" pitchFamily="18" charset="0"/>
              <a:cs typeface="Arial" pitchFamily="34" charset="0"/>
            </a:rPr>
            <a:t>GLOSSARY</a:t>
          </a:r>
        </a:p>
      </xdr:txBody>
    </xdr:sp>
    <xdr:clientData/>
  </xdr:twoCellAnchor>
  <xdr:twoCellAnchor editAs="oneCell">
    <xdr:from>
      <xdr:col>30</xdr:col>
      <xdr:colOff>180975</xdr:colOff>
      <xdr:row>61</xdr:row>
      <xdr:rowOff>104775</xdr:rowOff>
    </xdr:from>
    <xdr:to>
      <xdr:col>34</xdr:col>
      <xdr:colOff>76372</xdr:colOff>
      <xdr:row>63</xdr:row>
      <xdr:rowOff>152460</xdr:rowOff>
    </xdr:to>
    <xdr:pic>
      <xdr:nvPicPr>
        <xdr:cNvPr id="7" name="Picture 6">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182225" y="11477625"/>
          <a:ext cx="1228897" cy="428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98BAF6"/>
        </a:solidFill>
        <a:ln>
          <a:no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AI48"/>
  <sheetViews>
    <sheetView showGridLines="0" tabSelected="1" zoomScaleNormal="100" workbookViewId="0"/>
  </sheetViews>
  <sheetFormatPr defaultRowHeight="15" x14ac:dyDescent="0.25"/>
  <cols>
    <col min="1" max="35" width="5" customWidth="1"/>
  </cols>
  <sheetData>
    <row r="1" spans="1:35" x14ac:dyDescent="0.25">
      <c r="B1" s="321"/>
      <c r="C1" s="321"/>
      <c r="D1" s="321"/>
      <c r="E1" s="321"/>
      <c r="F1" s="321"/>
      <c r="G1" s="321"/>
      <c r="H1" s="321"/>
      <c r="I1" s="321"/>
      <c r="J1" s="321"/>
    </row>
    <row r="2" spans="1:35" x14ac:dyDescent="0.25">
      <c r="B2" s="321"/>
      <c r="C2" s="321"/>
      <c r="D2" s="321"/>
      <c r="E2" s="321"/>
      <c r="F2" s="321"/>
      <c r="G2" s="321"/>
      <c r="H2" s="321"/>
      <c r="I2" s="321"/>
      <c r="J2" s="321"/>
    </row>
    <row r="3" spans="1:35" ht="11.25" customHeight="1" x14ac:dyDescent="0.25">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row>
    <row r="4" spans="1:35" ht="18.75" x14ac:dyDescent="0.25">
      <c r="A4" s="318" t="s">
        <v>90</v>
      </c>
      <c r="B4" s="318"/>
      <c r="C4" s="318"/>
      <c r="D4" s="318"/>
      <c r="E4" s="318"/>
      <c r="F4" s="318"/>
      <c r="G4" s="318"/>
      <c r="H4" s="318" t="s">
        <v>91</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row>
    <row r="5" spans="1:35" ht="11.25" customHeight="1" x14ac:dyDescent="0.25">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row>
    <row r="6" spans="1:35" ht="20.100000000000001" customHeight="1" x14ac:dyDescent="0.25">
      <c r="A6" s="323" t="s">
        <v>92</v>
      </c>
      <c r="B6" s="323"/>
      <c r="C6" s="323"/>
      <c r="D6" s="323"/>
      <c r="E6" s="323"/>
      <c r="F6" s="323"/>
      <c r="G6" s="323"/>
      <c r="H6" s="322" t="s">
        <v>277</v>
      </c>
      <c r="I6" s="322"/>
      <c r="J6" s="322"/>
      <c r="K6" s="322"/>
      <c r="L6" s="322"/>
      <c r="M6" s="322"/>
      <c r="N6" s="322"/>
      <c r="O6" s="322"/>
      <c r="P6" s="322"/>
      <c r="Q6" s="322"/>
      <c r="R6" s="322"/>
      <c r="S6" s="322"/>
      <c r="T6" s="322"/>
      <c r="U6" s="322"/>
      <c r="V6" s="322"/>
      <c r="W6" s="322"/>
      <c r="X6" s="322"/>
      <c r="Y6" s="322"/>
      <c r="Z6" s="322"/>
      <c r="AA6" s="322"/>
      <c r="AB6" s="322"/>
      <c r="AC6" s="322"/>
      <c r="AD6" s="322"/>
      <c r="AE6" s="322"/>
      <c r="AF6" s="322"/>
      <c r="AG6" s="322"/>
      <c r="AH6" s="322"/>
      <c r="AI6" s="322"/>
    </row>
    <row r="7" spans="1:35" ht="20.100000000000001" customHeight="1" x14ac:dyDescent="0.25">
      <c r="A7" s="315" t="s">
        <v>182</v>
      </c>
      <c r="B7" s="315"/>
      <c r="C7" s="315"/>
      <c r="D7" s="315"/>
      <c r="E7" s="315"/>
      <c r="F7" s="315"/>
      <c r="G7" s="315"/>
      <c r="H7" s="316" t="s">
        <v>184</v>
      </c>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row>
    <row r="8" spans="1:35" ht="20.100000000000001" customHeight="1" x14ac:dyDescent="0.25">
      <c r="A8" s="315" t="s">
        <v>183</v>
      </c>
      <c r="B8" s="315"/>
      <c r="C8" s="315"/>
      <c r="D8" s="315"/>
      <c r="E8" s="315"/>
      <c r="F8" s="315"/>
      <c r="G8" s="315"/>
      <c r="H8" s="316" t="s">
        <v>185</v>
      </c>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row>
    <row r="9" spans="1:35" ht="20.100000000000001" customHeight="1" x14ac:dyDescent="0.25">
      <c r="A9" s="315" t="s">
        <v>169</v>
      </c>
      <c r="B9" s="315"/>
      <c r="C9" s="315"/>
      <c r="D9" s="315"/>
      <c r="E9" s="315"/>
      <c r="F9" s="315"/>
      <c r="G9" s="315"/>
      <c r="H9" s="316" t="s">
        <v>180</v>
      </c>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row>
    <row r="10" spans="1:35" ht="20.100000000000001" customHeight="1" x14ac:dyDescent="0.25">
      <c r="A10" s="315" t="s">
        <v>170</v>
      </c>
      <c r="B10" s="315"/>
      <c r="C10" s="315"/>
      <c r="D10" s="315"/>
      <c r="E10" s="315"/>
      <c r="F10" s="315"/>
      <c r="G10" s="315"/>
      <c r="H10" s="316" t="s">
        <v>181</v>
      </c>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row>
    <row r="11" spans="1:35" ht="20.100000000000001" customHeight="1" x14ac:dyDescent="0.25">
      <c r="A11" s="315" t="s">
        <v>93</v>
      </c>
      <c r="B11" s="315"/>
      <c r="C11" s="315"/>
      <c r="D11" s="315"/>
      <c r="E11" s="315"/>
      <c r="F11" s="315"/>
      <c r="G11" s="315"/>
      <c r="H11" s="316" t="s">
        <v>241</v>
      </c>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row>
    <row r="12" spans="1:35" ht="20.100000000000001" customHeight="1" x14ac:dyDescent="0.25">
      <c r="A12" s="315" t="s">
        <v>268</v>
      </c>
      <c r="B12" s="315"/>
      <c r="C12" s="315"/>
      <c r="D12" s="315"/>
      <c r="E12" s="315"/>
      <c r="F12" s="315"/>
      <c r="G12" s="315"/>
      <c r="H12" s="316" t="s">
        <v>278</v>
      </c>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row>
    <row r="13" spans="1:35" ht="20.100000000000001" customHeight="1" x14ac:dyDescent="0.25">
      <c r="A13" s="315" t="s">
        <v>94</v>
      </c>
      <c r="B13" s="315"/>
      <c r="C13" s="315"/>
      <c r="D13" s="315"/>
      <c r="E13" s="315"/>
      <c r="F13" s="315"/>
      <c r="G13" s="315"/>
      <c r="H13" s="316" t="s">
        <v>99</v>
      </c>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row>
    <row r="14" spans="1:35" ht="20.100000000000001" customHeight="1" x14ac:dyDescent="0.25">
      <c r="A14" s="315" t="s">
        <v>70</v>
      </c>
      <c r="B14" s="315"/>
      <c r="C14" s="315"/>
      <c r="D14" s="315"/>
      <c r="E14" s="315"/>
      <c r="F14" s="315"/>
      <c r="G14" s="315"/>
      <c r="H14" s="316" t="s">
        <v>98</v>
      </c>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row>
    <row r="15" spans="1:35" ht="20.100000000000001" customHeight="1" x14ac:dyDescent="0.25">
      <c r="A15" s="315" t="s">
        <v>95</v>
      </c>
      <c r="B15" s="315"/>
      <c r="C15" s="315"/>
      <c r="D15" s="315"/>
      <c r="E15" s="315"/>
      <c r="F15" s="315"/>
      <c r="G15" s="315"/>
      <c r="H15" s="316" t="s">
        <v>100</v>
      </c>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row>
    <row r="16" spans="1:35" ht="20.100000000000001" customHeight="1" x14ac:dyDescent="0.25">
      <c r="A16" s="315" t="s">
        <v>229</v>
      </c>
      <c r="B16" s="315"/>
      <c r="C16" s="315"/>
      <c r="D16" s="315"/>
      <c r="E16" s="315"/>
      <c r="F16" s="315"/>
      <c r="G16" s="315"/>
      <c r="H16" s="316" t="s">
        <v>230</v>
      </c>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row>
    <row r="17" spans="1:35" ht="20.100000000000001" customHeight="1" x14ac:dyDescent="0.25">
      <c r="A17" s="315" t="s">
        <v>72</v>
      </c>
      <c r="B17" s="315"/>
      <c r="C17" s="315"/>
      <c r="D17" s="315"/>
      <c r="E17" s="315"/>
      <c r="F17" s="315"/>
      <c r="G17" s="315"/>
      <c r="H17" s="316" t="s">
        <v>231</v>
      </c>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row>
    <row r="18" spans="1:35" ht="20.100000000000001" customHeight="1" x14ac:dyDescent="0.25">
      <c r="A18" s="315" t="s">
        <v>96</v>
      </c>
      <c r="B18" s="315"/>
      <c r="C18" s="315"/>
      <c r="D18" s="315"/>
      <c r="E18" s="315"/>
      <c r="F18" s="315"/>
      <c r="G18" s="315"/>
      <c r="H18" s="316" t="s">
        <v>97</v>
      </c>
      <c r="I18" s="316"/>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row>
    <row r="19" spans="1:35" ht="20.100000000000001" customHeight="1" x14ac:dyDescent="0.25">
      <c r="A19" s="315" t="s">
        <v>186</v>
      </c>
      <c r="B19" s="315"/>
      <c r="C19" s="315"/>
      <c r="D19" s="315"/>
      <c r="E19" s="315"/>
      <c r="F19" s="315"/>
      <c r="G19" s="315"/>
      <c r="H19" s="316" t="s">
        <v>232</v>
      </c>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row>
    <row r="20" spans="1:35" ht="20.100000000000001" customHeight="1" x14ac:dyDescent="0.25">
      <c r="A20" s="112"/>
      <c r="B20" s="112"/>
      <c r="C20" s="112"/>
      <c r="D20" s="112"/>
      <c r="E20" s="112"/>
      <c r="F20" s="112"/>
      <c r="G20" s="112"/>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row>
    <row r="21" spans="1:35" ht="20.100000000000001" customHeight="1" x14ac:dyDescent="0.25">
      <c r="AD21" s="38"/>
    </row>
    <row r="22" spans="1:35" ht="20.100000000000001" customHeight="1" x14ac:dyDescent="0.25">
      <c r="AD22" s="38"/>
    </row>
    <row r="23" spans="1:35" ht="20.100000000000001" customHeight="1" x14ac:dyDescent="0.25">
      <c r="AD23" s="38"/>
    </row>
    <row r="24" spans="1:35" ht="18.75" customHeight="1" x14ac:dyDescent="0.25">
      <c r="A24" s="318" t="s">
        <v>130</v>
      </c>
      <c r="B24" s="318"/>
      <c r="C24" s="318"/>
      <c r="D24" s="318"/>
      <c r="E24" s="318"/>
      <c r="F24" s="318"/>
      <c r="G24" s="318"/>
      <c r="H24" s="318"/>
      <c r="I24" s="318"/>
      <c r="J24" s="318"/>
      <c r="K24" s="318"/>
      <c r="L24" s="318"/>
      <c r="M24" s="318"/>
      <c r="N24" s="318"/>
      <c r="O24" s="318"/>
      <c r="P24" s="318"/>
      <c r="Q24" s="318"/>
      <c r="R24" s="318"/>
      <c r="S24" s="318"/>
      <c r="T24" s="318"/>
      <c r="U24" s="318" t="s">
        <v>187</v>
      </c>
      <c r="V24" s="318"/>
      <c r="W24" s="318"/>
      <c r="X24" s="318"/>
      <c r="Y24" s="318"/>
      <c r="Z24" s="318"/>
      <c r="AA24" s="318"/>
      <c r="AB24" s="318"/>
      <c r="AC24" s="318"/>
      <c r="AD24" s="318"/>
      <c r="AE24" s="318"/>
      <c r="AF24" s="318"/>
      <c r="AG24" s="318"/>
      <c r="AH24" s="318"/>
      <c r="AI24" s="318"/>
    </row>
    <row r="25" spans="1:35" ht="20.100000000000001" customHeight="1" x14ac:dyDescent="0.25">
      <c r="A25" s="317" t="s">
        <v>39</v>
      </c>
      <c r="B25" s="317"/>
      <c r="C25" s="317"/>
      <c r="D25" s="317"/>
      <c r="E25" s="317"/>
      <c r="F25" s="317"/>
      <c r="G25" s="317"/>
      <c r="H25" s="319" t="str">
        <f>'SIMULATED RISK'!A9</f>
        <v>Current 7.26</v>
      </c>
      <c r="I25" s="319"/>
      <c r="J25" s="319"/>
      <c r="K25" s="319"/>
      <c r="L25" s="319"/>
      <c r="M25" s="319"/>
      <c r="N25" s="319"/>
      <c r="O25" s="319"/>
      <c r="P25" s="319"/>
      <c r="Q25" s="319"/>
      <c r="R25" s="319"/>
      <c r="S25" s="319"/>
      <c r="T25" s="319"/>
      <c r="U25" s="175"/>
      <c r="V25" s="175"/>
      <c r="W25" s="175"/>
      <c r="X25" s="175"/>
      <c r="Y25" s="175"/>
      <c r="Z25" s="175"/>
      <c r="AA25" s="175"/>
      <c r="AB25" s="175"/>
      <c r="AC25" s="175"/>
      <c r="AD25" s="175"/>
      <c r="AE25" s="175"/>
      <c r="AF25" s="175"/>
      <c r="AG25" s="175"/>
      <c r="AH25" s="175"/>
      <c r="AI25" s="175"/>
    </row>
    <row r="26" spans="1:35" ht="20.100000000000001" customHeight="1" x14ac:dyDescent="0.25">
      <c r="A26" s="317" t="s">
        <v>38</v>
      </c>
      <c r="B26" s="317"/>
      <c r="C26" s="317"/>
      <c r="D26" s="317"/>
      <c r="E26" s="317"/>
      <c r="F26" s="317"/>
      <c r="G26" s="317"/>
      <c r="H26" s="320">
        <v>1000000</v>
      </c>
      <c r="I26" s="320"/>
      <c r="J26" s="320"/>
      <c r="K26" s="320"/>
      <c r="L26" s="320"/>
      <c r="M26" s="320"/>
      <c r="N26" s="320"/>
      <c r="O26" s="320"/>
      <c r="P26" s="320"/>
      <c r="Q26" s="320"/>
      <c r="R26" s="320"/>
      <c r="S26" s="320"/>
      <c r="T26" s="320"/>
      <c r="U26" s="176"/>
      <c r="V26" s="176"/>
      <c r="W26" s="176"/>
      <c r="X26" s="176"/>
      <c r="Y26" s="176"/>
      <c r="Z26" s="176"/>
      <c r="AA26" s="176"/>
      <c r="AB26" s="176"/>
      <c r="AC26" s="176"/>
      <c r="AD26" s="176"/>
      <c r="AE26" s="176"/>
      <c r="AF26" s="176"/>
      <c r="AG26" s="176"/>
      <c r="AH26" s="176"/>
      <c r="AI26" s="176"/>
    </row>
    <row r="27" spans="1:35" ht="20.100000000000001" customHeight="1" x14ac:dyDescent="0.25">
      <c r="A27" s="317" t="s">
        <v>233</v>
      </c>
      <c r="B27" s="317"/>
      <c r="C27" s="317"/>
      <c r="D27" s="317"/>
      <c r="E27" s="317"/>
      <c r="F27" s="317"/>
      <c r="G27" s="317"/>
      <c r="H27" s="319" t="s">
        <v>284</v>
      </c>
      <c r="I27" s="319"/>
      <c r="J27" s="319"/>
      <c r="K27" s="319"/>
      <c r="L27" s="319"/>
      <c r="M27" s="319"/>
      <c r="N27" s="319"/>
      <c r="O27" s="319"/>
      <c r="P27" s="319"/>
      <c r="Q27" s="319"/>
      <c r="R27" s="319"/>
      <c r="S27" s="319"/>
      <c r="T27" s="319"/>
      <c r="U27" s="177"/>
      <c r="V27" s="177"/>
      <c r="W27" s="177"/>
      <c r="X27" s="177"/>
      <c r="Y27" s="177"/>
      <c r="Z27" s="177"/>
      <c r="AA27" s="177"/>
      <c r="AB27" s="177"/>
      <c r="AC27" s="177"/>
      <c r="AD27" s="177"/>
      <c r="AE27" s="177"/>
      <c r="AF27" s="177"/>
      <c r="AG27" s="177"/>
      <c r="AH27" s="177"/>
      <c r="AI27" s="177"/>
    </row>
    <row r="28" spans="1:35" ht="20.100000000000001" customHeight="1" x14ac:dyDescent="0.25">
      <c r="A28" s="317" t="s">
        <v>37</v>
      </c>
      <c r="B28" s="317"/>
      <c r="C28" s="317"/>
      <c r="D28" s="317"/>
      <c r="E28" s="317"/>
      <c r="F28" s="317"/>
      <c r="G28" s="317"/>
      <c r="H28" s="319" t="s">
        <v>285</v>
      </c>
      <c r="I28" s="319"/>
      <c r="J28" s="319"/>
      <c r="K28" s="319"/>
      <c r="L28" s="319"/>
      <c r="M28" s="319"/>
      <c r="N28" s="319"/>
      <c r="O28" s="319"/>
      <c r="P28" s="319"/>
      <c r="Q28" s="319"/>
      <c r="R28" s="319"/>
      <c r="S28" s="319"/>
      <c r="T28" s="319"/>
      <c r="U28" s="177"/>
      <c r="V28" s="177"/>
      <c r="W28" s="177"/>
      <c r="X28" s="177"/>
      <c r="Y28" s="177"/>
      <c r="Z28" s="177"/>
      <c r="AA28" s="177"/>
      <c r="AB28" s="177"/>
      <c r="AC28" s="177"/>
      <c r="AD28" s="177"/>
      <c r="AE28" s="177"/>
      <c r="AF28" s="177"/>
      <c r="AG28" s="177"/>
      <c r="AH28" s="177"/>
      <c r="AI28" s="177"/>
    </row>
    <row r="29" spans="1:35" ht="20.100000000000001" customHeight="1" x14ac:dyDescent="0.25">
      <c r="A29" s="317" t="s">
        <v>32</v>
      </c>
      <c r="B29" s="317"/>
      <c r="C29" s="317"/>
      <c r="D29" s="317"/>
      <c r="E29" s="317"/>
      <c r="F29" s="317"/>
      <c r="G29" s="317"/>
      <c r="H29" s="319" t="s">
        <v>286</v>
      </c>
      <c r="I29" s="319"/>
      <c r="J29" s="319"/>
      <c r="K29" s="319"/>
      <c r="L29" s="319"/>
      <c r="M29" s="319"/>
      <c r="N29" s="319"/>
      <c r="O29" s="319"/>
      <c r="P29" s="319"/>
      <c r="Q29" s="319"/>
      <c r="R29" s="319"/>
      <c r="S29" s="319"/>
      <c r="T29" s="319"/>
      <c r="U29" s="177"/>
      <c r="V29" s="177"/>
      <c r="W29" s="177"/>
      <c r="X29" s="177"/>
      <c r="Y29" s="177"/>
      <c r="Z29" s="177"/>
      <c r="AA29" s="177"/>
      <c r="AB29" s="177"/>
      <c r="AC29" s="177"/>
      <c r="AD29" s="177"/>
      <c r="AE29" s="177"/>
      <c r="AF29" s="177"/>
      <c r="AG29" s="177"/>
      <c r="AH29" s="177"/>
      <c r="AI29" s="177"/>
    </row>
    <row r="30" spans="1:35" ht="20.100000000000001" customHeight="1" x14ac:dyDescent="0.25">
      <c r="A30" s="317" t="s">
        <v>34</v>
      </c>
      <c r="B30" s="317"/>
      <c r="C30" s="317"/>
      <c r="D30" s="317"/>
      <c r="E30" s="317"/>
      <c r="F30" s="317"/>
      <c r="G30" s="317"/>
      <c r="H30" s="319" t="s">
        <v>287</v>
      </c>
      <c r="I30" s="319"/>
      <c r="J30" s="319"/>
      <c r="K30" s="319"/>
      <c r="L30" s="319"/>
      <c r="M30" s="319"/>
      <c r="N30" s="319"/>
      <c r="O30" s="319"/>
      <c r="P30" s="319"/>
      <c r="Q30" s="319"/>
      <c r="R30" s="319"/>
      <c r="S30" s="319"/>
      <c r="T30" s="319"/>
      <c r="U30" s="177"/>
      <c r="V30" s="177"/>
      <c r="W30" s="177"/>
      <c r="X30" s="177"/>
      <c r="Y30" s="177"/>
      <c r="Z30" s="177"/>
      <c r="AA30" s="177"/>
      <c r="AB30" s="177"/>
      <c r="AC30" s="177"/>
      <c r="AD30" s="177"/>
      <c r="AE30" s="177"/>
      <c r="AF30" s="177"/>
      <c r="AG30" s="177"/>
      <c r="AH30" s="177"/>
      <c r="AI30" s="177"/>
    </row>
    <row r="31" spans="1:35" ht="20.100000000000001" customHeight="1" x14ac:dyDescent="0.25">
      <c r="A31" s="317" t="s">
        <v>35</v>
      </c>
      <c r="B31" s="317"/>
      <c r="C31" s="317"/>
      <c r="D31" s="317"/>
      <c r="E31" s="317"/>
      <c r="F31" s="317"/>
      <c r="G31" s="317"/>
      <c r="H31" s="319" t="s">
        <v>288</v>
      </c>
      <c r="I31" s="319"/>
      <c r="J31" s="319"/>
      <c r="K31" s="319"/>
      <c r="L31" s="319"/>
      <c r="M31" s="319"/>
      <c r="N31" s="319"/>
      <c r="O31" s="319"/>
      <c r="P31" s="319"/>
      <c r="Q31" s="319"/>
      <c r="R31" s="319"/>
      <c r="S31" s="319"/>
      <c r="T31" s="319"/>
      <c r="U31" s="177"/>
      <c r="V31" s="177"/>
      <c r="W31" s="177"/>
      <c r="X31" s="177"/>
      <c r="Y31" s="177"/>
      <c r="Z31" s="177"/>
      <c r="AA31" s="177"/>
      <c r="AB31" s="177"/>
      <c r="AC31" s="177"/>
      <c r="AD31" s="177"/>
      <c r="AE31" s="177"/>
      <c r="AF31" s="177"/>
      <c r="AG31" s="177"/>
      <c r="AH31" s="177"/>
      <c r="AI31" s="177"/>
    </row>
    <row r="32" spans="1:35" ht="20.100000000000001" customHeight="1" x14ac:dyDescent="0.25">
      <c r="A32" s="317" t="s">
        <v>33</v>
      </c>
      <c r="B32" s="317"/>
      <c r="C32" s="317"/>
      <c r="D32" s="317"/>
      <c r="E32" s="317"/>
      <c r="F32" s="317"/>
      <c r="G32" s="317"/>
      <c r="H32" s="319" t="s">
        <v>289</v>
      </c>
      <c r="I32" s="319"/>
      <c r="J32" s="319"/>
      <c r="K32" s="319"/>
      <c r="L32" s="319"/>
      <c r="M32" s="319"/>
      <c r="N32" s="319"/>
      <c r="O32" s="319"/>
      <c r="P32" s="319"/>
      <c r="Q32" s="319"/>
      <c r="R32" s="319"/>
      <c r="S32" s="319"/>
      <c r="T32" s="319"/>
      <c r="U32" s="177"/>
      <c r="V32" s="177"/>
      <c r="W32" s="177"/>
      <c r="X32" s="177"/>
      <c r="Y32" s="177"/>
      <c r="Z32" s="177"/>
      <c r="AA32" s="177"/>
      <c r="AB32" s="177"/>
      <c r="AC32" s="177"/>
      <c r="AD32" s="177"/>
      <c r="AE32" s="177"/>
      <c r="AF32" s="177"/>
      <c r="AG32" s="177"/>
      <c r="AH32" s="177"/>
      <c r="AI32" s="177"/>
    </row>
    <row r="33" spans="1:35" ht="20.100000000000001" customHeight="1" x14ac:dyDescent="0.25">
      <c r="A33" s="317" t="s">
        <v>282</v>
      </c>
      <c r="B33" s="317"/>
      <c r="C33" s="317"/>
      <c r="D33" s="317"/>
      <c r="E33" s="317"/>
      <c r="F33" s="317"/>
      <c r="G33" s="317"/>
      <c r="H33" s="319" t="s">
        <v>290</v>
      </c>
      <c r="I33" s="319"/>
      <c r="J33" s="319"/>
      <c r="K33" s="319"/>
      <c r="L33" s="319"/>
      <c r="M33" s="319"/>
      <c r="N33" s="319"/>
      <c r="O33" s="319"/>
      <c r="P33" s="319"/>
      <c r="Q33" s="319"/>
      <c r="R33" s="319"/>
      <c r="S33" s="319"/>
      <c r="T33" s="319"/>
      <c r="U33" s="177"/>
      <c r="V33" s="177"/>
      <c r="W33" s="177"/>
      <c r="X33" s="177"/>
      <c r="Y33" s="177"/>
      <c r="Z33" s="177"/>
      <c r="AA33" s="177"/>
      <c r="AB33" s="177"/>
      <c r="AC33" s="177"/>
      <c r="AD33" s="177"/>
      <c r="AE33" s="177"/>
      <c r="AF33" s="177"/>
      <c r="AG33" s="177"/>
      <c r="AH33" s="177"/>
      <c r="AI33" s="177"/>
    </row>
    <row r="34" spans="1:35" ht="20.100000000000001" customHeight="1" x14ac:dyDescent="0.25">
      <c r="A34" s="317" t="s">
        <v>126</v>
      </c>
      <c r="B34" s="317"/>
      <c r="C34" s="317"/>
      <c r="D34" s="317"/>
      <c r="E34" s="317"/>
      <c r="F34" s="317"/>
      <c r="G34" s="317"/>
      <c r="H34" s="319" t="s">
        <v>291</v>
      </c>
      <c r="I34" s="319"/>
      <c r="J34" s="319"/>
      <c r="K34" s="319"/>
      <c r="L34" s="319"/>
      <c r="M34" s="319"/>
      <c r="N34" s="319"/>
      <c r="O34" s="319"/>
      <c r="P34" s="319"/>
      <c r="Q34" s="319"/>
      <c r="R34" s="319"/>
      <c r="S34" s="319"/>
      <c r="T34" s="319"/>
      <c r="U34" s="177"/>
      <c r="V34" s="177"/>
      <c r="W34" s="177"/>
      <c r="X34" s="177"/>
      <c r="Y34" s="177"/>
      <c r="Z34" s="177"/>
      <c r="AA34" s="177"/>
      <c r="AB34" s="177"/>
      <c r="AC34" s="177"/>
      <c r="AD34" s="177"/>
      <c r="AE34" s="177"/>
      <c r="AF34" s="177"/>
      <c r="AG34" s="177"/>
      <c r="AH34" s="177"/>
      <c r="AI34" s="177"/>
    </row>
    <row r="35" spans="1:35" ht="20.100000000000001" customHeight="1" x14ac:dyDescent="0.25">
      <c r="A35" s="317" t="s">
        <v>40</v>
      </c>
      <c r="B35" s="317"/>
      <c r="C35" s="317"/>
      <c r="D35" s="317"/>
      <c r="E35" s="317"/>
      <c r="F35" s="317"/>
      <c r="G35" s="317"/>
      <c r="H35" s="324" t="s">
        <v>292</v>
      </c>
      <c r="I35" s="324"/>
      <c r="J35" s="324"/>
      <c r="K35" s="324"/>
      <c r="L35" s="324"/>
      <c r="M35" s="324"/>
      <c r="N35" s="324"/>
      <c r="O35" s="324"/>
      <c r="P35" s="324"/>
      <c r="Q35" s="324"/>
      <c r="R35" s="324"/>
      <c r="S35" s="324"/>
      <c r="T35" s="324"/>
      <c r="U35" s="178"/>
      <c r="V35" s="178"/>
      <c r="W35" s="178"/>
      <c r="X35" s="178"/>
      <c r="Y35" s="178"/>
      <c r="Z35" s="178"/>
      <c r="AA35" s="178"/>
      <c r="AB35" s="178"/>
      <c r="AC35" s="178"/>
      <c r="AD35" s="178"/>
      <c r="AE35" s="178"/>
      <c r="AF35" s="178"/>
      <c r="AG35" s="178"/>
      <c r="AH35" s="178"/>
      <c r="AI35" s="178"/>
    </row>
    <row r="36" spans="1:35" ht="20.100000000000001" customHeight="1" x14ac:dyDescent="0.25">
      <c r="A36" s="317" t="s">
        <v>36</v>
      </c>
      <c r="B36" s="317"/>
      <c r="C36" s="317"/>
      <c r="D36" s="317"/>
      <c r="E36" s="317"/>
      <c r="F36" s="317"/>
      <c r="G36" s="317"/>
      <c r="H36" s="324">
        <v>4</v>
      </c>
      <c r="I36" s="324"/>
      <c r="J36" s="324"/>
      <c r="K36" s="324"/>
      <c r="L36" s="324"/>
      <c r="M36" s="324"/>
      <c r="N36" s="324"/>
      <c r="O36" s="324"/>
      <c r="P36" s="324"/>
      <c r="Q36" s="324"/>
      <c r="R36" s="324"/>
      <c r="S36" s="324"/>
      <c r="T36" s="324"/>
      <c r="U36" s="178"/>
      <c r="V36" s="178"/>
      <c r="W36" s="178"/>
      <c r="X36" s="178"/>
      <c r="Y36" s="178"/>
      <c r="Z36" s="178"/>
      <c r="AA36" s="178"/>
      <c r="AB36" s="178"/>
      <c r="AC36" s="178"/>
      <c r="AD36" s="178"/>
      <c r="AE36" s="178"/>
      <c r="AF36" s="178"/>
      <c r="AG36" s="178"/>
      <c r="AH36" s="178"/>
      <c r="AI36" s="178"/>
    </row>
    <row r="37" spans="1:35" ht="20.100000000000001" customHeight="1" x14ac:dyDescent="0.25">
      <c r="A37" s="317" t="s">
        <v>272</v>
      </c>
      <c r="B37" s="317"/>
      <c r="C37" s="317"/>
      <c r="D37" s="317"/>
      <c r="E37" s="317"/>
      <c r="F37" s="317"/>
      <c r="G37" s="317"/>
      <c r="H37" s="324" t="s">
        <v>293</v>
      </c>
      <c r="I37" s="324"/>
      <c r="J37" s="324"/>
      <c r="K37" s="324"/>
      <c r="L37" s="324"/>
      <c r="M37" s="324"/>
      <c r="N37" s="324"/>
      <c r="O37" s="324"/>
      <c r="P37" s="324"/>
      <c r="Q37" s="324"/>
      <c r="R37" s="324"/>
      <c r="S37" s="324"/>
      <c r="T37" s="324"/>
      <c r="U37" s="22"/>
      <c r="V37" s="22"/>
      <c r="W37" s="22"/>
      <c r="X37" s="22"/>
      <c r="Y37" s="22"/>
      <c r="Z37" s="22"/>
      <c r="AA37" s="26"/>
      <c r="AB37" s="26"/>
      <c r="AC37" s="26"/>
      <c r="AD37" s="27"/>
    </row>
    <row r="38" spans="1:35" ht="20.100000000000001" customHeight="1" x14ac:dyDescent="0.25">
      <c r="A38" s="23"/>
      <c r="B38" s="23"/>
      <c r="C38" s="23"/>
      <c r="D38" s="23"/>
      <c r="E38" s="23"/>
      <c r="F38" s="23"/>
      <c r="G38" s="24"/>
      <c r="H38" s="25"/>
      <c r="I38" s="22"/>
      <c r="J38" s="22"/>
      <c r="K38" s="22"/>
      <c r="L38" s="22"/>
      <c r="M38" s="22"/>
      <c r="N38" s="22"/>
      <c r="O38" s="22"/>
      <c r="P38" s="22"/>
      <c r="Q38" s="26"/>
      <c r="R38" s="26"/>
      <c r="S38" s="26"/>
      <c r="U38" s="22"/>
      <c r="V38" s="22"/>
      <c r="W38" s="22"/>
      <c r="X38" s="22"/>
      <c r="Y38" s="22"/>
      <c r="Z38" s="22"/>
      <c r="AA38" s="26"/>
      <c r="AB38" s="26"/>
      <c r="AC38" s="26"/>
      <c r="AD38" s="27"/>
    </row>
    <row r="39" spans="1:35" ht="20.100000000000001" customHeight="1" x14ac:dyDescent="0.25">
      <c r="A39" s="23"/>
      <c r="B39" s="23"/>
      <c r="C39" s="23"/>
      <c r="D39" s="23"/>
      <c r="E39" s="23"/>
      <c r="F39" s="23"/>
      <c r="G39" s="24"/>
      <c r="H39" s="25"/>
      <c r="I39" s="22"/>
      <c r="J39" s="22"/>
      <c r="K39" s="22"/>
      <c r="L39" s="22"/>
      <c r="M39" s="22"/>
      <c r="N39" s="22"/>
      <c r="O39" s="22"/>
      <c r="P39" s="22"/>
      <c r="Q39" s="26"/>
      <c r="R39" s="26"/>
      <c r="S39" s="26"/>
      <c r="U39" s="22"/>
      <c r="V39" s="22"/>
      <c r="W39" s="22"/>
      <c r="X39" s="22"/>
      <c r="Y39" s="22"/>
      <c r="Z39" s="22"/>
      <c r="AA39" s="26"/>
      <c r="AB39" s="26"/>
      <c r="AC39" s="26"/>
      <c r="AD39" s="27"/>
    </row>
    <row r="40" spans="1:35" ht="20.100000000000001" customHeight="1" x14ac:dyDescent="0.25">
      <c r="A40" s="28"/>
      <c r="B40" s="28"/>
      <c r="C40" s="28"/>
      <c r="D40" s="28"/>
      <c r="E40" s="28"/>
      <c r="F40" s="28"/>
      <c r="G40" s="28"/>
      <c r="H40" s="25"/>
      <c r="I40" s="28"/>
      <c r="J40" s="28"/>
      <c r="K40" s="20"/>
      <c r="L40" s="20"/>
      <c r="M40" s="20"/>
      <c r="N40" s="20"/>
      <c r="O40" s="20"/>
      <c r="W40" s="28"/>
      <c r="X40" s="28"/>
      <c r="Y40" s="20"/>
      <c r="Z40" s="20"/>
      <c r="AA40" s="20"/>
      <c r="AB40" s="20"/>
      <c r="AC40" s="20"/>
      <c r="AD40" s="16"/>
    </row>
    <row r="41" spans="1:35" ht="20.100000000000001" customHeight="1" x14ac:dyDescent="0.25">
      <c r="A41" s="29"/>
      <c r="B41" s="29"/>
      <c r="C41" s="29"/>
      <c r="D41" s="29"/>
      <c r="E41" s="29"/>
      <c r="F41" s="29"/>
      <c r="G41" s="30"/>
      <c r="H41" s="25"/>
      <c r="I41" s="31"/>
      <c r="J41" s="31"/>
      <c r="K41" s="31"/>
      <c r="L41" s="31"/>
      <c r="M41" s="31"/>
      <c r="N41" s="31"/>
      <c r="O41" s="31"/>
      <c r="P41" s="31"/>
      <c r="Q41" s="31"/>
      <c r="R41" s="31"/>
      <c r="S41" s="31"/>
      <c r="U41" s="31"/>
      <c r="V41" s="31"/>
      <c r="W41" s="31"/>
      <c r="X41" s="31"/>
      <c r="Y41" s="31"/>
      <c r="Z41" s="31"/>
      <c r="AA41" s="31"/>
      <c r="AB41" s="31"/>
      <c r="AC41" s="31"/>
      <c r="AD41" s="17"/>
    </row>
    <row r="42" spans="1:35" ht="20.100000000000001" customHeight="1" x14ac:dyDescent="0.25">
      <c r="A42" s="32"/>
      <c r="B42" s="32"/>
      <c r="C42" s="32"/>
      <c r="D42" s="32"/>
      <c r="E42" s="32"/>
      <c r="F42" s="32"/>
      <c r="G42" s="33"/>
      <c r="H42" s="25"/>
      <c r="I42" s="33"/>
      <c r="J42" s="33"/>
      <c r="K42" s="33"/>
      <c r="L42" s="33"/>
      <c r="M42" s="33"/>
      <c r="N42" s="33"/>
      <c r="O42" s="34"/>
      <c r="P42" s="34"/>
      <c r="Q42" s="25"/>
      <c r="R42" s="25"/>
      <c r="S42" s="25"/>
      <c r="U42" s="33"/>
      <c r="V42" s="33"/>
      <c r="W42" s="33"/>
      <c r="X42" s="33"/>
      <c r="Y42" s="33"/>
      <c r="Z42" s="33"/>
      <c r="AA42" s="25"/>
      <c r="AB42" s="25"/>
      <c r="AC42" s="25"/>
      <c r="AD42" s="16"/>
    </row>
    <row r="43" spans="1:35" ht="20.100000000000001" customHeight="1" x14ac:dyDescent="0.25">
      <c r="A43" s="23"/>
      <c r="B43" s="23"/>
      <c r="C43" s="23"/>
      <c r="D43" s="23"/>
      <c r="E43" s="23"/>
      <c r="F43" s="23"/>
      <c r="G43" s="24"/>
      <c r="H43" s="25"/>
      <c r="I43" s="22"/>
      <c r="J43" s="22"/>
      <c r="K43" s="22"/>
      <c r="L43" s="22"/>
      <c r="M43" s="22"/>
      <c r="N43" s="22"/>
      <c r="O43" s="22"/>
      <c r="P43" s="22"/>
      <c r="Q43" s="26"/>
      <c r="R43" s="26"/>
      <c r="S43" s="26"/>
      <c r="U43" s="22"/>
      <c r="V43" s="22"/>
      <c r="W43" s="22"/>
      <c r="X43" s="22"/>
      <c r="Y43" s="22"/>
      <c r="Z43" s="22"/>
      <c r="AA43" s="26"/>
      <c r="AB43" s="26"/>
      <c r="AC43" s="26"/>
      <c r="AD43" s="17"/>
    </row>
    <row r="44" spans="1:35" ht="20.100000000000001" customHeight="1" x14ac:dyDescent="0.25">
      <c r="A44" s="23"/>
      <c r="B44" s="23"/>
      <c r="C44" s="23"/>
      <c r="D44" s="23"/>
      <c r="E44" s="23"/>
      <c r="F44" s="23"/>
      <c r="G44" s="24"/>
      <c r="H44" s="25"/>
      <c r="I44" s="22"/>
      <c r="J44" s="22"/>
      <c r="K44" s="22"/>
      <c r="L44" s="22"/>
      <c r="M44" s="22"/>
      <c r="N44" s="22"/>
      <c r="O44" s="22"/>
      <c r="P44" s="22"/>
      <c r="Q44" s="26"/>
      <c r="R44" s="26"/>
      <c r="S44" s="26"/>
      <c r="U44" s="22"/>
      <c r="V44" s="22"/>
      <c r="W44" s="22"/>
      <c r="X44" s="22"/>
      <c r="Y44" s="22"/>
      <c r="Z44" s="22"/>
      <c r="AA44" s="26"/>
      <c r="AB44" s="26"/>
      <c r="AC44" s="26"/>
      <c r="AD44" s="16"/>
    </row>
    <row r="45" spans="1:35" ht="20.100000000000001" customHeight="1" x14ac:dyDescent="0.25"/>
    <row r="46" spans="1:35" ht="20.100000000000001" customHeight="1" x14ac:dyDescent="0.25"/>
    <row r="47" spans="1:35" ht="20.100000000000001" customHeight="1" x14ac:dyDescent="0.25"/>
    <row r="48" spans="1:35" ht="20.100000000000001" customHeight="1" x14ac:dyDescent="0.25"/>
  </sheetData>
  <mergeCells count="59">
    <mergeCell ref="A37:G37"/>
    <mergeCell ref="H37:T37"/>
    <mergeCell ref="H34:T34"/>
    <mergeCell ref="H29:T29"/>
    <mergeCell ref="A28:G28"/>
    <mergeCell ref="H30:T30"/>
    <mergeCell ref="H31:T31"/>
    <mergeCell ref="H32:T32"/>
    <mergeCell ref="H28:T28"/>
    <mergeCell ref="H10:AI10"/>
    <mergeCell ref="A13:G13"/>
    <mergeCell ref="H35:T35"/>
    <mergeCell ref="H36:T36"/>
    <mergeCell ref="A24:T24"/>
    <mergeCell ref="H33:T33"/>
    <mergeCell ref="A36:G36"/>
    <mergeCell ref="A32:G32"/>
    <mergeCell ref="A33:G33"/>
    <mergeCell ref="A34:G34"/>
    <mergeCell ref="A35:G35"/>
    <mergeCell ref="A29:G29"/>
    <mergeCell ref="A30:G30"/>
    <mergeCell ref="A31:G31"/>
    <mergeCell ref="A25:G25"/>
    <mergeCell ref="A26:G26"/>
    <mergeCell ref="B1:J2"/>
    <mergeCell ref="A8:G8"/>
    <mergeCell ref="H8:AI8"/>
    <mergeCell ref="A10:G10"/>
    <mergeCell ref="A17:G17"/>
    <mergeCell ref="H17:AI17"/>
    <mergeCell ref="H4:AI4"/>
    <mergeCell ref="H6:AI6"/>
    <mergeCell ref="A6:G6"/>
    <mergeCell ref="A7:G7"/>
    <mergeCell ref="A9:G9"/>
    <mergeCell ref="H15:AI15"/>
    <mergeCell ref="H16:AI16"/>
    <mergeCell ref="H7:AI7"/>
    <mergeCell ref="H9:AI9"/>
    <mergeCell ref="A4:G4"/>
    <mergeCell ref="A27:G27"/>
    <mergeCell ref="U24:AI24"/>
    <mergeCell ref="A19:G19"/>
    <mergeCell ref="H19:AI19"/>
    <mergeCell ref="H25:T25"/>
    <mergeCell ref="H26:T26"/>
    <mergeCell ref="H27:T27"/>
    <mergeCell ref="A18:G18"/>
    <mergeCell ref="H18:AI18"/>
    <mergeCell ref="H11:AI11"/>
    <mergeCell ref="H13:AI13"/>
    <mergeCell ref="H14:AI14"/>
    <mergeCell ref="A15:G15"/>
    <mergeCell ref="A14:G14"/>
    <mergeCell ref="A12:G12"/>
    <mergeCell ref="H12:AI12"/>
    <mergeCell ref="A11:G11"/>
    <mergeCell ref="A16:G16"/>
  </mergeCells>
  <hyperlinks>
    <hyperlink ref="A6:D6" location="SUMMARY!A1" display="SUMMARY" xr:uid="{00000000-0004-0000-0000-000000000000}"/>
    <hyperlink ref="A7:D7" location="'PORTFOLIO RISK'!Print_Area" display="PORTFOLIO RISK" xr:uid="{00000000-0004-0000-0000-000001000000}"/>
    <hyperlink ref="A9:D9" location="'RISK BUDGETING'!Print_Area" display="RISK BUDGETING" xr:uid="{00000000-0004-0000-0000-000002000000}"/>
    <hyperlink ref="A11:D11" location="'FACTOR CONTRIBUTION'!Print_Area" display="FACTOR CONTRIBUTION" xr:uid="{00000000-0004-0000-0000-000003000000}"/>
    <hyperlink ref="A13:F13" location="'PORTFOLIO STRESS TEST'!A1" display="PORTFOLIO STRESS TEST" xr:uid="{00000000-0004-0000-0000-000004000000}"/>
    <hyperlink ref="A14:F14" location="'STRESSED FACTOR VALUES'!A1" display="STRESSED FACTOR VALUES" xr:uid="{00000000-0004-0000-0000-000005000000}"/>
    <hyperlink ref="A15:F15" location="'FACTOR ANALYSIS'!A1" display="FACTOR ANALYSIS" xr:uid="{00000000-0004-0000-0000-000006000000}"/>
    <hyperlink ref="A16:F16" location="CORRELATIONS!A1" display="CORRELATIONS" xr:uid="{00000000-0004-0000-0000-000007000000}"/>
    <hyperlink ref="A19:F19" location="'TIME SERIES'!A1" display="TIME SERIES" xr:uid="{00000000-0004-0000-0000-000008000000}"/>
    <hyperlink ref="A7:F7" location="'PORTFOLIO RISK'!A1" display="PORTFOLIO RISK" xr:uid="{00000000-0004-0000-0000-000009000000}"/>
    <hyperlink ref="A9:F9" location="'RISK BUDGETING'!A1" display="RISK BUDGETING" xr:uid="{00000000-0004-0000-0000-00000A000000}"/>
    <hyperlink ref="A11:F11" location="'FACTOR CONTRIBUTION'!A1" display="FACTOR CONTRIBUTION" xr:uid="{00000000-0004-0000-0000-00000B000000}"/>
    <hyperlink ref="A17:F17" location="CORRELATIONS!A1" display="CORRELATIONS" xr:uid="{00000000-0004-0000-0000-00000C000000}"/>
    <hyperlink ref="A17:G17" location="'FACTOR CORRELATIONS'!A1" display="FACTOR CORRELATIONS" xr:uid="{00000000-0004-0000-0000-00000D000000}"/>
    <hyperlink ref="A10:D10" location="'RISK BUDGETING'!Print_Area" display="RISK BUDGETING" xr:uid="{00000000-0004-0000-0000-00000E000000}"/>
    <hyperlink ref="A10:F10" location="'RISK BUDGETING'!A1" display="RISK BUDGETING" xr:uid="{00000000-0004-0000-0000-00000F000000}"/>
    <hyperlink ref="A8:D8" location="'PORTFOLIO RISK'!Print_Area" display="PORTFOLIO RISK" xr:uid="{00000000-0004-0000-0000-000010000000}"/>
    <hyperlink ref="A8:F8" location="'PORTFOLIO RISK'!A1" display="PORTFOLIO RISK" xr:uid="{00000000-0004-0000-0000-000011000000}"/>
    <hyperlink ref="A18:F18" location="'TIME SERIES'!A1" display="TIME SERIES" xr:uid="{00000000-0004-0000-0000-000012000000}"/>
    <hyperlink ref="A7:G7" location="'HISTORICAL RISK'!A1" display="HISTORICAL RISK" xr:uid="{00000000-0004-0000-0000-000013000000}"/>
    <hyperlink ref="A8:G8" location="'SIMULATED RISK'!A1" display="SIMULATED RISK" xr:uid="{00000000-0004-0000-0000-000014000000}"/>
    <hyperlink ref="A9:G9" location="'RISK BUDGETING (ETL)'!A1" display="RISK BUDGETING (ETL)" xr:uid="{00000000-0004-0000-0000-000015000000}"/>
    <hyperlink ref="A10:G10" location="'RISK BUDGETING (StDev)'!A1" display="RISK BUDGETING (StDev)" xr:uid="{00000000-0004-0000-0000-000016000000}"/>
    <hyperlink ref="A16:G16" location="'ASSET CORRELATIONS'!A1" display="ASSET CORRELATIONS" xr:uid="{00000000-0004-0000-0000-000017000000}"/>
    <hyperlink ref="A19:G19" location="GLOSSARY!A1" display="GLOSSARY" xr:uid="{00000000-0004-0000-0000-000018000000}"/>
    <hyperlink ref="A12:D12" location="'FACTOR CONTRIBUTION'!Print_Area" display="FACTOR CONTRIBUTION" xr:uid="{00000000-0004-0000-0000-000019000000}"/>
    <hyperlink ref="A12:F12" location="'FACTOR CONTRIBUTION'!A1" display="FACTOR CONTRIBUTION" xr:uid="{00000000-0004-0000-0000-00001A000000}"/>
    <hyperlink ref="A12:G12" location="'EXPOSURE BY FACTOR BUCKET'!A1" display="EXPOSURE BY FACTOR BUCKET" xr:uid="{00000000-0004-0000-0000-00001B000000}"/>
  </hyperlinks>
  <printOptions horizontalCentered="1"/>
  <pageMargins left="0.25" right="0.25" top="0" bottom="0" header="0.5" footer="0"/>
  <pageSetup scale="72"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G103"/>
  <sheetViews>
    <sheetView zoomScale="70" zoomScaleNormal="70" workbookViewId="0">
      <selection activeCell="B8" sqref="B8:B9"/>
    </sheetView>
  </sheetViews>
  <sheetFormatPr defaultRowHeight="15" x14ac:dyDescent="0.25"/>
  <cols>
    <col min="1" max="1" width="27.85546875" style="185" customWidth="1"/>
    <col min="2" max="2" width="24.140625" style="233" customWidth="1"/>
    <col min="3" max="3" width="12.42578125" style="185" customWidth="1"/>
    <col min="4" max="6" width="14" style="185" customWidth="1"/>
    <col min="7" max="7" width="14" style="230" customWidth="1"/>
    <col min="8" max="13" width="14" style="185" customWidth="1"/>
    <col min="14" max="15" width="9.140625" style="185"/>
    <col min="16" max="16" width="14" style="251" customWidth="1"/>
    <col min="17" max="17" width="3.42578125" style="233" customWidth="1"/>
    <col min="18" max="18" width="14" style="233" customWidth="1"/>
    <col min="19" max="19" width="3.42578125" style="233" customWidth="1"/>
    <col min="20" max="20" width="14" style="233" customWidth="1"/>
    <col min="21" max="21" width="3.42578125" style="233" customWidth="1"/>
    <col min="22" max="22" width="14" style="233" customWidth="1"/>
    <col min="23" max="23" width="3.42578125" style="233" customWidth="1"/>
    <col min="24" max="25" width="14" style="250" customWidth="1"/>
    <col min="26" max="27" width="9.140625" style="185"/>
    <col min="28" max="28" width="14" style="233" customWidth="1"/>
    <col min="29" max="31" width="9.140625" style="185"/>
    <col min="32" max="32" width="23.85546875" style="185" bestFit="1" customWidth="1"/>
    <col min="33" max="33" width="17.85546875" style="185" customWidth="1"/>
    <col min="34" max="16384" width="9.140625" style="185"/>
  </cols>
  <sheetData>
    <row r="1" spans="1:33" ht="35.25" customHeight="1" x14ac:dyDescent="0.25">
      <c r="B1" s="221" t="s">
        <v>7</v>
      </c>
      <c r="D1" s="222"/>
      <c r="E1" s="223"/>
      <c r="F1" s="223"/>
      <c r="G1" s="224"/>
      <c r="H1" s="223"/>
      <c r="I1" s="223"/>
      <c r="J1" s="223"/>
      <c r="K1" s="223"/>
      <c r="L1" s="223"/>
      <c r="M1" s="225"/>
      <c r="P1" s="226" t="s">
        <v>8</v>
      </c>
      <c r="Q1" s="227"/>
      <c r="R1" s="227" t="s">
        <v>9</v>
      </c>
      <c r="S1" s="227"/>
      <c r="T1" s="227" t="s">
        <v>10</v>
      </c>
      <c r="U1" s="227"/>
      <c r="V1" s="227" t="s">
        <v>11</v>
      </c>
      <c r="W1" s="227"/>
      <c r="X1" s="334" t="s">
        <v>12</v>
      </c>
      <c r="Y1" s="334"/>
      <c r="AA1" s="228"/>
      <c r="AB1" s="227" t="s">
        <v>11</v>
      </c>
    </row>
    <row r="2" spans="1:33" ht="15.75" thickBot="1" x14ac:dyDescent="0.3">
      <c r="A2" s="325" t="s">
        <v>210</v>
      </c>
      <c r="B2" s="335">
        <f>INDEX!H26</f>
        <v>1000000</v>
      </c>
      <c r="D2" s="229"/>
      <c r="M2" s="231"/>
      <c r="P2" s="232" t="s">
        <v>13</v>
      </c>
      <c r="R2" s="234"/>
      <c r="S2" s="234"/>
      <c r="T2" s="235" t="s">
        <v>13</v>
      </c>
      <c r="V2" s="235" t="s">
        <v>13</v>
      </c>
      <c r="X2" s="236" t="str">
        <f>UPPER($B$10 &amp; CHAR(10) &amp; TEXT($B$4,"0.00%"))</f>
        <v>VAR AT 95%,
-0.29%</v>
      </c>
      <c r="Y2" s="236" t="str">
        <f>UPPER($B$12 &amp; CHAR(10) &amp; TEXT($B$6,"0.00%"))</f>
        <v>VAR AT 5%,
2.06%</v>
      </c>
      <c r="Z2" s="236" t="str">
        <f>UPPER($B$14 &amp; CHAR(10) &amp; TEXT($B$8,"0.00%"))</f>
        <v>MEAN,
0.94%</v>
      </c>
      <c r="AA2" s="237"/>
      <c r="AB2" s="235"/>
    </row>
    <row r="3" spans="1:33" ht="16.5" thickTop="1" thickBot="1" x14ac:dyDescent="0.3">
      <c r="A3" s="325"/>
      <c r="B3" s="336"/>
      <c r="D3" s="229"/>
      <c r="M3" s="231"/>
      <c r="P3" s="304"/>
      <c r="R3" s="303">
        <v>-3.8627502680157313E-2</v>
      </c>
      <c r="S3" s="234" t="s">
        <v>294</v>
      </c>
      <c r="T3" s="239">
        <v>0</v>
      </c>
      <c r="U3" t="s">
        <v>294</v>
      </c>
      <c r="V3" s="239">
        <f t="shared" ref="V3:V34" si="0">IF(OR(R3&lt;LEFTVARBLUE,R3&gt;rightVARBlue),IF(OR(AND(R4&gt;=LEFTVARBLUE,R3&lt;LEFTVARBLUE),AND(R3&gt;=rightVARBlue,R2&lt;rightVARBlue)),T3,T3),0)</f>
        <v>0</v>
      </c>
      <c r="X3" s="240" t="e">
        <f>IF(AND(R4&gt;=$B$4,R3&lt;$B$4),MAX($T$3:$T$103)*1.1,NA())</f>
        <v>#N/A</v>
      </c>
      <c r="Y3" s="240" t="e">
        <f>IF(AND(R3&gt;=$B$6,R2&lt;$B$6),MAX($T$3:$T$103)*1.1,NA())</f>
        <v>#N/A</v>
      </c>
      <c r="Z3" s="240" t="e">
        <f>IF(AND(R3&gt;=$B$8,R2&lt;$B$8),MAX($T$3:$T$103)*1.1,NA())</f>
        <v>#N/A</v>
      </c>
      <c r="AB3" s="239">
        <f t="shared" ref="AB3:AB34" si="1">IF(R3&lt;LEFTVARBLUE,LEFTVARBLUE,0)</f>
        <v>-2.8728807745321827E-3</v>
      </c>
      <c r="AD3" s="230"/>
      <c r="AF3" s="241"/>
      <c r="AG3" s="241"/>
    </row>
    <row r="4" spans="1:33" ht="16.5" thickTop="1" thickBot="1" x14ac:dyDescent="0.3">
      <c r="A4" s="325" t="s">
        <v>14</v>
      </c>
      <c r="B4" s="331">
        <f>SUMMARY!AD9/100</f>
        <v>-2.8728807745321827E-3</v>
      </c>
      <c r="D4" s="229"/>
      <c r="M4" s="231"/>
      <c r="P4" s="305"/>
      <c r="R4" s="242">
        <v>-3.7691282299964206E-2</v>
      </c>
      <c r="S4" s="243" t="s">
        <v>294</v>
      </c>
      <c r="T4" s="238">
        <v>12</v>
      </c>
      <c r="U4" t="s">
        <v>294</v>
      </c>
      <c r="V4" s="239">
        <f t="shared" si="0"/>
        <v>12</v>
      </c>
      <c r="X4" s="240" t="e">
        <f t="shared" ref="X4:X67" si="2">IF(AND(R5&gt;=$B$4,R4&lt;$B$4),MAX($T$3:$T$103)*1.1,NA())</f>
        <v>#N/A</v>
      </c>
      <c r="Y4" s="240" t="e">
        <f t="shared" ref="Y4:Y67" si="3">IF(AND(R4&gt;=$B$6,R3&lt;$B$6),MAX($T$3:$T$103)*1.1,NA())</f>
        <v>#N/A</v>
      </c>
      <c r="Z4" s="240" t="e">
        <f t="shared" ref="Z4:Z67" si="4">IF(AND(R4&gt;=$B$8,R3&lt;$B$8),MAX($T$3:$T$103)*1.1,NA())</f>
        <v>#N/A</v>
      </c>
      <c r="AB4" s="239">
        <f t="shared" si="1"/>
        <v>-2.8728807745321827E-3</v>
      </c>
      <c r="AD4" s="230"/>
      <c r="AF4" s="244"/>
    </row>
    <row r="5" spans="1:33" ht="16.5" thickTop="1" thickBot="1" x14ac:dyDescent="0.3">
      <c r="A5" s="325"/>
      <c r="B5" s="331"/>
      <c r="D5" s="229"/>
      <c r="M5" s="231"/>
      <c r="P5" s="305"/>
      <c r="R5" s="242">
        <v>-3.6755061919771098E-2</v>
      </c>
      <c r="S5" s="243" t="s">
        <v>294</v>
      </c>
      <c r="T5" s="238">
        <v>6</v>
      </c>
      <c r="U5" t="s">
        <v>294</v>
      </c>
      <c r="V5" s="239">
        <f t="shared" si="0"/>
        <v>6</v>
      </c>
      <c r="X5" s="240" t="e">
        <f t="shared" si="2"/>
        <v>#N/A</v>
      </c>
      <c r="Y5" s="240" t="e">
        <f t="shared" si="3"/>
        <v>#N/A</v>
      </c>
      <c r="Z5" s="240" t="e">
        <f t="shared" si="4"/>
        <v>#N/A</v>
      </c>
      <c r="AB5" s="239">
        <f t="shared" si="1"/>
        <v>-2.8728807745321827E-3</v>
      </c>
      <c r="AF5" s="244"/>
    </row>
    <row r="6" spans="1:33" ht="15" customHeight="1" thickTop="1" thickBot="1" x14ac:dyDescent="0.3">
      <c r="A6" s="325" t="s">
        <v>15</v>
      </c>
      <c r="B6" s="331">
        <f>SUMMARY!AF9/100</f>
        <v>2.0635407881578693E-2</v>
      </c>
      <c r="D6" s="229"/>
      <c r="M6" s="231"/>
      <c r="P6" s="305"/>
      <c r="R6" s="242">
        <v>-3.581884153957799E-2</v>
      </c>
      <c r="S6" s="243" t="s">
        <v>294</v>
      </c>
      <c r="T6" s="238">
        <v>6</v>
      </c>
      <c r="U6" t="s">
        <v>294</v>
      </c>
      <c r="V6" s="239">
        <f t="shared" si="0"/>
        <v>6</v>
      </c>
      <c r="X6" s="240" t="e">
        <f t="shared" si="2"/>
        <v>#N/A</v>
      </c>
      <c r="Y6" s="240" t="e">
        <f t="shared" si="3"/>
        <v>#N/A</v>
      </c>
      <c r="Z6" s="240" t="e">
        <f t="shared" si="4"/>
        <v>#N/A</v>
      </c>
      <c r="AB6" s="239">
        <f t="shared" si="1"/>
        <v>-2.8728807745321827E-3</v>
      </c>
    </row>
    <row r="7" spans="1:33" ht="16.5" thickTop="1" thickBot="1" x14ac:dyDescent="0.3">
      <c r="A7" s="325"/>
      <c r="B7" s="331"/>
      <c r="D7" s="229"/>
      <c r="M7" s="231"/>
      <c r="P7" s="305"/>
      <c r="R7" s="242">
        <v>-3.4882621159384883E-2</v>
      </c>
      <c r="S7" s="243" t="s">
        <v>294</v>
      </c>
      <c r="T7" s="238">
        <v>7</v>
      </c>
      <c r="U7" t="s">
        <v>294</v>
      </c>
      <c r="V7" s="239">
        <f t="shared" si="0"/>
        <v>7</v>
      </c>
      <c r="X7" s="240" t="e">
        <f t="shared" si="2"/>
        <v>#N/A</v>
      </c>
      <c r="Y7" s="240" t="e">
        <f t="shared" si="3"/>
        <v>#N/A</v>
      </c>
      <c r="Z7" s="240" t="e">
        <f t="shared" si="4"/>
        <v>#N/A</v>
      </c>
      <c r="AB7" s="239">
        <f t="shared" si="1"/>
        <v>-2.8728807745321827E-3</v>
      </c>
    </row>
    <row r="8" spans="1:33" ht="16.5" thickTop="1" thickBot="1" x14ac:dyDescent="0.3">
      <c r="A8" s="325" t="s">
        <v>211</v>
      </c>
      <c r="B8" s="330">
        <f>SUMMARY!W9/100</f>
        <v>9.3764939773241535E-3</v>
      </c>
      <c r="D8" s="229"/>
      <c r="M8" s="231"/>
      <c r="P8" s="305"/>
      <c r="R8" s="242">
        <v>-3.3946400779191775E-2</v>
      </c>
      <c r="S8" s="243" t="s">
        <v>294</v>
      </c>
      <c r="T8" s="238">
        <v>10</v>
      </c>
      <c r="U8" t="s">
        <v>294</v>
      </c>
      <c r="V8" s="239">
        <f t="shared" si="0"/>
        <v>10</v>
      </c>
      <c r="X8" s="240" t="e">
        <f t="shared" si="2"/>
        <v>#N/A</v>
      </c>
      <c r="Y8" s="240" t="e">
        <f t="shared" si="3"/>
        <v>#N/A</v>
      </c>
      <c r="Z8" s="240" t="e">
        <f t="shared" si="4"/>
        <v>#N/A</v>
      </c>
      <c r="AB8" s="239">
        <f t="shared" si="1"/>
        <v>-2.8728807745321827E-3</v>
      </c>
    </row>
    <row r="9" spans="1:33" ht="16.5" thickTop="1" thickBot="1" x14ac:dyDescent="0.3">
      <c r="A9" s="325"/>
      <c r="B9" s="331"/>
      <c r="D9" s="229"/>
      <c r="M9" s="231"/>
      <c r="P9" s="305"/>
      <c r="R9" s="242">
        <v>-3.3010180398998668E-2</v>
      </c>
      <c r="S9" s="243" t="s">
        <v>294</v>
      </c>
      <c r="T9" s="238">
        <v>16</v>
      </c>
      <c r="U9" t="s">
        <v>294</v>
      </c>
      <c r="V9" s="239">
        <f t="shared" si="0"/>
        <v>16</v>
      </c>
      <c r="X9" s="240" t="e">
        <f t="shared" si="2"/>
        <v>#N/A</v>
      </c>
      <c r="Y9" s="240" t="e">
        <f t="shared" si="3"/>
        <v>#N/A</v>
      </c>
      <c r="Z9" s="240" t="e">
        <f t="shared" si="4"/>
        <v>#N/A</v>
      </c>
      <c r="AB9" s="239">
        <f t="shared" si="1"/>
        <v>-2.8728807745321827E-3</v>
      </c>
      <c r="AE9" s="230"/>
    </row>
    <row r="10" spans="1:33" ht="15" customHeight="1" thickTop="1" thickBot="1" x14ac:dyDescent="0.3">
      <c r="A10" s="325" t="s">
        <v>16</v>
      </c>
      <c r="B10" s="326" t="s">
        <v>212</v>
      </c>
      <c r="D10" s="229"/>
      <c r="M10" s="231"/>
      <c r="P10" s="305"/>
      <c r="R10" s="242">
        <v>-3.207396001880556E-2</v>
      </c>
      <c r="S10" s="243" t="s">
        <v>294</v>
      </c>
      <c r="T10" s="238">
        <v>15</v>
      </c>
      <c r="U10" t="s">
        <v>294</v>
      </c>
      <c r="V10" s="239">
        <f t="shared" si="0"/>
        <v>15</v>
      </c>
      <c r="X10" s="240" t="e">
        <f t="shared" si="2"/>
        <v>#N/A</v>
      </c>
      <c r="Y10" s="240" t="e">
        <f t="shared" si="3"/>
        <v>#N/A</v>
      </c>
      <c r="Z10" s="240" t="e">
        <f t="shared" si="4"/>
        <v>#N/A</v>
      </c>
      <c r="AB10" s="239">
        <f t="shared" si="1"/>
        <v>-2.8728807745321827E-3</v>
      </c>
    </row>
    <row r="11" spans="1:33" ht="16.5" thickTop="1" thickBot="1" x14ac:dyDescent="0.3">
      <c r="A11" s="325"/>
      <c r="B11" s="326"/>
      <c r="C11" s="228"/>
      <c r="D11" s="332"/>
      <c r="E11" s="333"/>
      <c r="M11" s="231"/>
      <c r="P11" s="305"/>
      <c r="R11" s="242">
        <v>-3.1137739638612456E-2</v>
      </c>
      <c r="S11" s="243" t="s">
        <v>294</v>
      </c>
      <c r="T11" s="238">
        <v>17</v>
      </c>
      <c r="U11" t="s">
        <v>294</v>
      </c>
      <c r="V11" s="239">
        <f t="shared" si="0"/>
        <v>17</v>
      </c>
      <c r="X11" s="240" t="e">
        <f t="shared" si="2"/>
        <v>#N/A</v>
      </c>
      <c r="Y11" s="240" t="e">
        <f t="shared" si="3"/>
        <v>#N/A</v>
      </c>
      <c r="Z11" s="240" t="e">
        <f t="shared" si="4"/>
        <v>#N/A</v>
      </c>
      <c r="AB11" s="239">
        <f t="shared" si="1"/>
        <v>-2.8728807745321827E-3</v>
      </c>
    </row>
    <row r="12" spans="1:33" ht="16.5" thickTop="1" thickBot="1" x14ac:dyDescent="0.3">
      <c r="A12" s="325" t="s">
        <v>17</v>
      </c>
      <c r="B12" s="326" t="s">
        <v>213</v>
      </c>
      <c r="D12" s="229"/>
      <c r="G12" s="185"/>
      <c r="M12" s="231"/>
      <c r="P12" s="305"/>
      <c r="R12" s="242">
        <v>-3.0201519258419351E-2</v>
      </c>
      <c r="S12" s="243" t="s">
        <v>294</v>
      </c>
      <c r="T12" s="238">
        <v>20</v>
      </c>
      <c r="U12" t="s">
        <v>294</v>
      </c>
      <c r="V12" s="239">
        <f t="shared" si="0"/>
        <v>20</v>
      </c>
      <c r="X12" s="240" t="e">
        <f t="shared" si="2"/>
        <v>#N/A</v>
      </c>
      <c r="Y12" s="240" t="e">
        <f t="shared" si="3"/>
        <v>#N/A</v>
      </c>
      <c r="Z12" s="240" t="e">
        <f t="shared" si="4"/>
        <v>#N/A</v>
      </c>
      <c r="AB12" s="239">
        <f t="shared" si="1"/>
        <v>-2.8728807745321827E-3</v>
      </c>
    </row>
    <row r="13" spans="1:33" ht="16.5" thickTop="1" thickBot="1" x14ac:dyDescent="0.3">
      <c r="A13" s="325"/>
      <c r="B13" s="326"/>
      <c r="D13" s="229"/>
      <c r="G13" s="185"/>
      <c r="M13" s="231"/>
      <c r="P13" s="305"/>
      <c r="R13" s="242">
        <v>-2.9265298878226247E-2</v>
      </c>
      <c r="S13" s="243" t="s">
        <v>294</v>
      </c>
      <c r="T13" s="238">
        <v>25</v>
      </c>
      <c r="U13" t="s">
        <v>294</v>
      </c>
      <c r="V13" s="239">
        <f t="shared" si="0"/>
        <v>25</v>
      </c>
      <c r="X13" s="240" t="e">
        <f t="shared" si="2"/>
        <v>#N/A</v>
      </c>
      <c r="Y13" s="240" t="e">
        <f t="shared" si="3"/>
        <v>#N/A</v>
      </c>
      <c r="Z13" s="240" t="e">
        <f t="shared" si="4"/>
        <v>#N/A</v>
      </c>
      <c r="AB13" s="239">
        <f t="shared" si="1"/>
        <v>-2.8728807745321827E-3</v>
      </c>
    </row>
    <row r="14" spans="1:33" ht="16.5" thickTop="1" thickBot="1" x14ac:dyDescent="0.3">
      <c r="A14" s="325" t="s">
        <v>17</v>
      </c>
      <c r="B14" s="326" t="s">
        <v>214</v>
      </c>
      <c r="D14" s="229"/>
      <c r="G14" s="185"/>
      <c r="M14" s="231"/>
      <c r="P14" s="305"/>
      <c r="R14" s="242">
        <v>-2.8329078498033143E-2</v>
      </c>
      <c r="S14" s="243" t="s">
        <v>294</v>
      </c>
      <c r="T14" s="238">
        <v>21</v>
      </c>
      <c r="U14" t="s">
        <v>294</v>
      </c>
      <c r="V14" s="239">
        <f t="shared" si="0"/>
        <v>21</v>
      </c>
      <c r="X14" s="240" t="e">
        <f t="shared" si="2"/>
        <v>#N/A</v>
      </c>
      <c r="Y14" s="240" t="e">
        <f t="shared" si="3"/>
        <v>#N/A</v>
      </c>
      <c r="Z14" s="240" t="e">
        <f t="shared" si="4"/>
        <v>#N/A</v>
      </c>
      <c r="AB14" s="239">
        <f t="shared" si="1"/>
        <v>-2.8728807745321827E-3</v>
      </c>
    </row>
    <row r="15" spans="1:33" ht="16.5" thickTop="1" thickBot="1" x14ac:dyDescent="0.3">
      <c r="A15" s="325"/>
      <c r="B15" s="326"/>
      <c r="D15" s="229"/>
      <c r="G15" s="185"/>
      <c r="M15" s="231"/>
      <c r="P15" s="305"/>
      <c r="R15" s="242">
        <v>-2.7392858117840039E-2</v>
      </c>
      <c r="S15" s="243" t="s">
        <v>294</v>
      </c>
      <c r="T15" s="238">
        <v>18</v>
      </c>
      <c r="U15" t="s">
        <v>294</v>
      </c>
      <c r="V15" s="239">
        <f t="shared" si="0"/>
        <v>18</v>
      </c>
      <c r="X15" s="240" t="e">
        <f t="shared" si="2"/>
        <v>#N/A</v>
      </c>
      <c r="Y15" s="240" t="e">
        <f t="shared" si="3"/>
        <v>#N/A</v>
      </c>
      <c r="Z15" s="240" t="e">
        <f t="shared" si="4"/>
        <v>#N/A</v>
      </c>
      <c r="AB15" s="239">
        <f t="shared" si="1"/>
        <v>-2.8728807745321827E-3</v>
      </c>
    </row>
    <row r="16" spans="1:33" ht="16.5" thickTop="1" thickBot="1" x14ac:dyDescent="0.3">
      <c r="A16" s="245"/>
      <c r="B16" s="246"/>
      <c r="D16" s="229"/>
      <c r="G16" s="185"/>
      <c r="M16" s="231"/>
      <c r="P16" s="305"/>
      <c r="R16" s="242">
        <v>-2.6456637737646935E-2</v>
      </c>
      <c r="S16" s="243" t="s">
        <v>294</v>
      </c>
      <c r="T16" s="238">
        <v>22</v>
      </c>
      <c r="U16" t="s">
        <v>294</v>
      </c>
      <c r="V16" s="239">
        <f t="shared" si="0"/>
        <v>22</v>
      </c>
      <c r="X16" s="240" t="e">
        <f t="shared" si="2"/>
        <v>#N/A</v>
      </c>
      <c r="Y16" s="240" t="e">
        <f t="shared" si="3"/>
        <v>#N/A</v>
      </c>
      <c r="Z16" s="240" t="e">
        <f t="shared" si="4"/>
        <v>#N/A</v>
      </c>
      <c r="AB16" s="239">
        <f t="shared" si="1"/>
        <v>-2.8728807745321827E-3</v>
      </c>
    </row>
    <row r="17" spans="1:28" ht="16.5" thickTop="1" thickBot="1" x14ac:dyDescent="0.3">
      <c r="A17" s="327" t="s">
        <v>215</v>
      </c>
      <c r="B17" s="328"/>
      <c r="D17" s="229"/>
      <c r="G17" s="185"/>
      <c r="M17" s="231"/>
      <c r="P17" s="305"/>
      <c r="R17" s="242">
        <v>-2.5520417357453831E-2</v>
      </c>
      <c r="S17" s="243" t="s">
        <v>294</v>
      </c>
      <c r="T17" s="238">
        <v>28</v>
      </c>
      <c r="U17" t="s">
        <v>294</v>
      </c>
      <c r="V17" s="239">
        <f t="shared" si="0"/>
        <v>28</v>
      </c>
      <c r="X17" s="240" t="e">
        <f t="shared" si="2"/>
        <v>#N/A</v>
      </c>
      <c r="Y17" s="240" t="e">
        <f t="shared" si="3"/>
        <v>#N/A</v>
      </c>
      <c r="Z17" s="240" t="e">
        <f t="shared" si="4"/>
        <v>#N/A</v>
      </c>
      <c r="AB17" s="239">
        <f t="shared" si="1"/>
        <v>-2.8728807745321827E-3</v>
      </c>
    </row>
    <row r="18" spans="1:28" ht="15.75" thickTop="1" x14ac:dyDescent="0.25">
      <c r="A18" s="327"/>
      <c r="B18" s="329"/>
      <c r="D18" s="229"/>
      <c r="G18" s="185"/>
      <c r="M18" s="231"/>
      <c r="P18" s="305"/>
      <c r="R18" s="242">
        <v>-2.4584196977260726E-2</v>
      </c>
      <c r="S18" s="243" t="s">
        <v>294</v>
      </c>
      <c r="T18" s="238">
        <v>31</v>
      </c>
      <c r="U18" t="s">
        <v>294</v>
      </c>
      <c r="V18" s="239">
        <f t="shared" si="0"/>
        <v>31</v>
      </c>
      <c r="X18" s="240" t="e">
        <f t="shared" si="2"/>
        <v>#N/A</v>
      </c>
      <c r="Y18" s="240" t="e">
        <f t="shared" si="3"/>
        <v>#N/A</v>
      </c>
      <c r="Z18" s="240" t="e">
        <f t="shared" si="4"/>
        <v>#N/A</v>
      </c>
      <c r="AB18" s="239">
        <f t="shared" si="1"/>
        <v>-2.8728807745321827E-3</v>
      </c>
    </row>
    <row r="19" spans="1:28" x14ac:dyDescent="0.25">
      <c r="A19" s="306"/>
      <c r="B19" s="307"/>
      <c r="D19" s="229"/>
      <c r="G19" s="185"/>
      <c r="M19" s="231"/>
      <c r="P19" s="305"/>
      <c r="R19" s="242">
        <v>-2.3647976597067622E-2</v>
      </c>
      <c r="S19" s="243" t="s">
        <v>294</v>
      </c>
      <c r="T19" s="238">
        <v>22</v>
      </c>
      <c r="U19" t="s">
        <v>294</v>
      </c>
      <c r="V19" s="239">
        <f t="shared" si="0"/>
        <v>22</v>
      </c>
      <c r="X19" s="240" t="e">
        <f t="shared" si="2"/>
        <v>#N/A</v>
      </c>
      <c r="Y19" s="240" t="e">
        <f t="shared" si="3"/>
        <v>#N/A</v>
      </c>
      <c r="Z19" s="240" t="e">
        <f t="shared" si="4"/>
        <v>#N/A</v>
      </c>
      <c r="AB19" s="239">
        <f t="shared" si="1"/>
        <v>-2.8728807745321827E-3</v>
      </c>
    </row>
    <row r="20" spans="1:28" x14ac:dyDescent="0.25">
      <c r="A20" s="306"/>
      <c r="B20" s="307"/>
      <c r="D20" s="229"/>
      <c r="G20" s="185"/>
      <c r="M20" s="231"/>
      <c r="P20" s="305"/>
      <c r="R20" s="242">
        <v>-2.2711756216874518E-2</v>
      </c>
      <c r="S20" s="243" t="s">
        <v>294</v>
      </c>
      <c r="T20" s="238">
        <v>44</v>
      </c>
      <c r="U20" t="s">
        <v>294</v>
      </c>
      <c r="V20" s="239">
        <f t="shared" si="0"/>
        <v>44</v>
      </c>
      <c r="X20" s="240" t="e">
        <f t="shared" si="2"/>
        <v>#N/A</v>
      </c>
      <c r="Y20" s="240" t="e">
        <f t="shared" si="3"/>
        <v>#N/A</v>
      </c>
      <c r="Z20" s="240" t="e">
        <f t="shared" si="4"/>
        <v>#N/A</v>
      </c>
      <c r="AB20" s="239">
        <f t="shared" si="1"/>
        <v>-2.8728807745321827E-3</v>
      </c>
    </row>
    <row r="21" spans="1:28" x14ac:dyDescent="0.25">
      <c r="A21" s="306"/>
      <c r="B21" s="307"/>
      <c r="D21" s="229"/>
      <c r="G21" s="185"/>
      <c r="M21" s="231"/>
      <c r="P21" s="305"/>
      <c r="R21" s="242">
        <v>-2.1775535836681414E-2</v>
      </c>
      <c r="S21" s="243" t="s">
        <v>294</v>
      </c>
      <c r="T21" s="238">
        <v>45</v>
      </c>
      <c r="U21" t="s">
        <v>294</v>
      </c>
      <c r="V21" s="239">
        <f t="shared" si="0"/>
        <v>45</v>
      </c>
      <c r="X21" s="240" t="e">
        <f t="shared" si="2"/>
        <v>#N/A</v>
      </c>
      <c r="Y21" s="240" t="e">
        <f t="shared" si="3"/>
        <v>#N/A</v>
      </c>
      <c r="Z21" s="240" t="e">
        <f t="shared" si="4"/>
        <v>#N/A</v>
      </c>
      <c r="AB21" s="239">
        <f t="shared" si="1"/>
        <v>-2.8728807745321827E-3</v>
      </c>
    </row>
    <row r="22" spans="1:28" x14ac:dyDescent="0.25">
      <c r="A22" s="306"/>
      <c r="B22" s="307"/>
      <c r="D22" s="229"/>
      <c r="G22" s="185"/>
      <c r="M22" s="231"/>
      <c r="P22" s="305"/>
      <c r="R22" s="242">
        <v>-2.083931545648831E-2</v>
      </c>
      <c r="S22" s="243" t="s">
        <v>294</v>
      </c>
      <c r="T22" s="238">
        <v>45</v>
      </c>
      <c r="U22" t="s">
        <v>294</v>
      </c>
      <c r="V22" s="239">
        <f t="shared" si="0"/>
        <v>45</v>
      </c>
      <c r="X22" s="240" t="e">
        <f t="shared" si="2"/>
        <v>#N/A</v>
      </c>
      <c r="Y22" s="240" t="e">
        <f t="shared" si="3"/>
        <v>#N/A</v>
      </c>
      <c r="Z22" s="240" t="e">
        <f t="shared" si="4"/>
        <v>#N/A</v>
      </c>
      <c r="AB22" s="239">
        <f t="shared" si="1"/>
        <v>-2.8728807745321827E-3</v>
      </c>
    </row>
    <row r="23" spans="1:28" x14ac:dyDescent="0.25">
      <c r="A23" s="306"/>
      <c r="B23" s="307"/>
      <c r="D23" s="229"/>
      <c r="G23" s="185"/>
      <c r="M23" s="231"/>
      <c r="P23" s="305"/>
      <c r="R23" s="242">
        <v>-1.9903095076295205E-2</v>
      </c>
      <c r="S23" s="243" t="s">
        <v>294</v>
      </c>
      <c r="T23" s="238">
        <v>60</v>
      </c>
      <c r="U23" t="s">
        <v>294</v>
      </c>
      <c r="V23" s="239">
        <f t="shared" si="0"/>
        <v>60</v>
      </c>
      <c r="X23" s="240" t="e">
        <f t="shared" si="2"/>
        <v>#N/A</v>
      </c>
      <c r="Y23" s="240" t="e">
        <f t="shared" si="3"/>
        <v>#N/A</v>
      </c>
      <c r="Z23" s="240" t="e">
        <f t="shared" si="4"/>
        <v>#N/A</v>
      </c>
      <c r="AB23" s="239">
        <f t="shared" si="1"/>
        <v>-2.8728807745321827E-3</v>
      </c>
    </row>
    <row r="24" spans="1:28" x14ac:dyDescent="0.25">
      <c r="A24" s="306"/>
      <c r="B24" s="307"/>
      <c r="D24" s="229"/>
      <c r="G24" s="185"/>
      <c r="M24" s="231"/>
      <c r="P24" s="305"/>
      <c r="R24" s="242">
        <v>-1.8966874696102101E-2</v>
      </c>
      <c r="S24" s="243" t="s">
        <v>294</v>
      </c>
      <c r="T24" s="238">
        <v>62</v>
      </c>
      <c r="U24" t="s">
        <v>294</v>
      </c>
      <c r="V24" s="239">
        <f t="shared" si="0"/>
        <v>62</v>
      </c>
      <c r="X24" s="240" t="e">
        <f t="shared" si="2"/>
        <v>#N/A</v>
      </c>
      <c r="Y24" s="240" t="e">
        <f t="shared" si="3"/>
        <v>#N/A</v>
      </c>
      <c r="Z24" s="240" t="e">
        <f t="shared" si="4"/>
        <v>#N/A</v>
      </c>
      <c r="AB24" s="239">
        <f t="shared" si="1"/>
        <v>-2.8728807745321827E-3</v>
      </c>
    </row>
    <row r="25" spans="1:28" x14ac:dyDescent="0.25">
      <c r="A25" s="306"/>
      <c r="B25" s="307"/>
      <c r="D25" s="229"/>
      <c r="G25" s="185"/>
      <c r="M25" s="231"/>
      <c r="P25" s="305"/>
      <c r="R25" s="242">
        <v>-1.8030654315908997E-2</v>
      </c>
      <c r="S25" s="243" t="s">
        <v>294</v>
      </c>
      <c r="T25" s="238">
        <v>70</v>
      </c>
      <c r="U25" t="s">
        <v>294</v>
      </c>
      <c r="V25" s="239">
        <f t="shared" si="0"/>
        <v>70</v>
      </c>
      <c r="X25" s="240" t="e">
        <f t="shared" si="2"/>
        <v>#N/A</v>
      </c>
      <c r="Y25" s="240" t="e">
        <f t="shared" si="3"/>
        <v>#N/A</v>
      </c>
      <c r="Z25" s="240" t="e">
        <f t="shared" si="4"/>
        <v>#N/A</v>
      </c>
      <c r="AB25" s="239">
        <f t="shared" si="1"/>
        <v>-2.8728807745321827E-3</v>
      </c>
    </row>
    <row r="26" spans="1:28" x14ac:dyDescent="0.25">
      <c r="A26" s="306"/>
      <c r="B26" s="307"/>
      <c r="D26" s="229"/>
      <c r="G26" s="185"/>
      <c r="M26" s="231"/>
      <c r="P26" s="305"/>
      <c r="R26" s="242">
        <v>-1.7094433935715893E-2</v>
      </c>
      <c r="S26" s="243" t="s">
        <v>294</v>
      </c>
      <c r="T26" s="238">
        <v>67</v>
      </c>
      <c r="U26" t="s">
        <v>294</v>
      </c>
      <c r="V26" s="239">
        <f t="shared" si="0"/>
        <v>67</v>
      </c>
      <c r="X26" s="240" t="e">
        <f t="shared" si="2"/>
        <v>#N/A</v>
      </c>
      <c r="Y26" s="240" t="e">
        <f t="shared" si="3"/>
        <v>#N/A</v>
      </c>
      <c r="Z26" s="240" t="e">
        <f t="shared" si="4"/>
        <v>#N/A</v>
      </c>
      <c r="AB26" s="239">
        <f t="shared" si="1"/>
        <v>-2.8728807745321827E-3</v>
      </c>
    </row>
    <row r="27" spans="1:28" x14ac:dyDescent="0.25">
      <c r="A27" s="306"/>
      <c r="B27" s="307"/>
      <c r="D27" s="229"/>
      <c r="G27" s="185"/>
      <c r="M27" s="231"/>
      <c r="P27" s="305"/>
      <c r="R27" s="242">
        <v>-1.6158213555522789E-2</v>
      </c>
      <c r="S27" s="243" t="s">
        <v>294</v>
      </c>
      <c r="T27" s="238">
        <v>103</v>
      </c>
      <c r="U27" t="s">
        <v>294</v>
      </c>
      <c r="V27" s="239">
        <f t="shared" si="0"/>
        <v>103</v>
      </c>
      <c r="X27" s="240" t="e">
        <f t="shared" si="2"/>
        <v>#N/A</v>
      </c>
      <c r="Y27" s="240" t="e">
        <f t="shared" si="3"/>
        <v>#N/A</v>
      </c>
      <c r="Z27" s="240" t="e">
        <f t="shared" si="4"/>
        <v>#N/A</v>
      </c>
      <c r="AB27" s="239">
        <f t="shared" si="1"/>
        <v>-2.8728807745321827E-3</v>
      </c>
    </row>
    <row r="28" spans="1:28" x14ac:dyDescent="0.25">
      <c r="A28" s="306"/>
      <c r="B28" s="307"/>
      <c r="D28" s="229"/>
      <c r="G28" s="185"/>
      <c r="M28" s="231"/>
      <c r="P28" s="305"/>
      <c r="R28" s="242">
        <v>-1.5221993175329684E-2</v>
      </c>
      <c r="S28" s="243" t="s">
        <v>294</v>
      </c>
      <c r="T28" s="238">
        <v>96</v>
      </c>
      <c r="U28" t="s">
        <v>294</v>
      </c>
      <c r="V28" s="239">
        <f t="shared" si="0"/>
        <v>96</v>
      </c>
      <c r="X28" s="240" t="e">
        <f t="shared" si="2"/>
        <v>#N/A</v>
      </c>
      <c r="Y28" s="240" t="e">
        <f t="shared" si="3"/>
        <v>#N/A</v>
      </c>
      <c r="Z28" s="240" t="e">
        <f t="shared" si="4"/>
        <v>#N/A</v>
      </c>
      <c r="AB28" s="239">
        <f t="shared" si="1"/>
        <v>-2.8728807745321827E-3</v>
      </c>
    </row>
    <row r="29" spans="1:28" x14ac:dyDescent="0.25">
      <c r="A29" s="306"/>
      <c r="B29" s="307"/>
      <c r="D29" s="229"/>
      <c r="G29" s="185"/>
      <c r="M29" s="231"/>
      <c r="P29" s="305"/>
      <c r="R29" s="242">
        <v>-1.428577279513658E-2</v>
      </c>
      <c r="S29" s="243" t="s">
        <v>294</v>
      </c>
      <c r="T29" s="238">
        <v>141</v>
      </c>
      <c r="U29" t="s">
        <v>294</v>
      </c>
      <c r="V29" s="239">
        <f t="shared" si="0"/>
        <v>141</v>
      </c>
      <c r="X29" s="240" t="e">
        <f t="shared" si="2"/>
        <v>#N/A</v>
      </c>
      <c r="Y29" s="240" t="e">
        <f t="shared" si="3"/>
        <v>#N/A</v>
      </c>
      <c r="Z29" s="240" t="e">
        <f t="shared" si="4"/>
        <v>#N/A</v>
      </c>
      <c r="AB29" s="239">
        <f t="shared" si="1"/>
        <v>-2.8728807745321827E-3</v>
      </c>
    </row>
    <row r="30" spans="1:28" x14ac:dyDescent="0.25">
      <c r="A30" s="306"/>
      <c r="B30" s="307"/>
      <c r="D30" s="229"/>
      <c r="G30" s="185"/>
      <c r="M30" s="231"/>
      <c r="P30" s="305"/>
      <c r="R30" s="242">
        <v>-1.3349552414943476E-2</v>
      </c>
      <c r="S30" s="243" t="s">
        <v>294</v>
      </c>
      <c r="T30" s="238">
        <v>161</v>
      </c>
      <c r="U30" t="s">
        <v>294</v>
      </c>
      <c r="V30" s="239">
        <f t="shared" si="0"/>
        <v>161</v>
      </c>
      <c r="X30" s="240" t="e">
        <f t="shared" si="2"/>
        <v>#N/A</v>
      </c>
      <c r="Y30" s="240" t="e">
        <f t="shared" si="3"/>
        <v>#N/A</v>
      </c>
      <c r="Z30" s="240" t="e">
        <f t="shared" si="4"/>
        <v>#N/A</v>
      </c>
      <c r="AB30" s="239">
        <f t="shared" si="1"/>
        <v>-2.8728807745321827E-3</v>
      </c>
    </row>
    <row r="31" spans="1:28" x14ac:dyDescent="0.25">
      <c r="A31" s="306"/>
      <c r="B31" s="307"/>
      <c r="D31" s="229"/>
      <c r="G31" s="185"/>
      <c r="M31" s="231"/>
      <c r="P31" s="305"/>
      <c r="R31" s="242">
        <v>-1.2413332034750372E-2</v>
      </c>
      <c r="S31" s="243" t="s">
        <v>294</v>
      </c>
      <c r="T31" s="238">
        <v>185</v>
      </c>
      <c r="U31" t="s">
        <v>294</v>
      </c>
      <c r="V31" s="239">
        <f t="shared" si="0"/>
        <v>185</v>
      </c>
      <c r="X31" s="240" t="e">
        <f t="shared" si="2"/>
        <v>#N/A</v>
      </c>
      <c r="Y31" s="240" t="e">
        <f t="shared" si="3"/>
        <v>#N/A</v>
      </c>
      <c r="Z31" s="240" t="e">
        <f t="shared" si="4"/>
        <v>#N/A</v>
      </c>
      <c r="AB31" s="239">
        <f t="shared" si="1"/>
        <v>-2.8728807745321827E-3</v>
      </c>
    </row>
    <row r="32" spans="1:28" x14ac:dyDescent="0.25">
      <c r="A32" s="306"/>
      <c r="B32" s="307"/>
      <c r="D32" s="229"/>
      <c r="G32" s="185"/>
      <c r="M32" s="231"/>
      <c r="P32" s="305"/>
      <c r="R32" s="242">
        <v>-1.1477111654557268E-2</v>
      </c>
      <c r="S32" s="243" t="s">
        <v>294</v>
      </c>
      <c r="T32" s="238">
        <v>199</v>
      </c>
      <c r="U32" t="s">
        <v>294</v>
      </c>
      <c r="V32" s="239">
        <f t="shared" si="0"/>
        <v>199</v>
      </c>
      <c r="X32" s="240" t="e">
        <f t="shared" si="2"/>
        <v>#N/A</v>
      </c>
      <c r="Y32" s="240" t="e">
        <f t="shared" si="3"/>
        <v>#N/A</v>
      </c>
      <c r="Z32" s="240" t="e">
        <f t="shared" si="4"/>
        <v>#N/A</v>
      </c>
      <c r="AB32" s="239">
        <f t="shared" si="1"/>
        <v>-2.8728807745321827E-3</v>
      </c>
    </row>
    <row r="33" spans="1:28" x14ac:dyDescent="0.25">
      <c r="A33" s="306"/>
      <c r="B33" s="307"/>
      <c r="D33" s="229"/>
      <c r="G33" s="185"/>
      <c r="M33" s="231"/>
      <c r="P33" s="305"/>
      <c r="R33" s="242">
        <v>-1.0540891274364163E-2</v>
      </c>
      <c r="S33" s="243" t="s">
        <v>294</v>
      </c>
      <c r="T33" s="238">
        <v>273</v>
      </c>
      <c r="U33" t="s">
        <v>294</v>
      </c>
      <c r="V33" s="239">
        <f t="shared" si="0"/>
        <v>273</v>
      </c>
      <c r="X33" s="240" t="e">
        <f t="shared" si="2"/>
        <v>#N/A</v>
      </c>
      <c r="Y33" s="240" t="e">
        <f t="shared" si="3"/>
        <v>#N/A</v>
      </c>
      <c r="Z33" s="240" t="e">
        <f t="shared" si="4"/>
        <v>#N/A</v>
      </c>
      <c r="AB33" s="239">
        <f t="shared" si="1"/>
        <v>-2.8728807745321827E-3</v>
      </c>
    </row>
    <row r="34" spans="1:28" x14ac:dyDescent="0.25">
      <c r="A34" s="306"/>
      <c r="B34" s="307"/>
      <c r="D34" s="247"/>
      <c r="E34" s="248"/>
      <c r="F34" s="248"/>
      <c r="G34" s="248"/>
      <c r="H34" s="248"/>
      <c r="I34" s="248"/>
      <c r="J34" s="248"/>
      <c r="K34" s="248"/>
      <c r="L34" s="248"/>
      <c r="M34" s="249"/>
      <c r="P34" s="305"/>
      <c r="R34" s="242">
        <v>-9.6046708941710593E-3</v>
      </c>
      <c r="S34" s="243" t="s">
        <v>294</v>
      </c>
      <c r="T34" s="238">
        <v>325</v>
      </c>
      <c r="U34" t="s">
        <v>294</v>
      </c>
      <c r="V34" s="239">
        <f t="shared" si="0"/>
        <v>325</v>
      </c>
      <c r="X34" s="240" t="e">
        <f t="shared" si="2"/>
        <v>#N/A</v>
      </c>
      <c r="Y34" s="240" t="e">
        <f t="shared" si="3"/>
        <v>#N/A</v>
      </c>
      <c r="Z34" s="240" t="e">
        <f t="shared" si="4"/>
        <v>#N/A</v>
      </c>
      <c r="AB34" s="239">
        <f t="shared" si="1"/>
        <v>-2.8728807745321827E-3</v>
      </c>
    </row>
    <row r="35" spans="1:28" x14ac:dyDescent="0.25">
      <c r="A35" s="306"/>
      <c r="B35" s="307"/>
      <c r="G35" s="185"/>
      <c r="P35" s="305"/>
      <c r="R35" s="242">
        <v>-8.6684505139779551E-3</v>
      </c>
      <c r="S35" s="243" t="s">
        <v>294</v>
      </c>
      <c r="T35" s="238">
        <v>404</v>
      </c>
      <c r="U35" t="s">
        <v>294</v>
      </c>
      <c r="V35" s="239">
        <f t="shared" ref="V35:V66" si="5">IF(OR(R35&lt;LEFTVARBLUE,R35&gt;rightVARBlue),IF(OR(AND(R36&gt;=LEFTVARBLUE,R35&lt;LEFTVARBLUE),AND(R35&gt;=rightVARBlue,R34&lt;rightVARBlue)),T35,T35),0)</f>
        <v>404</v>
      </c>
      <c r="X35" s="240" t="e">
        <f t="shared" si="2"/>
        <v>#N/A</v>
      </c>
      <c r="Y35" s="240" t="e">
        <f t="shared" si="3"/>
        <v>#N/A</v>
      </c>
      <c r="Z35" s="240" t="e">
        <f t="shared" si="4"/>
        <v>#N/A</v>
      </c>
      <c r="AB35" s="239">
        <f t="shared" ref="AB35:AB66" si="6">IF(R35&lt;LEFTVARBLUE,LEFTVARBLUE,0)</f>
        <v>-2.8728807745321827E-3</v>
      </c>
    </row>
    <row r="36" spans="1:28" x14ac:dyDescent="0.25">
      <c r="A36" s="306"/>
      <c r="B36" s="307"/>
      <c r="G36" s="185"/>
      <c r="P36" s="305"/>
      <c r="R36" s="242">
        <v>-7.7322301337848509E-3</v>
      </c>
      <c r="S36" s="243" t="s">
        <v>294</v>
      </c>
      <c r="T36" s="238">
        <v>433</v>
      </c>
      <c r="U36" t="s">
        <v>294</v>
      </c>
      <c r="V36" s="239">
        <f t="shared" si="5"/>
        <v>433</v>
      </c>
      <c r="X36" s="240" t="e">
        <f t="shared" si="2"/>
        <v>#N/A</v>
      </c>
      <c r="Y36" s="240" t="e">
        <f t="shared" si="3"/>
        <v>#N/A</v>
      </c>
      <c r="Z36" s="240" t="e">
        <f t="shared" si="4"/>
        <v>#N/A</v>
      </c>
      <c r="AB36" s="239">
        <f t="shared" si="6"/>
        <v>-2.8728807745321827E-3</v>
      </c>
    </row>
    <row r="37" spans="1:28" x14ac:dyDescent="0.25">
      <c r="A37" s="306"/>
      <c r="B37" s="307"/>
      <c r="G37" s="185"/>
      <c r="P37" s="305"/>
      <c r="R37" s="242">
        <v>-6.7960097535917467E-3</v>
      </c>
      <c r="S37" s="243" t="s">
        <v>294</v>
      </c>
      <c r="T37" s="238">
        <v>505</v>
      </c>
      <c r="U37" t="s">
        <v>294</v>
      </c>
      <c r="V37" s="239">
        <f t="shared" si="5"/>
        <v>505</v>
      </c>
      <c r="X37" s="240" t="e">
        <f t="shared" si="2"/>
        <v>#N/A</v>
      </c>
      <c r="Y37" s="240" t="e">
        <f t="shared" si="3"/>
        <v>#N/A</v>
      </c>
      <c r="Z37" s="240" t="e">
        <f t="shared" si="4"/>
        <v>#N/A</v>
      </c>
      <c r="AB37" s="239">
        <f t="shared" si="6"/>
        <v>-2.8728807745321827E-3</v>
      </c>
    </row>
    <row r="38" spans="1:28" x14ac:dyDescent="0.25">
      <c r="A38" s="306"/>
      <c r="B38" s="307"/>
      <c r="G38" s="185"/>
      <c r="P38" s="305"/>
      <c r="R38" s="242">
        <v>-5.8597893733986425E-3</v>
      </c>
      <c r="S38" s="243" t="s">
        <v>294</v>
      </c>
      <c r="T38" s="238">
        <v>685</v>
      </c>
      <c r="U38" t="s">
        <v>294</v>
      </c>
      <c r="V38" s="239">
        <f t="shared" si="5"/>
        <v>685</v>
      </c>
      <c r="X38" s="240" t="e">
        <f t="shared" si="2"/>
        <v>#N/A</v>
      </c>
      <c r="Y38" s="240" t="e">
        <f t="shared" si="3"/>
        <v>#N/A</v>
      </c>
      <c r="Z38" s="240" t="e">
        <f t="shared" si="4"/>
        <v>#N/A</v>
      </c>
      <c r="AB38" s="239">
        <f t="shared" si="6"/>
        <v>-2.8728807745321827E-3</v>
      </c>
    </row>
    <row r="39" spans="1:28" x14ac:dyDescent="0.25">
      <c r="A39" s="306"/>
      <c r="B39" s="307"/>
      <c r="G39" s="185"/>
      <c r="P39" s="305"/>
      <c r="R39" s="242">
        <v>-4.9235689932055383E-3</v>
      </c>
      <c r="S39" s="243" t="s">
        <v>294</v>
      </c>
      <c r="T39" s="238">
        <v>819</v>
      </c>
      <c r="U39" t="s">
        <v>294</v>
      </c>
      <c r="V39" s="239">
        <f t="shared" si="5"/>
        <v>819</v>
      </c>
      <c r="X39" s="240" t="e">
        <f t="shared" si="2"/>
        <v>#N/A</v>
      </c>
      <c r="Y39" s="240" t="e">
        <f t="shared" si="3"/>
        <v>#N/A</v>
      </c>
      <c r="Z39" s="240" t="e">
        <f t="shared" si="4"/>
        <v>#N/A</v>
      </c>
      <c r="AB39" s="239">
        <f t="shared" si="6"/>
        <v>-2.8728807745321827E-3</v>
      </c>
    </row>
    <row r="40" spans="1:28" x14ac:dyDescent="0.25">
      <c r="A40" s="306"/>
      <c r="B40" s="307"/>
      <c r="G40" s="185"/>
      <c r="P40" s="305"/>
      <c r="R40" s="242">
        <v>-3.9873486130124342E-3</v>
      </c>
      <c r="S40" s="243" t="s">
        <v>294</v>
      </c>
      <c r="T40" s="238">
        <v>969</v>
      </c>
      <c r="U40" t="s">
        <v>294</v>
      </c>
      <c r="V40" s="239">
        <f t="shared" si="5"/>
        <v>969</v>
      </c>
      <c r="X40" s="240" t="e">
        <f t="shared" si="2"/>
        <v>#N/A</v>
      </c>
      <c r="Y40" s="240" t="e">
        <f t="shared" si="3"/>
        <v>#N/A</v>
      </c>
      <c r="Z40" s="240" t="e">
        <f t="shared" si="4"/>
        <v>#N/A</v>
      </c>
      <c r="AB40" s="239">
        <f t="shared" si="6"/>
        <v>-2.8728807745321827E-3</v>
      </c>
    </row>
    <row r="41" spans="1:28" x14ac:dyDescent="0.25">
      <c r="A41" s="306"/>
      <c r="B41" s="307"/>
      <c r="G41" s="185"/>
      <c r="P41" s="305"/>
      <c r="R41" s="242">
        <v>-3.0511282328193295E-3</v>
      </c>
      <c r="S41" s="243" t="s">
        <v>294</v>
      </c>
      <c r="T41" s="238">
        <v>1229</v>
      </c>
      <c r="U41" t="s">
        <v>294</v>
      </c>
      <c r="V41" s="239">
        <f t="shared" si="5"/>
        <v>1229</v>
      </c>
      <c r="X41" s="240">
        <f t="shared" si="2"/>
        <v>9683.3000000000011</v>
      </c>
      <c r="Y41" s="240" t="e">
        <f t="shared" si="3"/>
        <v>#N/A</v>
      </c>
      <c r="Z41" s="240" t="e">
        <f t="shared" si="4"/>
        <v>#N/A</v>
      </c>
      <c r="AB41" s="239">
        <f t="shared" si="6"/>
        <v>-2.8728807745321827E-3</v>
      </c>
    </row>
    <row r="42" spans="1:28" x14ac:dyDescent="0.25">
      <c r="A42" s="306"/>
      <c r="B42" s="307"/>
      <c r="G42" s="185"/>
      <c r="P42" s="305"/>
      <c r="R42" s="242">
        <v>-2.1149078526262249E-3</v>
      </c>
      <c r="S42" s="243" t="s">
        <v>294</v>
      </c>
      <c r="T42" s="238">
        <v>1551</v>
      </c>
      <c r="U42" t="s">
        <v>294</v>
      </c>
      <c r="V42" s="239">
        <f t="shared" si="5"/>
        <v>0</v>
      </c>
      <c r="X42" s="240" t="e">
        <f t="shared" si="2"/>
        <v>#N/A</v>
      </c>
      <c r="Y42" s="240" t="e">
        <f t="shared" si="3"/>
        <v>#N/A</v>
      </c>
      <c r="Z42" s="240" t="e">
        <f t="shared" si="4"/>
        <v>#N/A</v>
      </c>
      <c r="AB42" s="239">
        <f t="shared" si="6"/>
        <v>0</v>
      </c>
    </row>
    <row r="43" spans="1:28" x14ac:dyDescent="0.25">
      <c r="A43" s="306"/>
      <c r="B43" s="307"/>
      <c r="G43" s="185"/>
      <c r="P43" s="305"/>
      <c r="R43" s="242">
        <v>-1.1786874724331203E-3</v>
      </c>
      <c r="S43" s="243" t="s">
        <v>294</v>
      </c>
      <c r="T43" s="238">
        <v>1827</v>
      </c>
      <c r="U43" t="s">
        <v>294</v>
      </c>
      <c r="V43" s="239">
        <f t="shared" si="5"/>
        <v>0</v>
      </c>
      <c r="X43" s="240" t="e">
        <f t="shared" si="2"/>
        <v>#N/A</v>
      </c>
      <c r="Y43" s="240" t="e">
        <f t="shared" si="3"/>
        <v>#N/A</v>
      </c>
      <c r="Z43" s="240" t="e">
        <f t="shared" si="4"/>
        <v>#N/A</v>
      </c>
      <c r="AB43" s="239">
        <f t="shared" si="6"/>
        <v>0</v>
      </c>
    </row>
    <row r="44" spans="1:28" x14ac:dyDescent="0.25">
      <c r="A44" s="306"/>
      <c r="B44" s="307"/>
      <c r="G44" s="185"/>
      <c r="P44" s="305"/>
      <c r="R44" s="242">
        <v>-2.4246709224001566E-4</v>
      </c>
      <c r="S44" s="243" t="s">
        <v>294</v>
      </c>
      <c r="T44" s="238">
        <v>2260</v>
      </c>
      <c r="U44" t="s">
        <v>294</v>
      </c>
      <c r="V44" s="239">
        <f t="shared" si="5"/>
        <v>0</v>
      </c>
      <c r="X44" s="240" t="e">
        <f t="shared" si="2"/>
        <v>#N/A</v>
      </c>
      <c r="Y44" s="240" t="e">
        <f t="shared" si="3"/>
        <v>#N/A</v>
      </c>
      <c r="Z44" s="240" t="e">
        <f t="shared" si="4"/>
        <v>#N/A</v>
      </c>
      <c r="AB44" s="239">
        <f t="shared" si="6"/>
        <v>0</v>
      </c>
    </row>
    <row r="45" spans="1:28" x14ac:dyDescent="0.25">
      <c r="A45" s="306"/>
      <c r="B45" s="307"/>
      <c r="G45" s="185"/>
      <c r="P45" s="305"/>
      <c r="R45" s="242">
        <v>6.9375328795308897E-4</v>
      </c>
      <c r="S45" s="243" t="s">
        <v>294</v>
      </c>
      <c r="T45" s="238">
        <v>2624</v>
      </c>
      <c r="U45" t="s">
        <v>294</v>
      </c>
      <c r="V45" s="239">
        <f t="shared" si="5"/>
        <v>0</v>
      </c>
      <c r="X45" s="240" t="e">
        <f t="shared" si="2"/>
        <v>#N/A</v>
      </c>
      <c r="Y45" s="240" t="e">
        <f t="shared" si="3"/>
        <v>#N/A</v>
      </c>
      <c r="Z45" s="240" t="e">
        <f t="shared" si="4"/>
        <v>#N/A</v>
      </c>
      <c r="AB45" s="239">
        <f t="shared" si="6"/>
        <v>0</v>
      </c>
    </row>
    <row r="46" spans="1:28" x14ac:dyDescent="0.25">
      <c r="A46" s="306"/>
      <c r="B46" s="307"/>
      <c r="G46" s="185"/>
      <c r="P46" s="305"/>
      <c r="R46" s="242">
        <v>1.6299736681461936E-3</v>
      </c>
      <c r="S46" s="243" t="s">
        <v>294</v>
      </c>
      <c r="T46" s="238">
        <v>3295</v>
      </c>
      <c r="U46" t="s">
        <v>294</v>
      </c>
      <c r="V46" s="239">
        <f t="shared" si="5"/>
        <v>0</v>
      </c>
      <c r="X46" s="240" t="e">
        <f t="shared" si="2"/>
        <v>#N/A</v>
      </c>
      <c r="Y46" s="240" t="e">
        <f t="shared" si="3"/>
        <v>#N/A</v>
      </c>
      <c r="Z46" s="240" t="e">
        <f t="shared" si="4"/>
        <v>#N/A</v>
      </c>
      <c r="AB46" s="239">
        <f t="shared" si="6"/>
        <v>0</v>
      </c>
    </row>
    <row r="47" spans="1:28" x14ac:dyDescent="0.25">
      <c r="A47" s="306"/>
      <c r="B47" s="307"/>
      <c r="G47" s="185"/>
      <c r="P47" s="305"/>
      <c r="R47" s="242">
        <v>2.5661940483392982E-3</v>
      </c>
      <c r="S47" s="243" t="s">
        <v>294</v>
      </c>
      <c r="T47" s="238">
        <v>3844</v>
      </c>
      <c r="U47" t="s">
        <v>294</v>
      </c>
      <c r="V47" s="239">
        <f t="shared" si="5"/>
        <v>0</v>
      </c>
      <c r="X47" s="240" t="e">
        <f t="shared" si="2"/>
        <v>#N/A</v>
      </c>
      <c r="Y47" s="240" t="e">
        <f t="shared" si="3"/>
        <v>#N/A</v>
      </c>
      <c r="Z47" s="240" t="e">
        <f t="shared" si="4"/>
        <v>#N/A</v>
      </c>
      <c r="AB47" s="239">
        <f t="shared" si="6"/>
        <v>0</v>
      </c>
    </row>
    <row r="48" spans="1:28" x14ac:dyDescent="0.25">
      <c r="A48" s="306"/>
      <c r="B48" s="307"/>
      <c r="G48" s="185"/>
      <c r="P48" s="305"/>
      <c r="R48" s="242">
        <v>3.5024144285324028E-3</v>
      </c>
      <c r="S48" s="243" t="s">
        <v>294</v>
      </c>
      <c r="T48" s="238">
        <v>4568</v>
      </c>
      <c r="U48" t="s">
        <v>294</v>
      </c>
      <c r="V48" s="239">
        <f t="shared" si="5"/>
        <v>0</v>
      </c>
      <c r="X48" s="240" t="e">
        <f t="shared" si="2"/>
        <v>#N/A</v>
      </c>
      <c r="Y48" s="240" t="e">
        <f t="shared" si="3"/>
        <v>#N/A</v>
      </c>
      <c r="Z48" s="240" t="e">
        <f t="shared" si="4"/>
        <v>#N/A</v>
      </c>
      <c r="AB48" s="239">
        <f t="shared" si="6"/>
        <v>0</v>
      </c>
    </row>
    <row r="49" spans="1:28" x14ac:dyDescent="0.25">
      <c r="A49" s="306"/>
      <c r="B49" s="307"/>
      <c r="G49" s="185"/>
      <c r="P49" s="305"/>
      <c r="R49" s="242">
        <v>4.438634808725507E-3</v>
      </c>
      <c r="S49" s="243" t="s">
        <v>294</v>
      </c>
      <c r="T49" s="238">
        <v>5332</v>
      </c>
      <c r="U49" t="s">
        <v>294</v>
      </c>
      <c r="V49" s="239">
        <f t="shared" si="5"/>
        <v>0</v>
      </c>
      <c r="X49" s="240" t="e">
        <f t="shared" si="2"/>
        <v>#N/A</v>
      </c>
      <c r="Y49" s="240" t="e">
        <f t="shared" si="3"/>
        <v>#N/A</v>
      </c>
      <c r="Z49" s="240" t="e">
        <f t="shared" si="4"/>
        <v>#N/A</v>
      </c>
      <c r="AB49" s="239">
        <f t="shared" si="6"/>
        <v>0</v>
      </c>
    </row>
    <row r="50" spans="1:28" x14ac:dyDescent="0.25">
      <c r="A50" s="306"/>
      <c r="B50" s="307"/>
      <c r="G50" s="185"/>
      <c r="P50" s="305"/>
      <c r="R50" s="242">
        <v>5.3748551889186112E-3</v>
      </c>
      <c r="S50" s="243" t="s">
        <v>294</v>
      </c>
      <c r="T50" s="238">
        <v>6003</v>
      </c>
      <c r="U50" t="s">
        <v>294</v>
      </c>
      <c r="V50" s="239">
        <f t="shared" si="5"/>
        <v>0</v>
      </c>
      <c r="X50" s="240" t="e">
        <f t="shared" si="2"/>
        <v>#N/A</v>
      </c>
      <c r="Y50" s="240" t="e">
        <f t="shared" si="3"/>
        <v>#N/A</v>
      </c>
      <c r="Z50" s="240" t="e">
        <f t="shared" si="4"/>
        <v>#N/A</v>
      </c>
      <c r="AB50" s="239">
        <f t="shared" si="6"/>
        <v>0</v>
      </c>
    </row>
    <row r="51" spans="1:28" x14ac:dyDescent="0.25">
      <c r="A51" s="306"/>
      <c r="B51" s="307"/>
      <c r="G51" s="185"/>
      <c r="P51" s="305"/>
      <c r="R51" s="242">
        <v>6.3110755691117154E-3</v>
      </c>
      <c r="S51" s="243" t="s">
        <v>294</v>
      </c>
      <c r="T51" s="238">
        <v>6696</v>
      </c>
      <c r="U51" t="s">
        <v>294</v>
      </c>
      <c r="V51" s="239">
        <f t="shared" si="5"/>
        <v>0</v>
      </c>
      <c r="X51" s="240" t="e">
        <f t="shared" si="2"/>
        <v>#N/A</v>
      </c>
      <c r="Y51" s="240" t="e">
        <f t="shared" si="3"/>
        <v>#N/A</v>
      </c>
      <c r="Z51" s="240" t="e">
        <f t="shared" si="4"/>
        <v>#N/A</v>
      </c>
      <c r="AB51" s="239">
        <f t="shared" si="6"/>
        <v>0</v>
      </c>
    </row>
    <row r="52" spans="1:28" x14ac:dyDescent="0.25">
      <c r="A52" s="306"/>
      <c r="B52" s="307"/>
      <c r="G52" s="185"/>
      <c r="P52" s="305"/>
      <c r="R52" s="242">
        <v>7.2472959493048196E-3</v>
      </c>
      <c r="S52" s="243" t="s">
        <v>294</v>
      </c>
      <c r="T52" s="238">
        <v>7563</v>
      </c>
      <c r="U52" t="s">
        <v>294</v>
      </c>
      <c r="V52" s="239">
        <f t="shared" si="5"/>
        <v>0</v>
      </c>
      <c r="X52" s="240" t="e">
        <f t="shared" si="2"/>
        <v>#N/A</v>
      </c>
      <c r="Y52" s="240" t="e">
        <f t="shared" si="3"/>
        <v>#N/A</v>
      </c>
      <c r="Z52" s="240" t="e">
        <f t="shared" si="4"/>
        <v>#N/A</v>
      </c>
      <c r="AB52" s="239">
        <f t="shared" si="6"/>
        <v>0</v>
      </c>
    </row>
    <row r="53" spans="1:28" x14ac:dyDescent="0.25">
      <c r="A53" s="306"/>
      <c r="B53" s="307"/>
      <c r="G53" s="185"/>
      <c r="P53" s="305"/>
      <c r="R53" s="242">
        <v>8.1835163294979238E-3</v>
      </c>
      <c r="S53" s="243" t="s">
        <v>294</v>
      </c>
      <c r="T53" s="238">
        <v>8109</v>
      </c>
      <c r="U53" t="s">
        <v>294</v>
      </c>
      <c r="V53" s="239">
        <f t="shared" si="5"/>
        <v>0</v>
      </c>
      <c r="X53" s="240" t="e">
        <f t="shared" si="2"/>
        <v>#N/A</v>
      </c>
      <c r="Y53" s="240" t="e">
        <f t="shared" si="3"/>
        <v>#N/A</v>
      </c>
      <c r="Z53" s="240" t="e">
        <f t="shared" si="4"/>
        <v>#N/A</v>
      </c>
      <c r="AB53" s="239">
        <f t="shared" si="6"/>
        <v>0</v>
      </c>
    </row>
    <row r="54" spans="1:28" x14ac:dyDescent="0.25">
      <c r="A54" s="306"/>
      <c r="B54" s="307"/>
      <c r="G54" s="185"/>
      <c r="P54" s="305"/>
      <c r="R54" s="242">
        <v>9.119736709691028E-3</v>
      </c>
      <c r="S54" s="243" t="s">
        <v>294</v>
      </c>
      <c r="T54" s="238">
        <v>8572</v>
      </c>
      <c r="U54" t="s">
        <v>294</v>
      </c>
      <c r="V54" s="239">
        <f t="shared" si="5"/>
        <v>0</v>
      </c>
      <c r="X54" s="240" t="e">
        <f t="shared" si="2"/>
        <v>#N/A</v>
      </c>
      <c r="Y54" s="240" t="e">
        <f t="shared" si="3"/>
        <v>#N/A</v>
      </c>
      <c r="Z54" s="240" t="e">
        <f t="shared" si="4"/>
        <v>#N/A</v>
      </c>
      <c r="AB54" s="239">
        <f t="shared" si="6"/>
        <v>0</v>
      </c>
    </row>
    <row r="55" spans="1:28" x14ac:dyDescent="0.25">
      <c r="A55" s="306"/>
      <c r="B55" s="307"/>
      <c r="G55" s="185"/>
      <c r="P55" s="305"/>
      <c r="R55" s="242">
        <v>1.0055957089884132E-2</v>
      </c>
      <c r="S55" s="243" t="s">
        <v>294</v>
      </c>
      <c r="T55" s="238">
        <v>8803</v>
      </c>
      <c r="U55" t="s">
        <v>294</v>
      </c>
      <c r="V55" s="239">
        <f t="shared" si="5"/>
        <v>0</v>
      </c>
      <c r="X55" s="240" t="e">
        <f t="shared" si="2"/>
        <v>#N/A</v>
      </c>
      <c r="Y55" s="240" t="e">
        <f t="shared" si="3"/>
        <v>#N/A</v>
      </c>
      <c r="Z55" s="240">
        <f t="shared" si="4"/>
        <v>9683.3000000000011</v>
      </c>
      <c r="AB55" s="239">
        <f t="shared" si="6"/>
        <v>0</v>
      </c>
    </row>
    <row r="56" spans="1:28" x14ac:dyDescent="0.25">
      <c r="A56" s="306"/>
      <c r="B56" s="307"/>
      <c r="G56" s="185"/>
      <c r="P56" s="305"/>
      <c r="R56" s="242">
        <v>1.0992177470077236E-2</v>
      </c>
      <c r="S56" s="243" t="s">
        <v>294</v>
      </c>
      <c r="T56" s="238">
        <v>8684</v>
      </c>
      <c r="U56" t="s">
        <v>294</v>
      </c>
      <c r="V56" s="239">
        <f t="shared" si="5"/>
        <v>0</v>
      </c>
      <c r="X56" s="240" t="e">
        <f t="shared" si="2"/>
        <v>#N/A</v>
      </c>
      <c r="Y56" s="240" t="e">
        <f t="shared" si="3"/>
        <v>#N/A</v>
      </c>
      <c r="Z56" s="240" t="e">
        <f t="shared" si="4"/>
        <v>#N/A</v>
      </c>
      <c r="AB56" s="239">
        <f t="shared" si="6"/>
        <v>0</v>
      </c>
    </row>
    <row r="57" spans="1:28" x14ac:dyDescent="0.25">
      <c r="A57" s="306"/>
      <c r="B57" s="307"/>
      <c r="G57" s="185"/>
      <c r="P57" s="305"/>
      <c r="R57" s="242">
        <v>1.1928397850270341E-2</v>
      </c>
      <c r="S57" s="243" t="s">
        <v>294</v>
      </c>
      <c r="T57" s="238">
        <v>8451</v>
      </c>
      <c r="U57" t="s">
        <v>294</v>
      </c>
      <c r="V57" s="239">
        <f t="shared" si="5"/>
        <v>0</v>
      </c>
      <c r="X57" s="240" t="e">
        <f t="shared" si="2"/>
        <v>#N/A</v>
      </c>
      <c r="Y57" s="240" t="e">
        <f t="shared" si="3"/>
        <v>#N/A</v>
      </c>
      <c r="Z57" s="240" t="e">
        <f t="shared" si="4"/>
        <v>#N/A</v>
      </c>
      <c r="AB57" s="239">
        <f t="shared" si="6"/>
        <v>0</v>
      </c>
    </row>
    <row r="58" spans="1:28" x14ac:dyDescent="0.25">
      <c r="A58" s="306"/>
      <c r="B58" s="307"/>
      <c r="G58" s="185"/>
      <c r="P58" s="305"/>
      <c r="R58" s="242">
        <v>1.2864618230463445E-2</v>
      </c>
      <c r="S58" s="243" t="s">
        <v>294</v>
      </c>
      <c r="T58" s="238">
        <v>8110</v>
      </c>
      <c r="U58" t="s">
        <v>294</v>
      </c>
      <c r="V58" s="239">
        <f t="shared" si="5"/>
        <v>0</v>
      </c>
      <c r="X58" s="240" t="e">
        <f t="shared" si="2"/>
        <v>#N/A</v>
      </c>
      <c r="Y58" s="240" t="e">
        <f t="shared" si="3"/>
        <v>#N/A</v>
      </c>
      <c r="Z58" s="240" t="e">
        <f t="shared" si="4"/>
        <v>#N/A</v>
      </c>
      <c r="AB58" s="239">
        <f t="shared" si="6"/>
        <v>0</v>
      </c>
    </row>
    <row r="59" spans="1:28" x14ac:dyDescent="0.25">
      <c r="A59" s="306"/>
      <c r="B59" s="307"/>
      <c r="G59" s="185"/>
      <c r="P59" s="305"/>
      <c r="R59" s="242">
        <v>1.3800838610656549E-2</v>
      </c>
      <c r="S59" s="243" t="s">
        <v>294</v>
      </c>
      <c r="T59" s="238">
        <v>7577</v>
      </c>
      <c r="U59" t="s">
        <v>294</v>
      </c>
      <c r="V59" s="239">
        <f t="shared" si="5"/>
        <v>0</v>
      </c>
      <c r="X59" s="240" t="e">
        <f t="shared" si="2"/>
        <v>#N/A</v>
      </c>
      <c r="Y59" s="240" t="e">
        <f t="shared" si="3"/>
        <v>#N/A</v>
      </c>
      <c r="Z59" s="240" t="e">
        <f t="shared" si="4"/>
        <v>#N/A</v>
      </c>
      <c r="AB59" s="239">
        <f t="shared" si="6"/>
        <v>0</v>
      </c>
    </row>
    <row r="60" spans="1:28" x14ac:dyDescent="0.25">
      <c r="A60" s="306"/>
      <c r="B60" s="307"/>
      <c r="G60" s="185"/>
      <c r="P60" s="305"/>
      <c r="R60" s="242">
        <v>1.4737058990849653E-2</v>
      </c>
      <c r="S60" s="243" t="s">
        <v>294</v>
      </c>
      <c r="T60" s="238">
        <v>6710</v>
      </c>
      <c r="U60" t="s">
        <v>294</v>
      </c>
      <c r="V60" s="239">
        <f t="shared" si="5"/>
        <v>0</v>
      </c>
      <c r="X60" s="240" t="e">
        <f t="shared" si="2"/>
        <v>#N/A</v>
      </c>
      <c r="Y60" s="240" t="e">
        <f t="shared" si="3"/>
        <v>#N/A</v>
      </c>
      <c r="Z60" s="240" t="e">
        <f t="shared" si="4"/>
        <v>#N/A</v>
      </c>
      <c r="AB60" s="239">
        <f t="shared" si="6"/>
        <v>0</v>
      </c>
    </row>
    <row r="61" spans="1:28" x14ac:dyDescent="0.25">
      <c r="A61" s="306"/>
      <c r="B61" s="307"/>
      <c r="G61" s="185"/>
      <c r="P61" s="305"/>
      <c r="R61" s="242">
        <v>1.5673279371042757E-2</v>
      </c>
      <c r="S61" s="243" t="s">
        <v>294</v>
      </c>
      <c r="T61" s="238">
        <v>6028</v>
      </c>
      <c r="U61" t="s">
        <v>294</v>
      </c>
      <c r="V61" s="239">
        <f t="shared" si="5"/>
        <v>0</v>
      </c>
      <c r="X61" s="240" t="e">
        <f t="shared" si="2"/>
        <v>#N/A</v>
      </c>
      <c r="Y61" s="240" t="e">
        <f t="shared" si="3"/>
        <v>#N/A</v>
      </c>
      <c r="Z61" s="240" t="e">
        <f t="shared" si="4"/>
        <v>#N/A</v>
      </c>
      <c r="AB61" s="239">
        <f t="shared" si="6"/>
        <v>0</v>
      </c>
    </row>
    <row r="62" spans="1:28" x14ac:dyDescent="0.25">
      <c r="A62" s="306"/>
      <c r="B62" s="307"/>
      <c r="G62" s="185"/>
      <c r="P62" s="305"/>
      <c r="R62" s="242">
        <v>1.6609499751235862E-2</v>
      </c>
      <c r="S62" s="243" t="s">
        <v>294</v>
      </c>
      <c r="T62" s="238">
        <v>5023</v>
      </c>
      <c r="U62" t="s">
        <v>294</v>
      </c>
      <c r="V62" s="239">
        <f t="shared" si="5"/>
        <v>0</v>
      </c>
      <c r="X62" s="240" t="e">
        <f t="shared" si="2"/>
        <v>#N/A</v>
      </c>
      <c r="Y62" s="240" t="e">
        <f t="shared" si="3"/>
        <v>#N/A</v>
      </c>
      <c r="Z62" s="240" t="e">
        <f t="shared" si="4"/>
        <v>#N/A</v>
      </c>
      <c r="AB62" s="239">
        <f t="shared" si="6"/>
        <v>0</v>
      </c>
    </row>
    <row r="63" spans="1:28" x14ac:dyDescent="0.25">
      <c r="A63" s="306"/>
      <c r="B63" s="307"/>
      <c r="G63" s="185"/>
      <c r="P63" s="305"/>
      <c r="R63" s="242">
        <v>1.7545720131428966E-2</v>
      </c>
      <c r="S63" s="243" t="s">
        <v>294</v>
      </c>
      <c r="T63" s="238">
        <v>4265</v>
      </c>
      <c r="U63" t="s">
        <v>294</v>
      </c>
      <c r="V63" s="239">
        <f t="shared" si="5"/>
        <v>0</v>
      </c>
      <c r="X63" s="240" t="e">
        <f t="shared" si="2"/>
        <v>#N/A</v>
      </c>
      <c r="Y63" s="240" t="e">
        <f t="shared" si="3"/>
        <v>#N/A</v>
      </c>
      <c r="Z63" s="240" t="e">
        <f t="shared" si="4"/>
        <v>#N/A</v>
      </c>
      <c r="AB63" s="239">
        <f t="shared" si="6"/>
        <v>0</v>
      </c>
    </row>
    <row r="64" spans="1:28" x14ac:dyDescent="0.25">
      <c r="A64" s="306"/>
      <c r="B64" s="307"/>
      <c r="G64" s="185"/>
      <c r="P64" s="305"/>
      <c r="R64" s="242">
        <v>1.848194051162207E-2</v>
      </c>
      <c r="S64" s="243" t="s">
        <v>294</v>
      </c>
      <c r="T64" s="238">
        <v>3518</v>
      </c>
      <c r="U64" t="s">
        <v>294</v>
      </c>
      <c r="V64" s="239">
        <f t="shared" si="5"/>
        <v>0</v>
      </c>
      <c r="X64" s="240" t="e">
        <f t="shared" si="2"/>
        <v>#N/A</v>
      </c>
      <c r="Y64" s="240" t="e">
        <f t="shared" si="3"/>
        <v>#N/A</v>
      </c>
      <c r="Z64" s="240" t="e">
        <f t="shared" si="4"/>
        <v>#N/A</v>
      </c>
      <c r="AB64" s="239">
        <f t="shared" si="6"/>
        <v>0</v>
      </c>
    </row>
    <row r="65" spans="1:28" x14ac:dyDescent="0.25">
      <c r="A65" s="306"/>
      <c r="B65" s="307"/>
      <c r="G65" s="185"/>
      <c r="P65" s="305"/>
      <c r="R65" s="242">
        <v>1.9418160891815174E-2</v>
      </c>
      <c r="S65" s="243" t="s">
        <v>294</v>
      </c>
      <c r="T65" s="238">
        <v>2941</v>
      </c>
      <c r="U65" t="s">
        <v>294</v>
      </c>
      <c r="V65" s="239">
        <f t="shared" si="5"/>
        <v>0</v>
      </c>
      <c r="X65" s="240" t="e">
        <f t="shared" si="2"/>
        <v>#N/A</v>
      </c>
      <c r="Y65" s="240" t="e">
        <f t="shared" si="3"/>
        <v>#N/A</v>
      </c>
      <c r="Z65" s="240" t="e">
        <f t="shared" si="4"/>
        <v>#N/A</v>
      </c>
      <c r="AB65" s="239">
        <f t="shared" si="6"/>
        <v>0</v>
      </c>
    </row>
    <row r="66" spans="1:28" x14ac:dyDescent="0.25">
      <c r="A66" s="306"/>
      <c r="B66" s="307"/>
      <c r="G66" s="185"/>
      <c r="P66" s="305"/>
      <c r="R66" s="242">
        <v>2.0354381272008278E-2</v>
      </c>
      <c r="S66" s="243" t="s">
        <v>294</v>
      </c>
      <c r="T66" s="238">
        <v>2311</v>
      </c>
      <c r="U66" t="s">
        <v>294</v>
      </c>
      <c r="V66" s="239">
        <f t="shared" si="5"/>
        <v>0</v>
      </c>
      <c r="X66" s="240" t="e">
        <f t="shared" si="2"/>
        <v>#N/A</v>
      </c>
      <c r="Y66" s="240" t="e">
        <f t="shared" si="3"/>
        <v>#N/A</v>
      </c>
      <c r="Z66" s="240" t="e">
        <f t="shared" si="4"/>
        <v>#N/A</v>
      </c>
      <c r="AB66" s="239">
        <f t="shared" si="6"/>
        <v>0</v>
      </c>
    </row>
    <row r="67" spans="1:28" x14ac:dyDescent="0.25">
      <c r="A67" s="306"/>
      <c r="B67" s="307"/>
      <c r="G67" s="185"/>
      <c r="P67" s="305"/>
      <c r="R67" s="242">
        <v>2.1290601652201382E-2</v>
      </c>
      <c r="S67" s="243" t="s">
        <v>294</v>
      </c>
      <c r="T67" s="238">
        <v>1778</v>
      </c>
      <c r="U67" t="s">
        <v>294</v>
      </c>
      <c r="V67" s="239">
        <f t="shared" ref="V67:V102" si="7">IF(OR(R67&lt;LEFTVARBLUE,R67&gt;rightVARBlue),IF(OR(AND(R68&gt;=LEFTVARBLUE,R67&lt;LEFTVARBLUE),AND(R67&gt;=rightVARBlue,R66&lt;rightVARBlue)),T67,T67),0)</f>
        <v>1778</v>
      </c>
      <c r="X67" s="240" t="e">
        <f t="shared" si="2"/>
        <v>#N/A</v>
      </c>
      <c r="Y67" s="240">
        <f t="shared" si="3"/>
        <v>9683.3000000000011</v>
      </c>
      <c r="Z67" s="240" t="e">
        <f t="shared" si="4"/>
        <v>#N/A</v>
      </c>
      <c r="AB67" s="239">
        <f t="shared" ref="AB67:AB103" si="8">IF(R67&lt;LEFTVARBLUE,LEFTVARBLUE,0)</f>
        <v>0</v>
      </c>
    </row>
    <row r="68" spans="1:28" x14ac:dyDescent="0.25">
      <c r="A68" s="306"/>
      <c r="B68" s="307"/>
      <c r="G68" s="185"/>
      <c r="P68" s="305"/>
      <c r="R68" s="242">
        <v>2.2226822032394487E-2</v>
      </c>
      <c r="S68" s="243" t="s">
        <v>294</v>
      </c>
      <c r="T68" s="238">
        <v>1412</v>
      </c>
      <c r="U68" t="s">
        <v>294</v>
      </c>
      <c r="V68" s="239">
        <f t="shared" si="7"/>
        <v>1412</v>
      </c>
      <c r="X68" s="240" t="e">
        <f t="shared" ref="X68:X102" si="9">IF(AND(R69&gt;=$B$4,R68&lt;$B$4),MAX($T$3:$T$103)*1.1,NA())</f>
        <v>#N/A</v>
      </c>
      <c r="Y68" s="240" t="e">
        <f t="shared" ref="Y68:Y103" si="10">IF(AND(R68&gt;=$B$6,R67&lt;$B$6),MAX($T$3:$T$103)*1.1,NA())</f>
        <v>#N/A</v>
      </c>
      <c r="Z68" s="240" t="e">
        <f t="shared" ref="Z68:Z103" si="11">IF(AND(R68&gt;=$B$8,R67&lt;$B$8),MAX($T$3:$T$103)*1.1,NA())</f>
        <v>#N/A</v>
      </c>
      <c r="AB68" s="239">
        <f t="shared" si="8"/>
        <v>0</v>
      </c>
    </row>
    <row r="69" spans="1:28" x14ac:dyDescent="0.25">
      <c r="A69" s="306"/>
      <c r="B69" s="307"/>
      <c r="G69" s="185"/>
      <c r="P69" s="305"/>
      <c r="R69" s="242">
        <v>2.3163042412587591E-2</v>
      </c>
      <c r="S69" s="243" t="s">
        <v>294</v>
      </c>
      <c r="T69" s="238">
        <v>1148</v>
      </c>
      <c r="U69" t="s">
        <v>294</v>
      </c>
      <c r="V69" s="239">
        <f t="shared" si="7"/>
        <v>1148</v>
      </c>
      <c r="X69" s="240" t="e">
        <f t="shared" si="9"/>
        <v>#N/A</v>
      </c>
      <c r="Y69" s="240" t="e">
        <f t="shared" si="10"/>
        <v>#N/A</v>
      </c>
      <c r="Z69" s="240" t="e">
        <f t="shared" si="11"/>
        <v>#N/A</v>
      </c>
      <c r="AB69" s="239">
        <f t="shared" si="8"/>
        <v>0</v>
      </c>
    </row>
    <row r="70" spans="1:28" x14ac:dyDescent="0.25">
      <c r="A70" s="306"/>
      <c r="B70" s="307"/>
      <c r="G70" s="185"/>
      <c r="P70" s="305"/>
      <c r="R70" s="242">
        <v>2.4099262792780695E-2</v>
      </c>
      <c r="S70" s="243" t="s">
        <v>294</v>
      </c>
      <c r="T70" s="238">
        <v>847</v>
      </c>
      <c r="U70" t="s">
        <v>294</v>
      </c>
      <c r="V70" s="239">
        <f t="shared" si="7"/>
        <v>847</v>
      </c>
      <c r="X70" s="240" t="e">
        <f t="shared" si="9"/>
        <v>#N/A</v>
      </c>
      <c r="Y70" s="240" t="e">
        <f t="shared" si="10"/>
        <v>#N/A</v>
      </c>
      <c r="Z70" s="240" t="e">
        <f t="shared" si="11"/>
        <v>#N/A</v>
      </c>
      <c r="AB70" s="239">
        <f t="shared" si="8"/>
        <v>0</v>
      </c>
    </row>
    <row r="71" spans="1:28" x14ac:dyDescent="0.25">
      <c r="A71" s="306"/>
      <c r="B71" s="307"/>
      <c r="G71" s="185"/>
      <c r="P71" s="305"/>
      <c r="R71" s="242">
        <v>2.5035483172973799E-2</v>
      </c>
      <c r="S71" s="243" t="s">
        <v>294</v>
      </c>
      <c r="T71" s="238">
        <v>638</v>
      </c>
      <c r="U71" t="s">
        <v>294</v>
      </c>
      <c r="V71" s="239">
        <f t="shared" si="7"/>
        <v>638</v>
      </c>
      <c r="X71" s="240" t="e">
        <f t="shared" si="9"/>
        <v>#N/A</v>
      </c>
      <c r="Y71" s="240" t="e">
        <f t="shared" si="10"/>
        <v>#N/A</v>
      </c>
      <c r="Z71" s="240" t="e">
        <f t="shared" si="11"/>
        <v>#N/A</v>
      </c>
      <c r="AB71" s="239">
        <f t="shared" si="8"/>
        <v>0</v>
      </c>
    </row>
    <row r="72" spans="1:28" x14ac:dyDescent="0.25">
      <c r="A72" s="306"/>
      <c r="B72" s="307"/>
      <c r="G72" s="185"/>
      <c r="P72" s="305"/>
      <c r="R72" s="242">
        <v>2.5971703553166903E-2</v>
      </c>
      <c r="S72" s="243" t="s">
        <v>294</v>
      </c>
      <c r="T72" s="238">
        <v>518</v>
      </c>
      <c r="U72" t="s">
        <v>294</v>
      </c>
      <c r="V72" s="239">
        <f t="shared" si="7"/>
        <v>518</v>
      </c>
      <c r="X72" s="240" t="e">
        <f t="shared" si="9"/>
        <v>#N/A</v>
      </c>
      <c r="Y72" s="240" t="e">
        <f t="shared" si="10"/>
        <v>#N/A</v>
      </c>
      <c r="Z72" s="240" t="e">
        <f t="shared" si="11"/>
        <v>#N/A</v>
      </c>
      <c r="AB72" s="239">
        <f t="shared" si="8"/>
        <v>0</v>
      </c>
    </row>
    <row r="73" spans="1:28" x14ac:dyDescent="0.25">
      <c r="A73" s="306"/>
      <c r="B73" s="307"/>
      <c r="G73" s="185"/>
      <c r="P73" s="305"/>
      <c r="R73" s="242">
        <v>2.6907923933360008E-2</v>
      </c>
      <c r="S73" s="243" t="s">
        <v>294</v>
      </c>
      <c r="T73" s="238">
        <v>374</v>
      </c>
      <c r="U73" t="s">
        <v>294</v>
      </c>
      <c r="V73" s="239">
        <f t="shared" si="7"/>
        <v>374</v>
      </c>
      <c r="X73" s="240" t="e">
        <f t="shared" si="9"/>
        <v>#N/A</v>
      </c>
      <c r="Y73" s="240" t="e">
        <f t="shared" si="10"/>
        <v>#N/A</v>
      </c>
      <c r="Z73" s="240" t="e">
        <f t="shared" si="11"/>
        <v>#N/A</v>
      </c>
      <c r="AB73" s="239">
        <f t="shared" si="8"/>
        <v>0</v>
      </c>
    </row>
    <row r="74" spans="1:28" x14ac:dyDescent="0.25">
      <c r="A74" s="306"/>
      <c r="B74" s="307"/>
      <c r="G74" s="185"/>
      <c r="P74" s="305"/>
      <c r="R74" s="242">
        <v>2.7844144313553112E-2</v>
      </c>
      <c r="S74" s="243" t="s">
        <v>294</v>
      </c>
      <c r="T74" s="238">
        <v>305</v>
      </c>
      <c r="U74" t="s">
        <v>294</v>
      </c>
      <c r="V74" s="239">
        <f t="shared" si="7"/>
        <v>305</v>
      </c>
      <c r="X74" s="240" t="e">
        <f t="shared" si="9"/>
        <v>#N/A</v>
      </c>
      <c r="Y74" s="240" t="e">
        <f t="shared" si="10"/>
        <v>#N/A</v>
      </c>
      <c r="Z74" s="240" t="e">
        <f t="shared" si="11"/>
        <v>#N/A</v>
      </c>
      <c r="AB74" s="239">
        <f t="shared" si="8"/>
        <v>0</v>
      </c>
    </row>
    <row r="75" spans="1:28" x14ac:dyDescent="0.25">
      <c r="A75" s="306"/>
      <c r="B75" s="307"/>
      <c r="G75" s="185"/>
      <c r="P75" s="305"/>
      <c r="R75" s="242">
        <v>2.8780364693746216E-2</v>
      </c>
      <c r="S75" s="243" t="s">
        <v>294</v>
      </c>
      <c r="T75" s="238">
        <v>215</v>
      </c>
      <c r="U75" t="s">
        <v>294</v>
      </c>
      <c r="V75" s="239">
        <f t="shared" si="7"/>
        <v>215</v>
      </c>
      <c r="X75" s="240" t="e">
        <f t="shared" si="9"/>
        <v>#N/A</v>
      </c>
      <c r="Y75" s="240" t="e">
        <f t="shared" si="10"/>
        <v>#N/A</v>
      </c>
      <c r="Z75" s="240" t="e">
        <f t="shared" si="11"/>
        <v>#N/A</v>
      </c>
      <c r="AB75" s="239">
        <f t="shared" si="8"/>
        <v>0</v>
      </c>
    </row>
    <row r="76" spans="1:28" x14ac:dyDescent="0.25">
      <c r="A76" s="306"/>
      <c r="B76" s="307"/>
      <c r="G76" s="185"/>
      <c r="P76" s="305"/>
      <c r="R76" s="242">
        <v>2.971658507393932E-2</v>
      </c>
      <c r="S76" s="243" t="s">
        <v>294</v>
      </c>
      <c r="T76" s="238">
        <v>182</v>
      </c>
      <c r="U76" t="s">
        <v>294</v>
      </c>
      <c r="V76" s="239">
        <f t="shared" si="7"/>
        <v>182</v>
      </c>
      <c r="X76" s="240" t="e">
        <f t="shared" si="9"/>
        <v>#N/A</v>
      </c>
      <c r="Y76" s="240" t="e">
        <f t="shared" si="10"/>
        <v>#N/A</v>
      </c>
      <c r="Z76" s="240" t="e">
        <f t="shared" si="11"/>
        <v>#N/A</v>
      </c>
      <c r="AB76" s="239">
        <f t="shared" si="8"/>
        <v>0</v>
      </c>
    </row>
    <row r="77" spans="1:28" x14ac:dyDescent="0.25">
      <c r="A77" s="306"/>
      <c r="B77" s="307"/>
      <c r="G77" s="185"/>
      <c r="P77" s="305"/>
      <c r="R77" s="242">
        <v>3.0652805454132424E-2</v>
      </c>
      <c r="S77" s="243" t="s">
        <v>294</v>
      </c>
      <c r="T77" s="238">
        <v>134</v>
      </c>
      <c r="U77" t="s">
        <v>294</v>
      </c>
      <c r="V77" s="239">
        <f t="shared" si="7"/>
        <v>134</v>
      </c>
      <c r="X77" s="240" t="e">
        <f t="shared" si="9"/>
        <v>#N/A</v>
      </c>
      <c r="Y77" s="240" t="e">
        <f t="shared" si="10"/>
        <v>#N/A</v>
      </c>
      <c r="Z77" s="240" t="e">
        <f t="shared" si="11"/>
        <v>#N/A</v>
      </c>
      <c r="AB77" s="239">
        <f t="shared" si="8"/>
        <v>0</v>
      </c>
    </row>
    <row r="78" spans="1:28" x14ac:dyDescent="0.25">
      <c r="A78" s="306"/>
      <c r="B78" s="307"/>
      <c r="G78" s="185"/>
      <c r="P78" s="305"/>
      <c r="R78" s="242">
        <v>3.1589025834325532E-2</v>
      </c>
      <c r="S78" s="243" t="s">
        <v>294</v>
      </c>
      <c r="T78" s="238">
        <v>92</v>
      </c>
      <c r="U78" t="s">
        <v>294</v>
      </c>
      <c r="V78" s="239">
        <f t="shared" si="7"/>
        <v>92</v>
      </c>
      <c r="X78" s="240" t="e">
        <f t="shared" si="9"/>
        <v>#N/A</v>
      </c>
      <c r="Y78" s="240" t="e">
        <f t="shared" si="10"/>
        <v>#N/A</v>
      </c>
      <c r="Z78" s="240" t="e">
        <f t="shared" si="11"/>
        <v>#N/A</v>
      </c>
      <c r="AB78" s="239">
        <f t="shared" si="8"/>
        <v>0</v>
      </c>
    </row>
    <row r="79" spans="1:28" x14ac:dyDescent="0.25">
      <c r="A79" s="306"/>
      <c r="B79" s="307"/>
      <c r="G79" s="185"/>
      <c r="P79" s="305"/>
      <c r="R79" s="242">
        <v>3.252524621451864E-2</v>
      </c>
      <c r="S79" s="243" t="s">
        <v>294</v>
      </c>
      <c r="T79" s="238">
        <v>93</v>
      </c>
      <c r="U79" t="s">
        <v>294</v>
      </c>
      <c r="V79" s="239">
        <f t="shared" si="7"/>
        <v>93</v>
      </c>
      <c r="X79" s="240" t="e">
        <f t="shared" si="9"/>
        <v>#N/A</v>
      </c>
      <c r="Y79" s="240" t="e">
        <f t="shared" si="10"/>
        <v>#N/A</v>
      </c>
      <c r="Z79" s="240" t="e">
        <f t="shared" si="11"/>
        <v>#N/A</v>
      </c>
      <c r="AB79" s="239">
        <f t="shared" si="8"/>
        <v>0</v>
      </c>
    </row>
    <row r="80" spans="1:28" x14ac:dyDescent="0.25">
      <c r="A80" s="306"/>
      <c r="B80" s="307"/>
      <c r="G80" s="185"/>
      <c r="P80" s="305"/>
      <c r="R80" s="242">
        <v>3.3461466594711747E-2</v>
      </c>
      <c r="S80" s="243" t="s">
        <v>294</v>
      </c>
      <c r="T80" s="238">
        <v>69</v>
      </c>
      <c r="U80" t="s">
        <v>294</v>
      </c>
      <c r="V80" s="239">
        <f t="shared" si="7"/>
        <v>69</v>
      </c>
      <c r="X80" s="240" t="e">
        <f t="shared" si="9"/>
        <v>#N/A</v>
      </c>
      <c r="Y80" s="240" t="e">
        <f t="shared" si="10"/>
        <v>#N/A</v>
      </c>
      <c r="Z80" s="240" t="e">
        <f t="shared" si="11"/>
        <v>#N/A</v>
      </c>
      <c r="AB80" s="239">
        <f t="shared" si="8"/>
        <v>0</v>
      </c>
    </row>
    <row r="81" spans="1:28" x14ac:dyDescent="0.25">
      <c r="A81" s="306"/>
      <c r="B81" s="307"/>
      <c r="G81" s="185"/>
      <c r="P81" s="305"/>
      <c r="R81" s="242">
        <v>3.4397686974904855E-2</v>
      </c>
      <c r="S81" s="243" t="s">
        <v>294</v>
      </c>
      <c r="T81" s="238">
        <v>66</v>
      </c>
      <c r="U81" t="s">
        <v>294</v>
      </c>
      <c r="V81" s="239">
        <f t="shared" si="7"/>
        <v>66</v>
      </c>
      <c r="X81" s="240" t="e">
        <f t="shared" si="9"/>
        <v>#N/A</v>
      </c>
      <c r="Y81" s="240" t="e">
        <f t="shared" si="10"/>
        <v>#N/A</v>
      </c>
      <c r="Z81" s="240" t="e">
        <f t="shared" si="11"/>
        <v>#N/A</v>
      </c>
      <c r="AB81" s="239">
        <f t="shared" si="8"/>
        <v>0</v>
      </c>
    </row>
    <row r="82" spans="1:28" x14ac:dyDescent="0.25">
      <c r="A82" s="306"/>
      <c r="B82" s="307"/>
      <c r="G82" s="185"/>
      <c r="P82" s="305"/>
      <c r="R82" s="242">
        <v>3.5333907355097963E-2</v>
      </c>
      <c r="S82" s="243" t="s">
        <v>294</v>
      </c>
      <c r="T82" s="238">
        <v>39</v>
      </c>
      <c r="U82" t="s">
        <v>294</v>
      </c>
      <c r="V82" s="239">
        <f t="shared" si="7"/>
        <v>39</v>
      </c>
      <c r="X82" s="240" t="e">
        <f t="shared" si="9"/>
        <v>#N/A</v>
      </c>
      <c r="Y82" s="240" t="e">
        <f t="shared" si="10"/>
        <v>#N/A</v>
      </c>
      <c r="Z82" s="240" t="e">
        <f t="shared" si="11"/>
        <v>#N/A</v>
      </c>
      <c r="AB82" s="239">
        <f t="shared" si="8"/>
        <v>0</v>
      </c>
    </row>
    <row r="83" spans="1:28" x14ac:dyDescent="0.25">
      <c r="A83" s="306"/>
      <c r="B83" s="307"/>
      <c r="G83" s="185"/>
      <c r="P83" s="305"/>
      <c r="R83" s="242">
        <v>3.627012773529107E-2</v>
      </c>
      <c r="S83" s="243" t="s">
        <v>294</v>
      </c>
      <c r="T83" s="238">
        <v>35</v>
      </c>
      <c r="U83" t="s">
        <v>294</v>
      </c>
      <c r="V83" s="239">
        <f t="shared" si="7"/>
        <v>35</v>
      </c>
      <c r="X83" s="240" t="e">
        <f t="shared" si="9"/>
        <v>#N/A</v>
      </c>
      <c r="Y83" s="240" t="e">
        <f t="shared" si="10"/>
        <v>#N/A</v>
      </c>
      <c r="Z83" s="240" t="e">
        <f t="shared" si="11"/>
        <v>#N/A</v>
      </c>
      <c r="AB83" s="239">
        <f t="shared" si="8"/>
        <v>0</v>
      </c>
    </row>
    <row r="84" spans="1:28" x14ac:dyDescent="0.25">
      <c r="A84" s="306"/>
      <c r="B84" s="307"/>
      <c r="G84" s="185"/>
      <c r="P84" s="305"/>
      <c r="R84" s="242">
        <v>3.7206348115484178E-2</v>
      </c>
      <c r="S84" s="243" t="s">
        <v>294</v>
      </c>
      <c r="T84" s="238">
        <v>39</v>
      </c>
      <c r="U84" t="s">
        <v>294</v>
      </c>
      <c r="V84" s="239">
        <f t="shared" si="7"/>
        <v>39</v>
      </c>
      <c r="X84" s="240" t="e">
        <f t="shared" si="9"/>
        <v>#N/A</v>
      </c>
      <c r="Y84" s="240" t="e">
        <f t="shared" si="10"/>
        <v>#N/A</v>
      </c>
      <c r="Z84" s="240" t="e">
        <f t="shared" si="11"/>
        <v>#N/A</v>
      </c>
      <c r="AB84" s="239">
        <f t="shared" si="8"/>
        <v>0</v>
      </c>
    </row>
    <row r="85" spans="1:28" x14ac:dyDescent="0.25">
      <c r="A85" s="306"/>
      <c r="B85" s="307"/>
      <c r="G85" s="185"/>
      <c r="P85" s="305"/>
      <c r="R85" s="242">
        <v>3.8142568495677286E-2</v>
      </c>
      <c r="S85" s="243" t="s">
        <v>294</v>
      </c>
      <c r="T85" s="238">
        <v>24</v>
      </c>
      <c r="U85" t="s">
        <v>294</v>
      </c>
      <c r="V85" s="239">
        <f t="shared" si="7"/>
        <v>24</v>
      </c>
      <c r="X85" s="240" t="e">
        <f t="shared" si="9"/>
        <v>#N/A</v>
      </c>
      <c r="Y85" s="240" t="e">
        <f t="shared" si="10"/>
        <v>#N/A</v>
      </c>
      <c r="Z85" s="240" t="e">
        <f t="shared" si="11"/>
        <v>#N/A</v>
      </c>
      <c r="AB85" s="239">
        <f t="shared" si="8"/>
        <v>0</v>
      </c>
    </row>
    <row r="86" spans="1:28" x14ac:dyDescent="0.25">
      <c r="A86" s="306"/>
      <c r="B86" s="307"/>
      <c r="G86" s="185"/>
      <c r="P86" s="305"/>
      <c r="R86" s="242">
        <v>3.9078788875870393E-2</v>
      </c>
      <c r="S86" s="243" t="s">
        <v>294</v>
      </c>
      <c r="T86" s="238">
        <v>16</v>
      </c>
      <c r="U86" t="s">
        <v>294</v>
      </c>
      <c r="V86" s="239">
        <f t="shared" si="7"/>
        <v>16</v>
      </c>
      <c r="X86" s="240" t="e">
        <f t="shared" si="9"/>
        <v>#N/A</v>
      </c>
      <c r="Y86" s="240" t="e">
        <f t="shared" si="10"/>
        <v>#N/A</v>
      </c>
      <c r="Z86" s="240" t="e">
        <f t="shared" si="11"/>
        <v>#N/A</v>
      </c>
      <c r="AB86" s="239">
        <f t="shared" si="8"/>
        <v>0</v>
      </c>
    </row>
    <row r="87" spans="1:28" x14ac:dyDescent="0.25">
      <c r="A87" s="306"/>
      <c r="B87" s="307"/>
      <c r="G87" s="185"/>
      <c r="P87" s="305"/>
      <c r="R87" s="242">
        <v>4.0015009256063501E-2</v>
      </c>
      <c r="S87" s="243" t="s">
        <v>294</v>
      </c>
      <c r="T87" s="238">
        <v>15</v>
      </c>
      <c r="U87" t="s">
        <v>294</v>
      </c>
      <c r="V87" s="239">
        <f t="shared" si="7"/>
        <v>15</v>
      </c>
      <c r="X87" s="240" t="e">
        <f t="shared" si="9"/>
        <v>#N/A</v>
      </c>
      <c r="Y87" s="240" t="e">
        <f t="shared" si="10"/>
        <v>#N/A</v>
      </c>
      <c r="Z87" s="240" t="e">
        <f t="shared" si="11"/>
        <v>#N/A</v>
      </c>
      <c r="AB87" s="239">
        <f t="shared" si="8"/>
        <v>0</v>
      </c>
    </row>
    <row r="88" spans="1:28" x14ac:dyDescent="0.25">
      <c r="A88" s="306"/>
      <c r="B88" s="307"/>
      <c r="G88" s="185"/>
      <c r="P88" s="305"/>
      <c r="R88" s="242">
        <v>4.0951229636256609E-2</v>
      </c>
      <c r="S88" s="243" t="s">
        <v>294</v>
      </c>
      <c r="T88" s="238">
        <v>13</v>
      </c>
      <c r="U88" t="s">
        <v>294</v>
      </c>
      <c r="V88" s="239">
        <f t="shared" si="7"/>
        <v>13</v>
      </c>
      <c r="X88" s="240" t="e">
        <f t="shared" si="9"/>
        <v>#N/A</v>
      </c>
      <c r="Y88" s="240" t="e">
        <f t="shared" si="10"/>
        <v>#N/A</v>
      </c>
      <c r="Z88" s="240" t="e">
        <f t="shared" si="11"/>
        <v>#N/A</v>
      </c>
      <c r="AB88" s="239">
        <f t="shared" si="8"/>
        <v>0</v>
      </c>
    </row>
    <row r="89" spans="1:28" x14ac:dyDescent="0.25">
      <c r="A89" s="306"/>
      <c r="B89" s="307"/>
      <c r="G89" s="185"/>
      <c r="P89" s="305"/>
      <c r="R89" s="242">
        <v>4.1887450016449716E-2</v>
      </c>
      <c r="S89" s="243" t="s">
        <v>294</v>
      </c>
      <c r="T89" s="238">
        <v>9</v>
      </c>
      <c r="U89" t="s">
        <v>294</v>
      </c>
      <c r="V89" s="239">
        <f t="shared" si="7"/>
        <v>9</v>
      </c>
      <c r="X89" s="240" t="e">
        <f t="shared" si="9"/>
        <v>#N/A</v>
      </c>
      <c r="Y89" s="240" t="e">
        <f t="shared" si="10"/>
        <v>#N/A</v>
      </c>
      <c r="Z89" s="240" t="e">
        <f t="shared" si="11"/>
        <v>#N/A</v>
      </c>
      <c r="AB89" s="239">
        <f t="shared" si="8"/>
        <v>0</v>
      </c>
    </row>
    <row r="90" spans="1:28" x14ac:dyDescent="0.25">
      <c r="A90" s="306"/>
      <c r="B90" s="307"/>
      <c r="G90" s="185"/>
      <c r="P90" s="305"/>
      <c r="R90" s="242">
        <v>4.2823670396642824E-2</v>
      </c>
      <c r="S90" s="243" t="s">
        <v>294</v>
      </c>
      <c r="T90" s="238">
        <v>6</v>
      </c>
      <c r="U90" t="s">
        <v>294</v>
      </c>
      <c r="V90" s="239">
        <f t="shared" si="7"/>
        <v>6</v>
      </c>
      <c r="X90" s="240" t="e">
        <f t="shared" si="9"/>
        <v>#N/A</v>
      </c>
      <c r="Y90" s="240" t="e">
        <f t="shared" si="10"/>
        <v>#N/A</v>
      </c>
      <c r="Z90" s="240" t="e">
        <f t="shared" si="11"/>
        <v>#N/A</v>
      </c>
      <c r="AB90" s="239">
        <f t="shared" si="8"/>
        <v>0</v>
      </c>
    </row>
    <row r="91" spans="1:28" x14ac:dyDescent="0.25">
      <c r="A91" s="306"/>
      <c r="B91" s="307"/>
      <c r="G91" s="185"/>
      <c r="P91" s="305"/>
      <c r="R91" s="242">
        <v>4.3759890776835932E-2</v>
      </c>
      <c r="S91" s="243" t="s">
        <v>294</v>
      </c>
      <c r="T91" s="238">
        <v>7</v>
      </c>
      <c r="U91" t="s">
        <v>294</v>
      </c>
      <c r="V91" s="239">
        <f t="shared" si="7"/>
        <v>7</v>
      </c>
      <c r="X91" s="240" t="e">
        <f t="shared" si="9"/>
        <v>#N/A</v>
      </c>
      <c r="Y91" s="240" t="e">
        <f t="shared" si="10"/>
        <v>#N/A</v>
      </c>
      <c r="Z91" s="240" t="e">
        <f t="shared" si="11"/>
        <v>#N/A</v>
      </c>
      <c r="AB91" s="239">
        <f t="shared" si="8"/>
        <v>0</v>
      </c>
    </row>
    <row r="92" spans="1:28" x14ac:dyDescent="0.25">
      <c r="A92" s="306"/>
      <c r="B92" s="307"/>
      <c r="G92" s="185"/>
      <c r="P92" s="305"/>
      <c r="R92" s="242">
        <v>4.4696111157029039E-2</v>
      </c>
      <c r="S92" s="243" t="s">
        <v>294</v>
      </c>
      <c r="T92" s="238">
        <v>2</v>
      </c>
      <c r="U92" t="s">
        <v>294</v>
      </c>
      <c r="V92" s="239">
        <f t="shared" si="7"/>
        <v>2</v>
      </c>
      <c r="X92" s="240" t="e">
        <f t="shared" si="9"/>
        <v>#N/A</v>
      </c>
      <c r="Y92" s="240" t="e">
        <f t="shared" si="10"/>
        <v>#N/A</v>
      </c>
      <c r="Z92" s="240" t="e">
        <f t="shared" si="11"/>
        <v>#N/A</v>
      </c>
      <c r="AB92" s="239">
        <f t="shared" si="8"/>
        <v>0</v>
      </c>
    </row>
    <row r="93" spans="1:28" x14ac:dyDescent="0.25">
      <c r="A93" s="306"/>
      <c r="B93" s="307"/>
      <c r="G93" s="185"/>
      <c r="P93" s="305"/>
      <c r="R93" s="242">
        <v>4.5632331537222147E-2</v>
      </c>
      <c r="S93" s="243" t="s">
        <v>294</v>
      </c>
      <c r="T93" s="238">
        <v>2</v>
      </c>
      <c r="U93" t="s">
        <v>294</v>
      </c>
      <c r="V93" s="239">
        <f t="shared" si="7"/>
        <v>2</v>
      </c>
      <c r="X93" s="240" t="e">
        <f t="shared" si="9"/>
        <v>#N/A</v>
      </c>
      <c r="Y93" s="240" t="e">
        <f t="shared" si="10"/>
        <v>#N/A</v>
      </c>
      <c r="Z93" s="240" t="e">
        <f t="shared" si="11"/>
        <v>#N/A</v>
      </c>
      <c r="AB93" s="239">
        <f t="shared" si="8"/>
        <v>0</v>
      </c>
    </row>
    <row r="94" spans="1:28" x14ac:dyDescent="0.25">
      <c r="A94" s="306"/>
      <c r="B94" s="307"/>
      <c r="G94" s="185"/>
      <c r="P94" s="305"/>
      <c r="R94" s="242">
        <v>4.6568551917415255E-2</v>
      </c>
      <c r="S94" s="243" t="s">
        <v>294</v>
      </c>
      <c r="T94" s="238">
        <v>2</v>
      </c>
      <c r="U94" t="s">
        <v>294</v>
      </c>
      <c r="V94" s="239">
        <f t="shared" si="7"/>
        <v>2</v>
      </c>
      <c r="X94" s="240" t="e">
        <f t="shared" si="9"/>
        <v>#N/A</v>
      </c>
      <c r="Y94" s="240" t="e">
        <f t="shared" si="10"/>
        <v>#N/A</v>
      </c>
      <c r="Z94" s="240" t="e">
        <f t="shared" si="11"/>
        <v>#N/A</v>
      </c>
      <c r="AB94" s="239">
        <f t="shared" si="8"/>
        <v>0</v>
      </c>
    </row>
    <row r="95" spans="1:28" x14ac:dyDescent="0.25">
      <c r="A95" s="306"/>
      <c r="B95" s="307"/>
      <c r="G95" s="185"/>
      <c r="P95" s="305"/>
      <c r="R95" s="242">
        <v>4.7504772297608362E-2</v>
      </c>
      <c r="S95" s="243" t="s">
        <v>294</v>
      </c>
      <c r="T95" s="238">
        <v>1</v>
      </c>
      <c r="U95" t="s">
        <v>294</v>
      </c>
      <c r="V95" s="239">
        <f t="shared" si="7"/>
        <v>1</v>
      </c>
      <c r="X95" s="240" t="e">
        <f t="shared" si="9"/>
        <v>#N/A</v>
      </c>
      <c r="Y95" s="240" t="e">
        <f t="shared" si="10"/>
        <v>#N/A</v>
      </c>
      <c r="Z95" s="240" t="e">
        <f t="shared" si="11"/>
        <v>#N/A</v>
      </c>
      <c r="AB95" s="239">
        <f t="shared" si="8"/>
        <v>0</v>
      </c>
    </row>
    <row r="96" spans="1:28" x14ac:dyDescent="0.25">
      <c r="A96" s="306"/>
      <c r="B96" s="307"/>
      <c r="G96" s="185"/>
      <c r="P96" s="305"/>
      <c r="R96" s="242">
        <v>4.844099267780147E-2</v>
      </c>
      <c r="S96" s="243" t="s">
        <v>294</v>
      </c>
      <c r="T96" s="238">
        <v>3</v>
      </c>
      <c r="U96" t="s">
        <v>294</v>
      </c>
      <c r="V96" s="239">
        <f t="shared" si="7"/>
        <v>3</v>
      </c>
      <c r="X96" s="240" t="e">
        <f t="shared" si="9"/>
        <v>#N/A</v>
      </c>
      <c r="Y96" s="240" t="e">
        <f t="shared" si="10"/>
        <v>#N/A</v>
      </c>
      <c r="Z96" s="240" t="e">
        <f t="shared" si="11"/>
        <v>#N/A</v>
      </c>
      <c r="AB96" s="239">
        <f t="shared" si="8"/>
        <v>0</v>
      </c>
    </row>
    <row r="97" spans="1:28" x14ac:dyDescent="0.25">
      <c r="A97" s="306"/>
      <c r="B97" s="307"/>
      <c r="G97" s="185"/>
      <c r="P97" s="305"/>
      <c r="R97" s="242">
        <v>4.9377213057994578E-2</v>
      </c>
      <c r="S97" s="243" t="s">
        <v>294</v>
      </c>
      <c r="T97" s="238">
        <v>1</v>
      </c>
      <c r="U97" t="s">
        <v>294</v>
      </c>
      <c r="V97" s="239">
        <f t="shared" si="7"/>
        <v>1</v>
      </c>
      <c r="X97" s="240" t="e">
        <f t="shared" si="9"/>
        <v>#N/A</v>
      </c>
      <c r="Y97" s="240" t="e">
        <f t="shared" si="10"/>
        <v>#N/A</v>
      </c>
      <c r="Z97" s="240" t="e">
        <f t="shared" si="11"/>
        <v>#N/A</v>
      </c>
      <c r="AB97" s="239">
        <f t="shared" si="8"/>
        <v>0</v>
      </c>
    </row>
    <row r="98" spans="1:28" x14ac:dyDescent="0.25">
      <c r="A98" s="306"/>
      <c r="B98" s="307"/>
      <c r="G98" s="185"/>
      <c r="P98" s="305"/>
      <c r="R98" s="242">
        <v>5.0313433438187685E-2</v>
      </c>
      <c r="S98" s="243" t="s">
        <v>294</v>
      </c>
      <c r="T98" s="238">
        <v>1</v>
      </c>
      <c r="U98" t="s">
        <v>294</v>
      </c>
      <c r="V98" s="239">
        <f t="shared" si="7"/>
        <v>1</v>
      </c>
      <c r="X98" s="240" t="e">
        <f t="shared" si="9"/>
        <v>#N/A</v>
      </c>
      <c r="Y98" s="240" t="e">
        <f t="shared" si="10"/>
        <v>#N/A</v>
      </c>
      <c r="Z98" s="240" t="e">
        <f t="shared" si="11"/>
        <v>#N/A</v>
      </c>
      <c r="AB98" s="239">
        <f t="shared" si="8"/>
        <v>0</v>
      </c>
    </row>
    <row r="99" spans="1:28" x14ac:dyDescent="0.25">
      <c r="A99" s="306"/>
      <c r="B99" s="307"/>
      <c r="G99" s="185"/>
      <c r="P99" s="305"/>
      <c r="R99" s="242">
        <v>5.1249653818380793E-2</v>
      </c>
      <c r="S99" s="243" t="s">
        <v>294</v>
      </c>
      <c r="T99" s="238">
        <v>1</v>
      </c>
      <c r="U99" t="s">
        <v>294</v>
      </c>
      <c r="V99" s="239">
        <f t="shared" si="7"/>
        <v>1</v>
      </c>
      <c r="X99" s="240" t="e">
        <f t="shared" si="9"/>
        <v>#N/A</v>
      </c>
      <c r="Y99" s="240" t="e">
        <f t="shared" si="10"/>
        <v>#N/A</v>
      </c>
      <c r="Z99" s="240" t="e">
        <f t="shared" si="11"/>
        <v>#N/A</v>
      </c>
      <c r="AB99" s="239">
        <f t="shared" si="8"/>
        <v>0</v>
      </c>
    </row>
    <row r="100" spans="1:28" x14ac:dyDescent="0.25">
      <c r="A100" s="306"/>
      <c r="B100" s="307"/>
      <c r="G100" s="185"/>
      <c r="P100" s="305"/>
      <c r="R100" s="242">
        <v>5.2185874198573901E-2</v>
      </c>
      <c r="S100" s="243" t="s">
        <v>294</v>
      </c>
      <c r="T100" s="238">
        <v>2</v>
      </c>
      <c r="U100" t="s">
        <v>294</v>
      </c>
      <c r="V100" s="239">
        <f t="shared" si="7"/>
        <v>2</v>
      </c>
      <c r="X100" s="240" t="e">
        <f t="shared" si="9"/>
        <v>#N/A</v>
      </c>
      <c r="Y100" s="240" t="e">
        <f t="shared" si="10"/>
        <v>#N/A</v>
      </c>
      <c r="Z100" s="240" t="e">
        <f t="shared" si="11"/>
        <v>#N/A</v>
      </c>
      <c r="AB100" s="239">
        <f t="shared" si="8"/>
        <v>0</v>
      </c>
    </row>
    <row r="101" spans="1:28" x14ac:dyDescent="0.25">
      <c r="A101" s="306"/>
      <c r="B101" s="307"/>
      <c r="G101" s="185"/>
      <c r="P101" s="305"/>
      <c r="R101" s="242">
        <v>5.3122094578767008E-2</v>
      </c>
      <c r="S101" s="243" t="s">
        <v>294</v>
      </c>
      <c r="T101" s="238">
        <v>0</v>
      </c>
      <c r="U101" t="s">
        <v>294</v>
      </c>
      <c r="V101" s="239">
        <f t="shared" si="7"/>
        <v>0</v>
      </c>
      <c r="X101" s="240" t="e">
        <f t="shared" si="9"/>
        <v>#N/A</v>
      </c>
      <c r="Y101" s="240" t="e">
        <f t="shared" si="10"/>
        <v>#N/A</v>
      </c>
      <c r="Z101" s="240" t="e">
        <f t="shared" si="11"/>
        <v>#N/A</v>
      </c>
      <c r="AB101" s="239">
        <f t="shared" si="8"/>
        <v>0</v>
      </c>
    </row>
    <row r="102" spans="1:28" x14ac:dyDescent="0.25">
      <c r="A102" s="306"/>
      <c r="B102" s="307"/>
      <c r="G102" s="185"/>
      <c r="P102" s="305"/>
      <c r="R102" s="242">
        <v>5.4058314958960116E-2</v>
      </c>
      <c r="S102" s="243" t="s">
        <v>294</v>
      </c>
      <c r="T102" s="238">
        <v>0</v>
      </c>
      <c r="U102" t="s">
        <v>294</v>
      </c>
      <c r="V102" s="239">
        <f t="shared" si="7"/>
        <v>0</v>
      </c>
      <c r="X102" s="240" t="e">
        <f t="shared" si="9"/>
        <v>#N/A</v>
      </c>
      <c r="Y102" s="240" t="e">
        <f t="shared" si="10"/>
        <v>#N/A</v>
      </c>
      <c r="Z102" s="240" t="e">
        <f t="shared" si="11"/>
        <v>#N/A</v>
      </c>
      <c r="AB102" s="239">
        <f t="shared" si="8"/>
        <v>0</v>
      </c>
    </row>
    <row r="103" spans="1:28" x14ac:dyDescent="0.25">
      <c r="A103" s="306"/>
      <c r="B103" s="307"/>
      <c r="G103" s="185"/>
      <c r="P103" s="305"/>
      <c r="R103" s="242">
        <v>5.4994535339153224E-2</v>
      </c>
      <c r="S103" s="243" t="s">
        <v>294</v>
      </c>
      <c r="T103" s="238">
        <v>1</v>
      </c>
      <c r="U103" t="s">
        <v>294</v>
      </c>
      <c r="V103" s="239">
        <f>IF(OR(R103&lt;LEFTVARBLUE,R103&gt;rightVARBlue),IF(OR(AND(R104&gt;=LEFTVARBLUE,R103&lt;LEFTVARBLUE),AND(R103&gt;=rightVARBlue,R102&lt;rightVARBlue)),T103,T103),0)</f>
        <v>1</v>
      </c>
      <c r="X103" s="240" t="e">
        <f>IF(AND(R104&gt;=$B$4,R103&lt;$B$4),MAX($T$3:$T$103)*1.1,NA())</f>
        <v>#N/A</v>
      </c>
      <c r="Y103" s="240" t="e">
        <f t="shared" si="10"/>
        <v>#N/A</v>
      </c>
      <c r="Z103" s="240" t="e">
        <f t="shared" si="11"/>
        <v>#N/A</v>
      </c>
      <c r="AB103" s="239">
        <f t="shared" si="8"/>
        <v>0</v>
      </c>
    </row>
  </sheetData>
  <mergeCells count="18">
    <mergeCell ref="D11:E11"/>
    <mergeCell ref="A12:A13"/>
    <mergeCell ref="B12:B13"/>
    <mergeCell ref="X1:Y1"/>
    <mergeCell ref="A2:A3"/>
    <mergeCell ref="B2:B3"/>
    <mergeCell ref="A4:A5"/>
    <mergeCell ref="B4:B5"/>
    <mergeCell ref="A6:A7"/>
    <mergeCell ref="B6:B7"/>
    <mergeCell ref="A14:A15"/>
    <mergeCell ref="B14:B15"/>
    <mergeCell ref="A17:A18"/>
    <mergeCell ref="B17:B18"/>
    <mergeCell ref="A8:A9"/>
    <mergeCell ref="B8:B9"/>
    <mergeCell ref="A10:A11"/>
    <mergeCell ref="B10:B11"/>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AI67"/>
  <sheetViews>
    <sheetView showGridLines="0" topLeftCell="A2" zoomScaleNormal="100" workbookViewId="0">
      <selection activeCell="A6" sqref="A6:Q6"/>
    </sheetView>
  </sheetViews>
  <sheetFormatPr defaultRowHeight="15" x14ac:dyDescent="0.25"/>
  <cols>
    <col min="1" max="35" width="5" style="41" customWidth="1"/>
    <col min="36" max="16384" width="9.140625" style="41"/>
  </cols>
  <sheetData>
    <row r="1" spans="1:35" ht="11.25" customHeight="1" x14ac:dyDescent="0.25">
      <c r="B1" s="386"/>
      <c r="C1" s="386"/>
      <c r="D1" s="386"/>
      <c r="E1" s="386"/>
      <c r="F1" s="386"/>
      <c r="G1" s="386"/>
      <c r="H1" s="386"/>
      <c r="I1" s="386"/>
      <c r="J1" s="386"/>
    </row>
    <row r="2" spans="1:35" ht="11.25" customHeight="1" x14ac:dyDescent="0.25">
      <c r="B2" s="386"/>
      <c r="C2" s="386"/>
      <c r="D2" s="386"/>
      <c r="E2" s="386"/>
      <c r="F2" s="386"/>
      <c r="G2" s="386"/>
      <c r="H2" s="386"/>
      <c r="I2" s="386"/>
      <c r="J2" s="386"/>
    </row>
    <row r="3" spans="1:35" ht="9.75" customHeight="1" x14ac:dyDescent="0.25">
      <c r="A3" s="429"/>
      <c r="B3" s="429"/>
      <c r="C3" s="429"/>
      <c r="D3" s="429"/>
      <c r="E3" s="428"/>
      <c r="F3" s="428"/>
      <c r="G3" s="428"/>
      <c r="H3" s="428"/>
      <c r="I3" s="428"/>
      <c r="J3" s="428"/>
      <c r="K3" s="428"/>
      <c r="L3" s="123"/>
      <c r="M3" s="429"/>
      <c r="N3" s="429"/>
      <c r="O3" s="429"/>
      <c r="P3" s="429"/>
      <c r="Q3" s="430"/>
      <c r="R3" s="430"/>
      <c r="S3" s="430"/>
      <c r="T3" s="430"/>
      <c r="U3" s="430"/>
      <c r="V3" s="430"/>
      <c r="W3" s="430"/>
      <c r="X3" s="430"/>
      <c r="Y3" s="124"/>
      <c r="Z3" s="429"/>
      <c r="AA3" s="429"/>
      <c r="AB3" s="429"/>
      <c r="AC3" s="429"/>
      <c r="AD3" s="427"/>
      <c r="AE3" s="427"/>
      <c r="AF3" s="427"/>
      <c r="AG3" s="427"/>
      <c r="AH3" s="427"/>
      <c r="AI3" s="427"/>
    </row>
    <row r="4" spans="1:35" ht="11.25" customHeight="1" x14ac:dyDescent="0.25">
      <c r="A4" s="395" t="s">
        <v>196</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7.5" customHeight="1" x14ac:dyDescent="0.25">
      <c r="A5" s="379"/>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row>
    <row r="6" spans="1:35" ht="11.25" customHeight="1" x14ac:dyDescent="0.25">
      <c r="A6" s="401" t="s">
        <v>41</v>
      </c>
      <c r="B6" s="402"/>
      <c r="C6" s="402"/>
      <c r="D6" s="402"/>
      <c r="E6" s="402"/>
      <c r="F6" s="402"/>
      <c r="G6" s="402"/>
      <c r="H6" s="402"/>
      <c r="I6" s="402"/>
      <c r="J6" s="402"/>
      <c r="K6" s="402"/>
      <c r="L6" s="402"/>
      <c r="M6" s="402"/>
      <c r="N6" s="402"/>
      <c r="O6" s="402"/>
      <c r="P6" s="402"/>
      <c r="Q6" s="402"/>
      <c r="S6" s="339" t="s">
        <v>50</v>
      </c>
      <c r="T6" s="339"/>
      <c r="U6" s="339"/>
      <c r="V6" s="339"/>
      <c r="W6" s="339"/>
      <c r="X6" s="339"/>
      <c r="Y6" s="339"/>
      <c r="Z6" s="339"/>
      <c r="AA6" s="387"/>
      <c r="AB6" s="339"/>
      <c r="AC6" s="339"/>
      <c r="AD6" s="339"/>
      <c r="AE6" s="339"/>
      <c r="AF6" s="339"/>
      <c r="AG6" s="339"/>
      <c r="AH6" s="339"/>
      <c r="AI6" s="339"/>
    </row>
    <row r="7" spans="1:35" ht="11.25" customHeight="1" x14ac:dyDescent="0.25">
      <c r="A7" s="42"/>
      <c r="B7" s="43"/>
      <c r="C7" s="43"/>
      <c r="D7" s="43"/>
      <c r="E7" s="43"/>
      <c r="F7" s="43"/>
      <c r="G7" s="43"/>
      <c r="H7" s="44"/>
      <c r="S7" s="390" t="s">
        <v>119</v>
      </c>
      <c r="T7" s="390"/>
      <c r="U7" s="390"/>
      <c r="V7" s="390"/>
      <c r="W7" s="390"/>
      <c r="X7" s="390"/>
      <c r="Y7" s="390"/>
      <c r="Z7" s="390"/>
      <c r="AA7" s="291"/>
      <c r="AB7" s="390" t="s">
        <v>120</v>
      </c>
      <c r="AC7" s="390"/>
      <c r="AD7" s="390"/>
      <c r="AE7" s="390"/>
      <c r="AF7" s="390"/>
      <c r="AG7" s="390"/>
      <c r="AH7" s="390"/>
      <c r="AI7" s="390"/>
    </row>
    <row r="8" spans="1:35" ht="18" customHeight="1" x14ac:dyDescent="0.25">
      <c r="A8" s="45"/>
      <c r="B8" s="45"/>
      <c r="C8" s="45"/>
      <c r="D8" s="45"/>
      <c r="E8" s="45"/>
      <c r="F8" s="45"/>
      <c r="G8" s="45"/>
      <c r="H8" s="45"/>
      <c r="I8" s="43"/>
      <c r="J8" s="43"/>
      <c r="K8" s="43"/>
      <c r="L8" s="43"/>
      <c r="M8" s="43"/>
      <c r="S8" s="377" t="s">
        <v>125</v>
      </c>
      <c r="T8" s="378"/>
      <c r="U8" s="377" t="s">
        <v>133</v>
      </c>
      <c r="V8" s="403"/>
      <c r="W8" s="377" t="s">
        <v>18</v>
      </c>
      <c r="X8" s="403"/>
      <c r="Y8" s="377" t="s">
        <v>242</v>
      </c>
      <c r="Z8" s="403"/>
      <c r="AA8" s="125"/>
      <c r="AB8" s="377" t="s">
        <v>42</v>
      </c>
      <c r="AC8" s="403"/>
      <c r="AD8" s="377" t="s">
        <v>239</v>
      </c>
      <c r="AE8" s="403"/>
      <c r="AF8" s="377" t="s">
        <v>240</v>
      </c>
      <c r="AG8" s="403"/>
      <c r="AH8" s="377" t="s">
        <v>43</v>
      </c>
      <c r="AI8" s="403"/>
    </row>
    <row r="9" spans="1:35" ht="11.25" customHeight="1" x14ac:dyDescent="0.25">
      <c r="A9" s="45"/>
      <c r="B9" s="45"/>
      <c r="C9" s="45"/>
      <c r="D9" s="45"/>
      <c r="E9" s="45"/>
      <c r="F9" s="45"/>
      <c r="G9" s="45"/>
      <c r="H9" s="45"/>
      <c r="I9" s="45"/>
      <c r="J9" s="45"/>
      <c r="K9" s="45"/>
      <c r="L9" s="45"/>
      <c r="M9" s="45"/>
      <c r="S9" s="384">
        <f>IF(ISBLANK(SUMMARY_DATA!B16)=TRUE,"",SUMMARY_DATA!B16)</f>
        <v>0.75095533863015329</v>
      </c>
      <c r="T9" s="385"/>
      <c r="U9" s="384">
        <f>IF(ISBLANK(SUMMARY_DATA!C16)=TRUE,"",SUMMARY_DATA!C16)</f>
        <v>2.6013856014450334</v>
      </c>
      <c r="V9" s="385"/>
      <c r="W9" s="384">
        <f>IF(ISBLANK(SUMMARY_DATA!D16)=TRUE,"",SUMMARY_DATA!D16)</f>
        <v>0.9376493977324154</v>
      </c>
      <c r="X9" s="385"/>
      <c r="Y9" s="384">
        <f>IF(ISBLANK(SUMMARY_DATA!E16)=TRUE,"",SUMMARY_DATA!E16)</f>
        <v>11.251792772788985</v>
      </c>
      <c r="Z9" s="385"/>
      <c r="AA9" s="125"/>
      <c r="AB9" s="384">
        <f>IF(ISBLANK(SUMMARY_DATA!F16)=TRUE,"",SUMMARY_DATA!F16)</f>
        <v>0.87394068373343181</v>
      </c>
      <c r="AC9" s="385"/>
      <c r="AD9" s="384">
        <f>IF(ISBLANK(SUMMARY_DATA!G16)=TRUE,"",SUMMARY_DATA!G16*(-1))</f>
        <v>-0.28728807745321827</v>
      </c>
      <c r="AE9" s="385"/>
      <c r="AF9" s="384">
        <f>IF(ISBLANK(SUMMARY_DATA!H16)=TRUE,"",SUMMARY_DATA!H16*(-1))</f>
        <v>2.0635407881578693</v>
      </c>
      <c r="AG9" s="385"/>
      <c r="AH9" s="384">
        <f>IF(ISBLANK(SUMMARY_DATA!I16)=TRUE,"",SUMMARY_DATA!I16)</f>
        <v>2.4409616834619952</v>
      </c>
      <c r="AI9" s="385"/>
    </row>
    <row r="10" spans="1:35" ht="11.25" customHeight="1" x14ac:dyDescent="0.25">
      <c r="A10" s="45"/>
      <c r="B10" s="45"/>
      <c r="C10" s="45"/>
      <c r="D10" s="45"/>
      <c r="E10" s="45"/>
      <c r="F10" s="45"/>
      <c r="G10" s="45"/>
      <c r="H10" s="45"/>
      <c r="I10" s="45"/>
      <c r="J10" s="45"/>
      <c r="K10" s="45"/>
      <c r="L10" s="45"/>
      <c r="M10" s="45"/>
      <c r="AA10" s="100"/>
      <c r="AB10" s="337"/>
      <c r="AC10" s="338"/>
      <c r="AD10" s="337"/>
      <c r="AE10" s="338"/>
      <c r="AF10" s="337"/>
      <c r="AG10" s="338"/>
      <c r="AH10" s="337"/>
      <c r="AI10" s="338"/>
    </row>
    <row r="11" spans="1:35" ht="12" customHeight="1" x14ac:dyDescent="0.25">
      <c r="A11" s="45"/>
      <c r="B11" s="45"/>
      <c r="C11" s="45"/>
      <c r="D11" s="45"/>
      <c r="E11" s="45"/>
      <c r="F11" s="45"/>
      <c r="G11" s="45"/>
      <c r="H11" s="45"/>
      <c r="I11" s="45"/>
      <c r="J11" s="45"/>
      <c r="K11" s="45"/>
      <c r="L11" s="45"/>
      <c r="M11" s="45"/>
      <c r="S11" s="397" t="s">
        <v>188</v>
      </c>
      <c r="T11" s="397"/>
      <c r="U11" s="397"/>
      <c r="V11" s="397"/>
      <c r="W11" s="397"/>
      <c r="X11" s="397"/>
      <c r="Y11" s="397"/>
      <c r="Z11" s="397"/>
      <c r="AA11" s="126"/>
      <c r="AB11" s="397" t="s">
        <v>189</v>
      </c>
      <c r="AC11" s="397"/>
      <c r="AD11" s="397"/>
      <c r="AE11" s="397"/>
      <c r="AF11" s="397"/>
      <c r="AG11" s="397"/>
      <c r="AH11" s="397"/>
      <c r="AI11" s="397"/>
    </row>
    <row r="12" spans="1:35" ht="19.5" customHeight="1" x14ac:dyDescent="0.25">
      <c r="A12" s="45"/>
      <c r="B12" s="45"/>
      <c r="C12" s="45"/>
      <c r="D12" s="45"/>
      <c r="E12" s="45"/>
      <c r="F12" s="45"/>
      <c r="G12" s="45"/>
      <c r="H12" s="45"/>
      <c r="I12" s="45"/>
      <c r="J12" s="45"/>
      <c r="K12" s="45"/>
      <c r="L12" s="45"/>
      <c r="M12" s="45"/>
      <c r="S12" s="166"/>
      <c r="T12" s="166"/>
      <c r="U12" s="166"/>
      <c r="V12" s="167"/>
      <c r="W12" s="367" t="s">
        <v>164</v>
      </c>
      <c r="X12" s="368"/>
      <c r="Y12" s="367" t="s">
        <v>124</v>
      </c>
      <c r="Z12" s="369"/>
      <c r="AA12" s="127"/>
      <c r="AB12" s="168"/>
      <c r="AC12" s="166"/>
      <c r="AD12" s="166"/>
      <c r="AE12" s="167"/>
      <c r="AF12" s="367" t="s">
        <v>166</v>
      </c>
      <c r="AG12" s="368"/>
      <c r="AH12" s="367" t="s">
        <v>123</v>
      </c>
      <c r="AI12" s="369"/>
    </row>
    <row r="13" spans="1:35" ht="11.25" customHeight="1" x14ac:dyDescent="0.25">
      <c r="A13" s="45"/>
      <c r="B13" s="45"/>
      <c r="C13" s="45"/>
      <c r="D13" s="45"/>
      <c r="E13" s="45"/>
      <c r="F13" s="45"/>
      <c r="G13" s="45"/>
      <c r="H13" s="45"/>
      <c r="I13" s="45"/>
      <c r="J13" s="45"/>
      <c r="K13" s="45"/>
      <c r="L13" s="45"/>
      <c r="M13" s="45"/>
      <c r="S13" s="375" t="s">
        <v>165</v>
      </c>
      <c r="T13" s="375"/>
      <c r="U13" s="375"/>
      <c r="V13" s="376"/>
      <c r="W13" s="398">
        <f>SUMMARY_DATA!B23</f>
        <v>47.149713438998354</v>
      </c>
      <c r="X13" s="399"/>
      <c r="Y13" s="399"/>
      <c r="Z13" s="399"/>
      <c r="AA13" s="125"/>
      <c r="AB13" s="391" t="s">
        <v>165</v>
      </c>
      <c r="AC13" s="391"/>
      <c r="AD13" s="391"/>
      <c r="AE13" s="392"/>
      <c r="AF13" s="393">
        <f>SUMMARY_DATA!B26</f>
        <v>115.77315274208256</v>
      </c>
      <c r="AG13" s="394"/>
      <c r="AH13" s="394"/>
      <c r="AI13" s="394"/>
    </row>
    <row r="14" spans="1:35" ht="11.25" customHeight="1" x14ac:dyDescent="0.25">
      <c r="A14" s="45"/>
      <c r="B14" s="45"/>
      <c r="C14" s="45"/>
      <c r="D14" s="45"/>
      <c r="E14" s="45"/>
      <c r="F14" s="45"/>
      <c r="G14" s="45"/>
      <c r="H14" s="45"/>
      <c r="I14" s="45"/>
      <c r="J14" s="45"/>
      <c r="K14" s="45"/>
      <c r="L14" s="45"/>
      <c r="M14" s="45"/>
      <c r="S14" s="370" t="s">
        <v>295</v>
      </c>
      <c r="T14" s="370"/>
      <c r="U14" s="370"/>
      <c r="V14" s="370"/>
      <c r="W14" s="371">
        <v>40.77477289355182</v>
      </c>
      <c r="X14" s="371"/>
      <c r="Y14" s="371">
        <v>1.5212306814315872</v>
      </c>
      <c r="Z14" s="371"/>
      <c r="AB14" s="370" t="s">
        <v>295</v>
      </c>
      <c r="AC14" s="370"/>
      <c r="AD14" s="370"/>
      <c r="AE14" s="370"/>
      <c r="AF14" s="371">
        <v>101.54616108263488</v>
      </c>
      <c r="AG14" s="371"/>
      <c r="AH14" s="371">
        <v>4.4089470484114486</v>
      </c>
      <c r="AI14" s="371"/>
    </row>
    <row r="15" spans="1:35" ht="11.25" customHeight="1" x14ac:dyDescent="0.25">
      <c r="A15" s="45"/>
      <c r="B15" s="45"/>
      <c r="C15" s="45"/>
      <c r="D15" s="45"/>
      <c r="E15" s="45"/>
      <c r="F15" s="45"/>
      <c r="G15" s="45"/>
      <c r="H15" s="45"/>
      <c r="I15" s="45"/>
      <c r="J15" s="45"/>
      <c r="K15" s="45"/>
      <c r="L15" s="45"/>
      <c r="M15" s="45"/>
      <c r="S15" s="358" t="s">
        <v>296</v>
      </c>
      <c r="T15" s="358"/>
      <c r="U15" s="358"/>
      <c r="V15" s="358"/>
      <c r="W15" s="356">
        <v>4.6628847221463516</v>
      </c>
      <c r="X15" s="356"/>
      <c r="Y15" s="356">
        <v>0.92771053422118466</v>
      </c>
      <c r="Z15" s="356"/>
      <c r="AB15" s="358" t="s">
        <v>296</v>
      </c>
      <c r="AC15" s="358"/>
      <c r="AD15" s="358"/>
      <c r="AE15" s="358"/>
      <c r="AF15" s="356">
        <v>12.441900060887772</v>
      </c>
      <c r="AG15" s="356"/>
      <c r="AH15" s="356">
        <v>2.8807950749890754</v>
      </c>
      <c r="AI15" s="356"/>
    </row>
    <row r="16" spans="1:35" ht="11.25" customHeight="1" x14ac:dyDescent="0.25">
      <c r="S16" s="359" t="s">
        <v>297</v>
      </c>
      <c r="T16" s="359"/>
      <c r="U16" s="359"/>
      <c r="V16" s="359"/>
      <c r="W16" s="357">
        <v>3.2915026597671102</v>
      </c>
      <c r="X16" s="357"/>
      <c r="Y16" s="357">
        <v>1.6779847030181341</v>
      </c>
      <c r="Z16" s="357"/>
      <c r="AB16" s="359" t="s">
        <v>297</v>
      </c>
      <c r="AC16" s="359"/>
      <c r="AD16" s="359"/>
      <c r="AE16" s="359"/>
      <c r="AF16" s="357">
        <v>6.8117282246677568</v>
      </c>
      <c r="AG16" s="357"/>
      <c r="AH16" s="357">
        <v>4.0412800515552947</v>
      </c>
      <c r="AI16" s="357"/>
    </row>
    <row r="17" spans="1:35" ht="11.25" customHeight="1" x14ac:dyDescent="0.25">
      <c r="S17" s="354" t="s">
        <v>298</v>
      </c>
      <c r="T17" s="354"/>
      <c r="U17" s="354"/>
      <c r="V17" s="354"/>
      <c r="W17" s="351">
        <v>1.9769688145197841</v>
      </c>
      <c r="X17" s="351"/>
      <c r="Y17" s="351">
        <v>-0.3459997030619536</v>
      </c>
      <c r="Z17" s="351"/>
      <c r="AB17" s="354" t="s">
        <v>298</v>
      </c>
      <c r="AC17" s="354"/>
      <c r="AD17" s="354"/>
      <c r="AE17" s="354"/>
      <c r="AF17" s="351">
        <v>2.3484622484588349</v>
      </c>
      <c r="AG17" s="351"/>
      <c r="AH17" s="351">
        <v>-0.47832969035730605</v>
      </c>
      <c r="AI17" s="351"/>
    </row>
    <row r="18" spans="1:35" ht="11.25" customHeight="1" x14ac:dyDescent="0.25">
      <c r="S18" s="372" t="s">
        <v>299</v>
      </c>
      <c r="T18" s="372"/>
      <c r="U18" s="372"/>
      <c r="V18" s="372"/>
      <c r="W18" s="355">
        <v>0.80402132668019843</v>
      </c>
      <c r="X18" s="355"/>
      <c r="Y18" s="355">
        <v>-1.2444959682801964</v>
      </c>
      <c r="Z18" s="355"/>
      <c r="AB18" s="372" t="s">
        <v>299</v>
      </c>
      <c r="AC18" s="372"/>
      <c r="AD18" s="372"/>
      <c r="AE18" s="372"/>
      <c r="AF18" s="355">
        <v>1.6721821148712281</v>
      </c>
      <c r="AG18" s="355"/>
      <c r="AH18" s="355">
        <v>-3.0121552176905304</v>
      </c>
      <c r="AI18" s="355"/>
    </row>
    <row r="19" spans="1:35" ht="11.25" customHeight="1" x14ac:dyDescent="0.25">
      <c r="S19" s="358" t="s">
        <v>300</v>
      </c>
      <c r="T19" s="358"/>
      <c r="U19" s="358"/>
      <c r="V19" s="358"/>
      <c r="W19" s="356">
        <v>6.1423329015140408E-2</v>
      </c>
      <c r="X19" s="356"/>
      <c r="Y19" s="356">
        <v>0.64135966153985613</v>
      </c>
      <c r="Z19" s="356"/>
      <c r="AB19" s="358" t="s">
        <v>300</v>
      </c>
      <c r="AC19" s="358"/>
      <c r="AD19" s="358"/>
      <c r="AE19" s="358"/>
      <c r="AF19" s="356">
        <v>0.12630520543112606</v>
      </c>
      <c r="AG19" s="356"/>
      <c r="AH19" s="356">
        <v>1.5348197830247894</v>
      </c>
      <c r="AI19" s="356"/>
    </row>
    <row r="20" spans="1:35" ht="11.25" customHeight="1" x14ac:dyDescent="0.25">
      <c r="S20" s="359" t="s">
        <v>301</v>
      </c>
      <c r="T20" s="359"/>
      <c r="U20" s="359"/>
      <c r="V20" s="359"/>
      <c r="W20" s="357">
        <v>-0.18859047152681971</v>
      </c>
      <c r="X20" s="357"/>
      <c r="Y20" s="357">
        <v>0.10299872647672279</v>
      </c>
      <c r="Z20" s="357"/>
      <c r="AB20" s="359" t="s">
        <v>301</v>
      </c>
      <c r="AC20" s="359"/>
      <c r="AD20" s="359"/>
      <c r="AE20" s="359"/>
      <c r="AF20" s="357">
        <v>-0.17970688953688932</v>
      </c>
      <c r="AG20" s="357"/>
      <c r="AH20" s="357">
        <v>0.11422066487090765</v>
      </c>
      <c r="AI20" s="357"/>
    </row>
    <row r="21" spans="1:35" ht="11.25" customHeight="1" x14ac:dyDescent="0.25">
      <c r="B21" s="164"/>
      <c r="C21" s="164"/>
      <c r="D21" s="164"/>
      <c r="E21" s="164"/>
      <c r="F21" s="164"/>
      <c r="G21" s="164"/>
      <c r="H21" s="164"/>
      <c r="I21" s="164"/>
      <c r="J21" s="164"/>
      <c r="K21" s="164"/>
      <c r="L21" s="164"/>
      <c r="M21" s="164"/>
      <c r="N21" s="164"/>
      <c r="O21" s="164"/>
      <c r="P21" s="164"/>
      <c r="Q21" s="164"/>
      <c r="R21" s="164"/>
      <c r="S21" s="354" t="s">
        <v>302</v>
      </c>
      <c r="T21" s="354"/>
      <c r="U21" s="354"/>
      <c r="V21" s="354"/>
      <c r="W21" s="351">
        <v>-0.20667011720828174</v>
      </c>
      <c r="X21" s="351"/>
      <c r="Y21" s="351">
        <v>-0.35462328318777131</v>
      </c>
      <c r="Z21" s="351"/>
      <c r="AA21" s="164"/>
      <c r="AB21" s="354" t="s">
        <v>302</v>
      </c>
      <c r="AC21" s="354"/>
      <c r="AD21" s="354"/>
      <c r="AE21" s="354"/>
      <c r="AF21" s="351">
        <v>-0.56591470172295144</v>
      </c>
      <c r="AG21" s="351"/>
      <c r="AH21" s="351">
        <v>-1.1300779082276646</v>
      </c>
      <c r="AI21" s="351"/>
    </row>
    <row r="22" spans="1:35" ht="11.25" customHeight="1" x14ac:dyDescent="0.25">
      <c r="A22" s="400"/>
      <c r="B22" s="400"/>
      <c r="C22" s="400"/>
      <c r="D22" s="400"/>
      <c r="E22" s="400"/>
      <c r="F22" s="400"/>
      <c r="G22" s="400"/>
      <c r="H22" s="400"/>
      <c r="I22" s="400"/>
      <c r="J22" s="400"/>
      <c r="K22" s="400"/>
      <c r="L22" s="400"/>
      <c r="M22" s="400"/>
      <c r="N22" s="400"/>
      <c r="O22" s="400"/>
      <c r="P22" s="400"/>
      <c r="Q22" s="400"/>
      <c r="S22" s="352" t="s">
        <v>303</v>
      </c>
      <c r="T22" s="352"/>
      <c r="U22" s="352"/>
      <c r="V22" s="352"/>
      <c r="W22" s="353">
        <v>-4.0265997179469526</v>
      </c>
      <c r="X22" s="353"/>
      <c r="Y22" s="353">
        <v>2.5408459206157366</v>
      </c>
      <c r="Z22" s="353"/>
      <c r="AA22" s="150"/>
      <c r="AB22" s="352" t="s">
        <v>303</v>
      </c>
      <c r="AC22" s="352"/>
      <c r="AD22" s="352"/>
      <c r="AE22" s="352"/>
      <c r="AF22" s="353">
        <v>-8.4279646036092117</v>
      </c>
      <c r="AG22" s="353"/>
      <c r="AH22" s="353">
        <v>6.1891416438787576</v>
      </c>
      <c r="AI22" s="353"/>
    </row>
    <row r="23" spans="1:35" ht="11.25" customHeight="1" x14ac:dyDescent="0.25">
      <c r="A23" s="400"/>
      <c r="B23" s="400"/>
      <c r="C23" s="400"/>
      <c r="D23" s="400"/>
      <c r="E23" s="400"/>
      <c r="F23" s="400"/>
      <c r="G23" s="400"/>
      <c r="H23" s="400"/>
      <c r="I23" s="400"/>
      <c r="J23" s="400"/>
      <c r="K23" s="400"/>
      <c r="L23" s="400"/>
      <c r="M23" s="400"/>
      <c r="N23" s="400"/>
      <c r="O23" s="400"/>
      <c r="P23" s="400"/>
      <c r="Q23" s="400"/>
      <c r="S23" s="354"/>
      <c r="T23" s="354"/>
      <c r="U23" s="354"/>
      <c r="V23" s="354"/>
      <c r="W23" s="351"/>
      <c r="X23" s="351"/>
      <c r="Y23" s="351"/>
      <c r="Z23" s="351"/>
      <c r="AA23" s="150"/>
      <c r="AB23" s="354"/>
      <c r="AC23" s="354"/>
      <c r="AD23" s="354"/>
      <c r="AE23" s="354"/>
      <c r="AF23" s="351"/>
      <c r="AG23" s="351"/>
      <c r="AH23" s="351"/>
      <c r="AI23" s="351"/>
    </row>
    <row r="24" spans="1:35" ht="11.25" customHeight="1" x14ac:dyDescent="0.25">
      <c r="A24" s="400"/>
      <c r="B24" s="400"/>
      <c r="C24" s="400"/>
      <c r="D24" s="400"/>
      <c r="E24" s="400"/>
      <c r="F24" s="400"/>
      <c r="G24" s="400"/>
      <c r="H24" s="400"/>
      <c r="I24" s="400"/>
      <c r="J24" s="400"/>
      <c r="K24" s="400"/>
      <c r="L24" s="400"/>
      <c r="M24" s="400"/>
      <c r="N24" s="400"/>
      <c r="O24" s="400"/>
      <c r="P24" s="400"/>
      <c r="Q24" s="400"/>
      <c r="S24" s="340" t="s">
        <v>45</v>
      </c>
      <c r="T24" s="340"/>
      <c r="U24" s="340"/>
      <c r="V24" s="341"/>
      <c r="W24" s="342">
        <f>100-W13</f>
        <v>52.850286561001646</v>
      </c>
      <c r="X24" s="343"/>
      <c r="Y24" s="343"/>
      <c r="Z24" s="344"/>
      <c r="AA24" s="150"/>
      <c r="AB24" s="340" t="s">
        <v>45</v>
      </c>
      <c r="AC24" s="340"/>
      <c r="AD24" s="340"/>
      <c r="AE24" s="341"/>
      <c r="AF24" s="342">
        <f>100-AF13</f>
        <v>-15.773152742082559</v>
      </c>
      <c r="AG24" s="343"/>
      <c r="AH24" s="343"/>
      <c r="AI24" s="344"/>
    </row>
    <row r="25" spans="1:35" ht="13.5" customHeight="1" x14ac:dyDescent="0.25">
      <c r="A25" s="400"/>
      <c r="B25" s="400"/>
      <c r="C25" s="400"/>
      <c r="D25" s="400"/>
      <c r="E25" s="400"/>
      <c r="F25" s="400"/>
      <c r="G25" s="400"/>
      <c r="H25" s="400"/>
      <c r="I25" s="400"/>
      <c r="J25" s="400"/>
      <c r="K25" s="400"/>
      <c r="L25" s="400"/>
      <c r="M25" s="400"/>
      <c r="N25" s="400"/>
      <c r="O25" s="400"/>
      <c r="P25" s="400"/>
      <c r="Q25" s="400"/>
      <c r="T25" s="150"/>
      <c r="U25" s="150"/>
      <c r="V25" s="150"/>
      <c r="W25" s="150"/>
      <c r="X25" s="150"/>
      <c r="Y25" s="150"/>
      <c r="Z25" s="150"/>
      <c r="AA25" s="150"/>
      <c r="AB25" s="150"/>
      <c r="AC25" s="150"/>
      <c r="AD25" s="150"/>
      <c r="AE25" s="150"/>
      <c r="AF25" s="150"/>
      <c r="AG25" s="150"/>
      <c r="AH25" s="150"/>
      <c r="AI25" s="150"/>
    </row>
    <row r="26" spans="1:35" ht="13.5" customHeight="1" x14ac:dyDescent="0.25">
      <c r="A26" s="150"/>
      <c r="B26" s="150"/>
      <c r="C26" s="150"/>
      <c r="D26" s="150"/>
      <c r="E26" s="150"/>
      <c r="F26" s="150"/>
      <c r="G26" s="150"/>
      <c r="H26" s="150"/>
      <c r="I26" s="150"/>
      <c r="J26" s="150"/>
      <c r="K26" s="150"/>
      <c r="L26" s="150"/>
      <c r="M26" s="150"/>
      <c r="N26" s="150"/>
      <c r="O26" s="150"/>
      <c r="P26" s="150"/>
      <c r="Q26" s="150"/>
      <c r="T26" s="150"/>
      <c r="U26" s="150"/>
      <c r="V26" s="150"/>
      <c r="W26" s="150"/>
      <c r="X26" s="150"/>
      <c r="Y26" s="150"/>
      <c r="Z26" s="150"/>
      <c r="AA26" s="150"/>
      <c r="AB26" s="150"/>
      <c r="AC26" s="150"/>
      <c r="AD26" s="150"/>
      <c r="AE26" s="150"/>
      <c r="AF26" s="150"/>
      <c r="AG26" s="150"/>
      <c r="AH26" s="150"/>
      <c r="AI26" s="150"/>
    </row>
    <row r="27" spans="1:35" ht="11.25" customHeight="1" x14ac:dyDescent="0.25">
      <c r="A27" s="396" t="s">
        <v>197</v>
      </c>
      <c r="B27" s="396"/>
      <c r="C27" s="396"/>
      <c r="D27" s="396"/>
      <c r="E27" s="396"/>
      <c r="F27" s="396"/>
      <c r="G27" s="396"/>
      <c r="H27" s="396"/>
      <c r="I27" s="396"/>
      <c r="J27" s="396"/>
      <c r="K27" s="396"/>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6"/>
    </row>
    <row r="28" spans="1:35" customFormat="1" ht="11.25" customHeight="1" x14ac:dyDescent="0.25"/>
    <row r="29" spans="1:35" ht="11.25" customHeight="1" x14ac:dyDescent="0.25">
      <c r="A29" s="339" t="s">
        <v>136</v>
      </c>
      <c r="B29" s="339"/>
      <c r="C29" s="339"/>
      <c r="D29" s="339"/>
      <c r="E29" s="339"/>
      <c r="F29" s="339"/>
      <c r="G29" s="339"/>
      <c r="H29" s="339"/>
      <c r="I29" s="383" t="s">
        <v>167</v>
      </c>
      <c r="J29" s="339"/>
      <c r="K29" s="339"/>
      <c r="L29" s="339"/>
      <c r="M29" s="339"/>
      <c r="N29" s="339"/>
      <c r="O29" s="339"/>
      <c r="P29" s="339"/>
      <c r="Q29" s="172"/>
    </row>
    <row r="30" spans="1:35" ht="25.5" customHeight="1" x14ac:dyDescent="0.25">
      <c r="A30" s="46"/>
      <c r="B30" s="18"/>
      <c r="C30" s="109"/>
      <c r="D30" s="146"/>
      <c r="E30" s="146"/>
      <c r="F30" s="373" t="s">
        <v>228</v>
      </c>
      <c r="G30" s="374"/>
      <c r="H30" s="108"/>
      <c r="I30" s="314"/>
      <c r="J30" s="145"/>
      <c r="K30" s="145"/>
      <c r="L30" s="145"/>
      <c r="M30" s="145"/>
      <c r="N30" s="145"/>
      <c r="O30" s="381" t="s">
        <v>46</v>
      </c>
      <c r="P30" s="382"/>
      <c r="Q30" s="171"/>
    </row>
    <row r="31" spans="1:35" ht="11.25" customHeight="1" x14ac:dyDescent="0.25">
      <c r="A31" s="365" t="str">
        <f>IF(F31="","",INDEX(SCENARIOS_ORDERED_BY_PF_VALUE!A:A,MATCH(F31,SCENARIOS_ORDERED_BY_PF_VALUE!D:D,0)))</f>
        <v>Silver Point Capital: Silver Point Distressed Opportunity Institutional Partners + Silver Point HF</v>
      </c>
      <c r="B31" s="365"/>
      <c r="C31" s="365"/>
      <c r="D31" s="365"/>
      <c r="E31" s="365"/>
      <c r="F31" s="350">
        <f>IF(ISBLANK(SCENARIOS_ORDERED_BY_PF_VALUE!D1)=TRUE,"",MIN(SCENARIOS_ORDERED_BY_PF_VALUE!D2:'SCENARIOS_ORDERED_BY_PF_VALUE'!D100))</f>
        <v>-42.28932457139117</v>
      </c>
      <c r="G31" s="350"/>
      <c r="H31" s="282"/>
      <c r="I31" s="346" t="str">
        <f>IF('PORTFOLIO STRESS TEST'!O13="%scenario", "", 'PORTFOLIO STRESS TEST'!O13)</f>
        <v>2008 Lehman Blow-Up</v>
      </c>
      <c r="J31" s="346"/>
      <c r="K31" s="346"/>
      <c r="L31" s="346"/>
      <c r="M31" s="346"/>
      <c r="N31" s="346"/>
      <c r="O31" s="357">
        <f>IF('PORTFOLIO STRESS TEST'!O13="%scenario", "", 'PORTFOLIO STRESS TEST'!O14)</f>
        <v>-3.5256818272930803</v>
      </c>
      <c r="P31" s="357"/>
      <c r="Q31" s="165"/>
    </row>
    <row r="32" spans="1:35" ht="11.25" customHeight="1" x14ac:dyDescent="0.25">
      <c r="A32" s="347" t="str">
        <f>IF(F32="","",INDEX(SCENARIOS_ORDERED_BY_PF_VALUE!A:A,MATCH(F32,SCENARIOS_ORDERED_BY_PF_VALUE!E:E,0)))</f>
        <v>PIMCO: PIMCO Commodity Alpha Fund</v>
      </c>
      <c r="B32" s="347"/>
      <c r="C32" s="347"/>
      <c r="D32" s="347"/>
      <c r="E32" s="347"/>
      <c r="F32" s="348">
        <f>IF(ISBLANK(SCENARIOS_ORDERED_BY_PF_VALUE!E1)=TRUE,"",MIN(SCENARIOS_ORDERED_BY_PF_VALUE!E2:'SCENARIOS_ORDERED_BY_PF_VALUE'!E100))</f>
        <v>-26.684503637185941</v>
      </c>
      <c r="G32" s="348"/>
      <c r="H32" s="283"/>
      <c r="I32" s="345" t="str">
        <f>IF('PORTFOLIO STRESS TEST'!Q13="%scenario", "", 'PORTFOLIO STRESS TEST'!Q13)</f>
        <v>2002 Market Downturn</v>
      </c>
      <c r="J32" s="345"/>
      <c r="K32" s="345"/>
      <c r="L32" s="345"/>
      <c r="M32" s="345"/>
      <c r="N32" s="345"/>
      <c r="O32" s="356">
        <f>IF('PORTFOLIO STRESS TEST'!Q13="%scenario", "", 'PORTFOLIO STRESS TEST'!Q14)</f>
        <v>-1.7508843568673358</v>
      </c>
      <c r="P32" s="356"/>
      <c r="Q32" s="165"/>
    </row>
    <row r="33" spans="1:35" ht="11.25" customHeight="1" x14ac:dyDescent="0.25">
      <c r="A33" s="349" t="str">
        <f>IF(F33="","",INDEX(SCENARIOS_ORDERED_BY_PF_VALUE!A:A,MATCH(F33,SCENARIOS_ORDERED_BY_PF_VALUE!F:F,0)))</f>
        <v>Silver Point Capital: Silver Point Distressed Opportunity Institutional Partners + Silver Point HF</v>
      </c>
      <c r="B33" s="349"/>
      <c r="C33" s="349"/>
      <c r="D33" s="349"/>
      <c r="E33" s="349"/>
      <c r="F33" s="350">
        <f>IF(ISBLANK(SCENARIOS_ORDERED_BY_PF_VALUE!F1)=TRUE,"",MIN(SCENARIOS_ORDERED_BY_PF_VALUE!F2:'SCENARIOS_ORDERED_BY_PF_VALUE'!F100))</f>
        <v>-11.380305382180246</v>
      </c>
      <c r="G33" s="350"/>
      <c r="H33" s="163"/>
      <c r="I33" s="346" t="str">
        <f>IF('PORTFOLIO STRESS TEST'!S13="%scenario", "", 'PORTFOLIO STRESS TEST'!S13)</f>
        <v>2001 WTC Attack</v>
      </c>
      <c r="J33" s="346"/>
      <c r="K33" s="346"/>
      <c r="L33" s="346"/>
      <c r="M33" s="346"/>
      <c r="N33" s="346"/>
      <c r="O33" s="357">
        <f>IF('PORTFOLIO STRESS TEST'!S13="%scenario", "", 'PORTFOLIO STRESS TEST'!S14)</f>
        <v>-1.1625695239190361</v>
      </c>
      <c r="P33" s="357"/>
      <c r="Q33" s="165"/>
    </row>
    <row r="34" spans="1:35" ht="11.25" customHeight="1" x14ac:dyDescent="0.25">
      <c r="A34" s="347" t="str">
        <f>IF(F34="","",INDEX(SCENARIOS_ORDERED_BY_PF_VALUE!A:A,MATCH(F34,SCENARIOS_ORDERED_BY_PF_VALUE!G:G,0)))</f>
        <v>Silver Point Capital: Silver Point Distressed Opportunity Institutional Partners + Silver Point HF</v>
      </c>
      <c r="B34" s="347"/>
      <c r="C34" s="347"/>
      <c r="D34" s="347"/>
      <c r="E34" s="347"/>
      <c r="F34" s="348">
        <f>IF(ISBLANK(SCENARIOS_ORDERED_BY_PF_VALUE!G1)=TRUE,"",MIN(SCENARIOS_ORDERED_BY_PF_VALUE!G2:'SCENARIOS_ORDERED_BY_PF_VALUE'!G100))</f>
        <v>-28.416508124618026</v>
      </c>
      <c r="G34" s="348"/>
      <c r="I34" s="360" t="str">
        <f>IF('PORTFOLIO STRESS TEST'!U13="%scenario", "", 'PORTFOLIO STRESS TEST'!U13)</f>
        <v>1987 Black Monday</v>
      </c>
      <c r="J34" s="360"/>
      <c r="K34" s="360"/>
      <c r="L34" s="360"/>
      <c r="M34" s="360"/>
      <c r="N34" s="360"/>
      <c r="O34" s="351">
        <f>IF('PORTFOLIO STRESS TEST'!U13="%scenario", "", 'PORTFOLIO STRESS TEST'!U14)</f>
        <v>-0.69521190211696082</v>
      </c>
      <c r="P34" s="351"/>
      <c r="Q34" s="165"/>
    </row>
    <row r="35" spans="1:35" ht="11.25" customHeight="1" x14ac:dyDescent="0.25">
      <c r="A35" s="349" t="str">
        <f>IF(F35="","",INDEX(SCENARIOS_ORDERED_BY_PF_VALUE!A:A,MATCH(F35,SCENARIOS_ORDERED_BY_PF_VALUE!H:H,0)))</f>
        <v>PIMCO: PIMCO Commodity Alpha Fund</v>
      </c>
      <c r="B35" s="349"/>
      <c r="C35" s="349"/>
      <c r="D35" s="349"/>
      <c r="E35" s="349"/>
      <c r="F35" s="350">
        <f>IF(ISBLANK(SCENARIOS_ORDERED_BY_PF_VALUE!H1)=TRUE,"",MIN(SCENARIOS_ORDERED_BY_PF_VALUE!H2:'SCENARIOS_ORDERED_BY_PF_VALUE'!H100))</f>
        <v>-7.5970197633444698</v>
      </c>
      <c r="G35" s="350"/>
      <c r="H35" s="94"/>
      <c r="I35" s="361" t="str">
        <f>IF('PORTFOLIO STRESS TEST'!W13="%scenario", "", 'PORTFOLIO STRESS TEST'!W13)</f>
        <v>1998 Russian Crisis</v>
      </c>
      <c r="J35" s="361"/>
      <c r="K35" s="361"/>
      <c r="L35" s="361"/>
      <c r="M35" s="361"/>
      <c r="N35" s="361"/>
      <c r="O35" s="363">
        <f>IF('PORTFOLIO STRESS TEST'!W13="%scenario", "", 'PORTFOLIO STRESS TEST'!W14)</f>
        <v>-0.68043189072259702</v>
      </c>
      <c r="P35" s="363"/>
      <c r="Q35" s="165"/>
    </row>
    <row r="36" spans="1:35" customFormat="1" ht="11.25" customHeight="1" x14ac:dyDescent="0.25">
      <c r="A36" s="347" t="str">
        <f>IF(F36="","",INDEX(SCENARIOS_ORDERED_BY_PF_VALUE!A:A,MATCH(F36,SCENARIOS_ORDERED_BY_PF_VALUE!I:I,0)))</f>
        <v>PIMCO: PIMCO Commodity Alpha Fund</v>
      </c>
      <c r="B36" s="347"/>
      <c r="C36" s="347"/>
      <c r="D36" s="347"/>
      <c r="E36" s="347"/>
      <c r="F36" s="348">
        <f>IF(ISBLANK(SCENARIOS_ORDERED_BY_PF_VALUE!I1)=TRUE,"",MIN(SCENARIOS_ORDERED_BY_PF_VALUE!I2:'SCENARIOS_ORDERED_BY_PF_VALUE'!I100))</f>
        <v>-7.5670559385438514</v>
      </c>
      <c r="G36" s="348"/>
      <c r="H36" s="41"/>
      <c r="I36" s="345" t="str">
        <f>IF('PORTFOLIO STRESS TEST'!Y13="%scenario", "", 'PORTFOLIO STRESS TEST'!Y13)</f>
        <v>2008 January Crisis</v>
      </c>
      <c r="J36" s="345"/>
      <c r="K36" s="345"/>
      <c r="L36" s="345"/>
      <c r="M36" s="345"/>
      <c r="N36" s="345"/>
      <c r="O36" s="356">
        <f>IF('PORTFOLIO STRESS TEST'!Y13="%scenario", "", 'PORTFOLIO STRESS TEST'!Y14)</f>
        <v>-0.30050480784091632</v>
      </c>
      <c r="P36" s="356"/>
    </row>
    <row r="37" spans="1:35" customFormat="1" ht="11.25" customHeight="1" x14ac:dyDescent="0.25">
      <c r="A37" s="349" t="str">
        <f>IF(F37="","",INDEX(SCENARIOS_ORDERED_BY_PF_VALUE!A:A,MATCH(F37,SCENARIOS_ORDERED_BY_PF_VALUE!J:J,0)))</f>
        <v>Saba: CEF1 MN - 2.75x</v>
      </c>
      <c r="B37" s="349"/>
      <c r="C37" s="349"/>
      <c r="D37" s="349"/>
      <c r="E37" s="349"/>
      <c r="F37" s="350">
        <f>IF(ISBLANK(SCENARIOS_ORDERED_BY_PF_VALUE!J1)=TRUE,"",MIN(SCENARIOS_ORDERED_BY_PF_VALUE!J2:'SCENARIOS_ORDERED_BY_PF_VALUE'!J100))</f>
        <v>-3.8341475083106547</v>
      </c>
      <c r="G37" s="350"/>
      <c r="H37" s="94"/>
      <c r="I37" s="346" t="str">
        <f>IF('PORTFOLIO STRESS TEST'!AA13="%scenario", "", 'PORTFOLIO STRESS TEST'!AA13)</f>
        <v>2007 August Crisis</v>
      </c>
      <c r="J37" s="346"/>
      <c r="K37" s="346"/>
      <c r="L37" s="346"/>
      <c r="M37" s="346"/>
      <c r="N37" s="346"/>
      <c r="O37" s="357">
        <f>IF('PORTFOLIO STRESS TEST'!AA13="%scenario", "", 'PORTFOLIO STRESS TEST'!AA14)</f>
        <v>-2.4435815019009169E-2</v>
      </c>
      <c r="P37" s="357"/>
    </row>
    <row r="38" spans="1:35" customFormat="1" ht="11.25" customHeight="1" x14ac:dyDescent="0.25">
      <c r="A38" s="347" t="str">
        <f>IF(F38="","",INDEX(SCENARIOS_ORDERED_BY_PF_VALUE!A:A,MATCH(F38,SCENARIOS_ORDERED_BY_PF_VALUE!K:K,0)))</f>
        <v>Silver Point Capital: Silver Point Distressed Opportunity Institutional Partners + Silver Point HF</v>
      </c>
      <c r="B38" s="347"/>
      <c r="C38" s="347"/>
      <c r="D38" s="347"/>
      <c r="E38" s="347"/>
      <c r="F38" s="348">
        <f>IF(ISBLANK(SCENARIOS_ORDERED_BY_PF_VALUE!K1)=TRUE,"",MIN(SCENARIOS_ORDERED_BY_PF_VALUE!K2:'SCENARIOS_ORDERED_BY_PF_VALUE'!K100))</f>
        <v>-8.6402481033416763</v>
      </c>
      <c r="G38" s="348"/>
      <c r="H38" s="41"/>
      <c r="I38" s="360" t="str">
        <f>IF('PORTFOLIO STRESS TEST'!AC13="%scenario", "", 'PORTFOLIO STRESS TEST'!AC13)</f>
        <v>2001 Nasdaq</v>
      </c>
      <c r="J38" s="360"/>
      <c r="K38" s="360"/>
      <c r="L38" s="360"/>
      <c r="M38" s="360"/>
      <c r="N38" s="360"/>
      <c r="O38" s="351">
        <f>IF('PORTFOLIO STRESS TEST'!AC13="%scenario", "", 'PORTFOLIO STRESS TEST'!AC14)</f>
        <v>7.205590222263708E-2</v>
      </c>
      <c r="P38" s="351"/>
    </row>
    <row r="39" spans="1:35" customFormat="1" ht="11.25" customHeight="1" x14ac:dyDescent="0.25">
      <c r="A39" s="365" t="str">
        <f>IF(F39="","",INDEX(SCENARIOS_ORDERED_BY_PF_VALUE!A:A,MATCH(F39,SCENARIOS_ORDERED_BY_PF_VALUE!L:L,0)))</f>
        <v>PIMCO: PIMCO Commodity Alpha Fund</v>
      </c>
      <c r="B39" s="365"/>
      <c r="C39" s="365"/>
      <c r="D39" s="365"/>
      <c r="E39" s="365"/>
      <c r="F39" s="366">
        <f>IF(ISBLANK(SCENARIOS_ORDERED_BY_PF_VALUE!L1)=TRUE,"",MIN(SCENARIOS_ORDERED_BY_PF_VALUE!L2:'SCENARIOS_ORDERED_BY_PF_VALUE'!L100))</f>
        <v>-2.7795679690313913</v>
      </c>
      <c r="G39" s="366"/>
      <c r="H39" s="284"/>
      <c r="I39" s="361" t="str">
        <f>IF('PORTFOLIO STRESS TEST'!AE13="%scenario", "", 'PORTFOLIO STRESS TEST'!AE13)</f>
        <v>1997 - 1998 Asian Crisis</v>
      </c>
      <c r="J39" s="361"/>
      <c r="K39" s="361"/>
      <c r="L39" s="361"/>
      <c r="M39" s="361"/>
      <c r="N39" s="361"/>
      <c r="O39" s="363">
        <f>IF('PORTFOLIO STRESS TEST'!AE13="%scenario", "", 'PORTFOLIO STRESS TEST'!AE14)</f>
        <v>0.10203680349010974</v>
      </c>
      <c r="P39" s="363"/>
    </row>
    <row r="40" spans="1:35" customFormat="1" ht="11.25" customHeight="1" x14ac:dyDescent="0.25">
      <c r="A40" s="347" t="str">
        <f>IF(F40="","",INDEX(SCENARIOS_ORDERED_BY_PF_VALUE!A:A,MATCH(F40,SCENARIOS_ORDERED_BY_PF_VALUE!M:M,0)))</f>
        <v>Rokos Global Macro Fund LP: Rokos Global Macro Fund LP</v>
      </c>
      <c r="B40" s="347"/>
      <c r="C40" s="347"/>
      <c r="D40" s="347"/>
      <c r="E40" s="347"/>
      <c r="F40" s="348">
        <f>IF(ISBLANK(SCENARIOS_ORDERED_BY_PF_VALUE!M1)=TRUE,"",MIN(SCENARIOS_ORDERED_BY_PF_VALUE!M2:'SCENARIOS_ORDERED_BY_PF_VALUE'!M100))</f>
        <v>-7.6864085235347197</v>
      </c>
      <c r="G40" s="348"/>
      <c r="H40" s="283"/>
      <c r="I40" s="360" t="str">
        <f>IF('PORTFOLIO STRESS TEST'!AG13="%scenario", "", 'PORTFOLIO STRESS TEST'!AG13)</f>
        <v>1990 Kuwait Invasion</v>
      </c>
      <c r="J40" s="360"/>
      <c r="K40" s="360"/>
      <c r="L40" s="360"/>
      <c r="M40" s="360"/>
      <c r="N40" s="360"/>
      <c r="O40" s="351">
        <f>IF('PORTFOLIO STRESS TEST'!AG13="%scenario", "", 'PORTFOLIO STRESS TEST'!AG14)</f>
        <v>0.2926616784079466</v>
      </c>
      <c r="P40" s="351"/>
    </row>
    <row r="41" spans="1:35" customFormat="1" ht="11.25" customHeight="1" x14ac:dyDescent="0.25">
      <c r="A41" s="365" t="str">
        <f>IF(F41="","",INDEX(SCENARIOS_ORDERED_BY_PF_VALUE!A:A,MATCH(F41,SCENARIOS_ORDERED_BY_PF_VALUE!N:N,0)))</f>
        <v>Silver Point Capital: Silver Point Distressed Opportunity Institutional Partners + Silver Point HF</v>
      </c>
      <c r="B41" s="365"/>
      <c r="C41" s="365"/>
      <c r="D41" s="365"/>
      <c r="E41" s="365"/>
      <c r="F41" s="366">
        <f>IF(ISBLANK(SCENARIOS_ORDERED_BY_PF_VALUE!N1)=TRUE,"",MIN(SCENARIOS_ORDERED_BY_PF_VALUE!N2:'SCENARIOS_ORDERED_BY_PF_VALUE'!N100))</f>
        <v>-2.8024160161237313</v>
      </c>
      <c r="G41" s="366"/>
      <c r="H41" s="282"/>
      <c r="I41" s="362" t="str">
        <f>IF('PORTFOLIO STRESS TEST'!AI13="%scenario", "", 'PORTFOLIO STRESS TEST'!AI13)</f>
        <v>2005 Katrina</v>
      </c>
      <c r="J41" s="362"/>
      <c r="K41" s="362"/>
      <c r="L41" s="362"/>
      <c r="M41" s="362"/>
      <c r="N41" s="362"/>
      <c r="O41" s="364">
        <f>IF('PORTFOLIO STRESS TEST'!AI13="%scenario", "", 'PORTFOLIO STRESS TEST'!AI14)</f>
        <v>1.1043835732221836</v>
      </c>
      <c r="P41" s="364"/>
    </row>
    <row r="42" spans="1:35" customFormat="1" ht="11.25" customHeight="1" x14ac:dyDescent="0.25">
      <c r="A42" s="422"/>
      <c r="B42" s="422"/>
      <c r="C42" s="422"/>
      <c r="D42" s="422"/>
      <c r="E42" s="422"/>
      <c r="F42" s="422"/>
    </row>
    <row r="43" spans="1:35" customFormat="1" ht="11.25" customHeight="1" x14ac:dyDescent="0.25"/>
    <row r="44" spans="1:35" customFormat="1" ht="11.25" customHeight="1" x14ac:dyDescent="0.25"/>
    <row r="45" spans="1:35" ht="11.25" customHeight="1" x14ac:dyDescent="0.25">
      <c r="A45" s="395" t="s">
        <v>198</v>
      </c>
      <c r="B45" s="395"/>
      <c r="C45" s="395"/>
      <c r="D45" s="395"/>
      <c r="E45" s="395"/>
      <c r="F45" s="395"/>
      <c r="G45" s="395"/>
      <c r="H45" s="395"/>
      <c r="I45" s="395"/>
      <c r="J45" s="395"/>
      <c r="K45" s="395"/>
      <c r="L45" s="395"/>
      <c r="M45" s="395"/>
      <c r="N45" s="395"/>
      <c r="O45" s="395"/>
      <c r="P45" s="395"/>
      <c r="Q45" s="395"/>
      <c r="R45" s="395"/>
      <c r="S45" s="395"/>
      <c r="T45" s="395"/>
      <c r="U45" s="395"/>
      <c r="V45" s="395"/>
      <c r="W45" s="395"/>
      <c r="X45" s="395"/>
      <c r="Y45" s="395"/>
      <c r="Z45" s="395"/>
      <c r="AA45" s="395"/>
      <c r="AB45" s="395"/>
      <c r="AC45" s="395"/>
      <c r="AD45" s="395"/>
      <c r="AE45" s="395"/>
      <c r="AF45" s="395"/>
      <c r="AG45" s="395"/>
      <c r="AH45" s="395"/>
      <c r="AI45" s="395"/>
    </row>
    <row r="46" spans="1:35" ht="11.25" customHeight="1" x14ac:dyDescent="0.25">
      <c r="A46" s="102"/>
      <c r="B46" s="96"/>
      <c r="C46" s="96"/>
      <c r="D46" s="96"/>
      <c r="E46" s="96"/>
      <c r="F46" s="96"/>
      <c r="G46" s="96"/>
      <c r="H46" s="96"/>
      <c r="I46" s="96"/>
      <c r="J46" s="96"/>
      <c r="K46" s="96"/>
      <c r="L46" s="96"/>
      <c r="M46" s="96"/>
      <c r="N46" s="103"/>
      <c r="O46" s="103"/>
      <c r="P46" s="103"/>
      <c r="Q46" s="103"/>
      <c r="R46" s="103"/>
      <c r="S46" s="103"/>
      <c r="T46" s="103"/>
      <c r="U46" s="103"/>
      <c r="V46" s="103"/>
      <c r="W46" s="103"/>
      <c r="X46" s="103"/>
      <c r="Y46" s="96"/>
      <c r="Z46" s="96"/>
      <c r="AA46" s="96"/>
      <c r="AB46" s="96"/>
      <c r="AC46" s="96"/>
      <c r="AD46" s="96"/>
      <c r="AE46" s="96"/>
      <c r="AF46" s="96"/>
      <c r="AG46" s="96"/>
      <c r="AH46" s="96"/>
      <c r="AI46" s="96"/>
    </row>
    <row r="47" spans="1:35" ht="11.25" customHeight="1" x14ac:dyDescent="0.25">
      <c r="A47" s="383" t="s">
        <v>237</v>
      </c>
      <c r="B47" s="339"/>
      <c r="C47" s="339"/>
      <c r="D47" s="339"/>
      <c r="E47" s="339"/>
      <c r="F47" s="339"/>
      <c r="G47" s="339"/>
      <c r="H47" s="339"/>
      <c r="I47" s="339"/>
      <c r="J47" s="339"/>
      <c r="K47" s="339"/>
      <c r="N47" s="416" t="s">
        <v>49</v>
      </c>
      <c r="O47" s="417"/>
      <c r="P47" s="417"/>
      <c r="Q47" s="417"/>
      <c r="R47" s="417"/>
      <c r="S47" s="417"/>
      <c r="T47" s="417"/>
      <c r="U47" s="417"/>
      <c r="V47" s="417"/>
      <c r="W47" s="417"/>
      <c r="X47" s="417"/>
      <c r="AA47" s="418" t="s">
        <v>48</v>
      </c>
      <c r="AB47" s="419"/>
      <c r="AC47" s="419"/>
      <c r="AD47" s="419"/>
      <c r="AE47" s="419"/>
      <c r="AF47" s="419"/>
      <c r="AG47" s="419"/>
      <c r="AH47" s="419"/>
      <c r="AI47" s="419"/>
    </row>
    <row r="48" spans="1:35" ht="21" customHeight="1" thickBot="1" x14ac:dyDescent="0.3">
      <c r="A48" s="105"/>
      <c r="B48" s="105"/>
      <c r="C48" s="105"/>
      <c r="D48" s="105"/>
      <c r="E48" s="105"/>
      <c r="F48" s="105"/>
      <c r="G48" s="106"/>
      <c r="H48" s="285"/>
      <c r="I48" s="107"/>
      <c r="J48" s="437" t="s">
        <v>3</v>
      </c>
      <c r="K48" s="438"/>
      <c r="L48" s="114"/>
      <c r="M48" s="114"/>
      <c r="N48" s="404" t="s">
        <v>175</v>
      </c>
      <c r="O48" s="405"/>
      <c r="P48" s="404" t="s">
        <v>176</v>
      </c>
      <c r="Q48" s="405"/>
      <c r="R48" s="404" t="s">
        <v>101</v>
      </c>
      <c r="S48" s="405"/>
      <c r="T48" s="404" t="s">
        <v>102</v>
      </c>
      <c r="U48" s="405"/>
      <c r="V48" s="143"/>
      <c r="W48" s="143"/>
      <c r="X48" s="143"/>
      <c r="Y48" s="114"/>
      <c r="Z48" s="114"/>
      <c r="AA48" s="406" t="s">
        <v>177</v>
      </c>
      <c r="AB48" s="407"/>
      <c r="AC48" s="408" t="s">
        <v>178</v>
      </c>
      <c r="AD48" s="409"/>
      <c r="AE48" s="388" t="s">
        <v>103</v>
      </c>
      <c r="AF48" s="389"/>
      <c r="AG48" s="48"/>
      <c r="AH48" s="48"/>
      <c r="AI48" s="48"/>
    </row>
    <row r="49" spans="1:35" ht="11.25" customHeight="1" x14ac:dyDescent="0.25">
      <c r="A49" s="432" t="str">
        <f>IF(ISBLANK(SUMMARY_DATA!A2)=TRUE,"",SUMMARY_DATA!A2)</f>
        <v>Silver Point Capital: Silver Point Distressed Opportunity Institutional Partners + Silver Point HF</v>
      </c>
      <c r="B49" s="432"/>
      <c r="C49" s="432"/>
      <c r="D49" s="432"/>
      <c r="E49" s="432"/>
      <c r="F49" s="432"/>
      <c r="G49" s="432"/>
      <c r="H49" s="432"/>
      <c r="I49" s="432"/>
      <c r="J49" s="366">
        <f>IF(ISBLANK(SUMMARY_DATA!B2)=TRUE,"",SUMMARY_DATA!B2)</f>
        <v>0.77463136314202918</v>
      </c>
      <c r="K49" s="366"/>
      <c r="N49" s="366">
        <f>IF(ISBLANK(SUMMARY_DATA!C2)=TRUE,"",SUMMARY_DATA!C2)</f>
        <v>7.5420822482864773</v>
      </c>
      <c r="O49" s="366"/>
      <c r="P49" s="366">
        <f>IF(ISBLANK(SUMMARY_DATA!D2)=TRUE,"",SUMMARY_DATA!D2)</f>
        <v>2.0514521582783924</v>
      </c>
      <c r="Q49" s="366"/>
      <c r="R49" s="366">
        <f>IF(ISBLANK(SUMMARY_DATA!E2)=TRUE,"",SUMMARY_DATA!E2)</f>
        <v>3.4079492100161675</v>
      </c>
      <c r="S49" s="366"/>
      <c r="T49" s="410">
        <f>IF(ISBLANK(SUMMARY_DATA!F2)=TRUE,"",SUMMARY_DATA!F2)</f>
        <v>0.96608253951645262</v>
      </c>
      <c r="U49" s="410"/>
      <c r="V49" s="276"/>
      <c r="W49" s="276"/>
      <c r="X49" s="276"/>
      <c r="AA49" s="371">
        <f>IF(ISBLANK(SUMMARY_DATA!G2)=TRUE,"",SUMMARY_DATA!G2)</f>
        <v>8.5089925743591461</v>
      </c>
      <c r="AB49" s="371"/>
      <c r="AC49" s="357">
        <f>IF(ISBLANK(SUMMARY_DATA!H2)=TRUE,"",SUMMARY_DATA!H2)</f>
        <v>6.4643859674125403</v>
      </c>
      <c r="AD49" s="357"/>
      <c r="AE49" s="357">
        <f>IF(ISBLANK(SUMMARY_DATA!I2)=TRUE,"",SUMMARY_DATA!I2)</f>
        <v>3.3037878077405223</v>
      </c>
      <c r="AF49" s="357"/>
      <c r="AG49" s="49"/>
      <c r="AH49" s="49"/>
      <c r="AI49" s="49"/>
    </row>
    <row r="50" spans="1:35" ht="11.25" customHeight="1" x14ac:dyDescent="0.25">
      <c r="A50" s="433" t="str">
        <f>IF(ISBLANK(SUMMARY_DATA!A3)=TRUE,"",SUMMARY_DATA!A3)</f>
        <v>LibreMax Partners LP: LibreMax Partners LP</v>
      </c>
      <c r="B50" s="433"/>
      <c r="C50" s="433"/>
      <c r="D50" s="433"/>
      <c r="E50" s="433"/>
      <c r="F50" s="433"/>
      <c r="G50" s="433"/>
      <c r="H50" s="433"/>
      <c r="I50" s="433"/>
      <c r="J50" s="348">
        <f>IF(ISBLANK(SUMMARY_DATA!B3)=TRUE,"",SUMMARY_DATA!B3)</f>
        <v>2.451922259654467</v>
      </c>
      <c r="K50" s="348"/>
      <c r="N50" s="348">
        <f>IF(ISBLANK(SUMMARY_DATA!C3)=TRUE,"",SUMMARY_DATA!C3)</f>
        <v>12.799680806506162</v>
      </c>
      <c r="O50" s="348"/>
      <c r="P50" s="348">
        <f>IF(ISBLANK(SUMMARY_DATA!D3)=TRUE,"",SUMMARY_DATA!D3)</f>
        <v>3.1550345274786862</v>
      </c>
      <c r="Q50" s="348"/>
      <c r="R50" s="348">
        <f>IF(ISBLANK(SUMMARY_DATA!E3)=TRUE,"",SUMMARY_DATA!E3)</f>
        <v>5.7525972069284963</v>
      </c>
      <c r="S50" s="348"/>
      <c r="T50" s="411">
        <f>IF(ISBLANK(SUMMARY_DATA!F3)=TRUE,"",SUMMARY_DATA!F3)</f>
        <v>1.3572665803187773</v>
      </c>
      <c r="U50" s="411"/>
      <c r="V50" s="277"/>
      <c r="W50" s="277"/>
      <c r="X50" s="277"/>
      <c r="AA50" s="356">
        <f>IF(ISBLANK(SUMMARY_DATA!G3)=TRUE,"",SUMMARY_DATA!G3)</f>
        <v>4.5622008412224346</v>
      </c>
      <c r="AB50" s="356"/>
      <c r="AC50" s="356">
        <f>IF(ISBLANK(SUMMARY_DATA!H3)=TRUE,"",SUMMARY_DATA!H3)</f>
        <v>3.1409309007457722</v>
      </c>
      <c r="AD50" s="356"/>
      <c r="AE50" s="356">
        <f>IF(ISBLANK(SUMMARY_DATA!I3)=TRUE,"",SUMMARY_DATA!I3)</f>
        <v>1.7618599311303809</v>
      </c>
      <c r="AF50" s="356"/>
      <c r="AG50" s="50"/>
      <c r="AH50" s="50"/>
      <c r="AI50" s="50"/>
    </row>
    <row r="51" spans="1:35" ht="11.25" customHeight="1" x14ac:dyDescent="0.25">
      <c r="A51" s="434" t="str">
        <f>IF(ISBLANK(SUMMARY_DATA!A4)=TRUE,"",SUMMARY_DATA!A4)</f>
        <v>PIMCO: PIMCO Commodity Alpha Fund</v>
      </c>
      <c r="B51" s="434"/>
      <c r="C51" s="434"/>
      <c r="D51" s="434"/>
      <c r="E51" s="434"/>
      <c r="F51" s="434"/>
      <c r="G51" s="434"/>
      <c r="H51" s="434"/>
      <c r="I51" s="434"/>
      <c r="J51" s="350">
        <f>IF(ISBLANK(SUMMARY_DATA!B4)=TRUE,"",SUMMARY_DATA!B4)</f>
        <v>0.86866099113325401</v>
      </c>
      <c r="K51" s="350"/>
      <c r="N51" s="350">
        <f>IF(ISBLANK(SUMMARY_DATA!C4)=TRUE,"",SUMMARY_DATA!C4)</f>
        <v>3.9419553973865011</v>
      </c>
      <c r="O51" s="350"/>
      <c r="P51" s="350">
        <f>IF(ISBLANK(SUMMARY_DATA!D4)=TRUE,"",SUMMARY_DATA!D4)</f>
        <v>0.76642304776837422</v>
      </c>
      <c r="Q51" s="350"/>
      <c r="R51" s="350">
        <f>IF(ISBLANK(SUMMARY_DATA!E4)=TRUE,"",SUMMARY_DATA!E4)</f>
        <v>1.6024930208915003</v>
      </c>
      <c r="S51" s="350"/>
      <c r="T51" s="350">
        <f>IF(ISBLANK(SUMMARY_DATA!F4)=TRUE,"",SUMMARY_DATA!F4)</f>
        <v>0.44874509210608371</v>
      </c>
      <c r="U51" s="350"/>
      <c r="V51" s="278"/>
      <c r="W51" s="278"/>
      <c r="X51" s="278"/>
      <c r="AA51" s="357">
        <f>IF(ISBLANK(SUMMARY_DATA!G4)=TRUE,"",SUMMARY_DATA!G4)</f>
        <v>3.9659144711266996</v>
      </c>
      <c r="AB51" s="357"/>
      <c r="AC51" s="357">
        <f>IF(ISBLANK(SUMMARY_DATA!H4)=TRUE,"",SUMMARY_DATA!H4)</f>
        <v>2.1536702027843031</v>
      </c>
      <c r="AD51" s="357"/>
      <c r="AE51" s="357">
        <f>IF(ISBLANK(SUMMARY_DATA!I4)=TRUE,"",SUMMARY_DATA!I4)</f>
        <v>1.3853513642716708</v>
      </c>
      <c r="AF51" s="357"/>
      <c r="AG51" s="49"/>
      <c r="AH51" s="49"/>
      <c r="AI51" s="49"/>
    </row>
    <row r="52" spans="1:35" ht="11.25" customHeight="1" x14ac:dyDescent="0.25">
      <c r="A52" s="435" t="str">
        <f>IF(ISBLANK(SUMMARY_DATA!A5)=TRUE,"",SUMMARY_DATA!A5)</f>
        <v>Graham Absolute Return Ltd: Graham Absolute Return Ltd</v>
      </c>
      <c r="B52" s="435"/>
      <c r="C52" s="435"/>
      <c r="D52" s="435"/>
      <c r="E52" s="435"/>
      <c r="F52" s="435"/>
      <c r="G52" s="435"/>
      <c r="H52" s="435"/>
      <c r="I52" s="435"/>
      <c r="J52" s="348">
        <f>IF(ISBLANK(SUMMARY_DATA!B5)=TRUE,"",SUMMARY_DATA!B5)</f>
        <v>2.9539219988021599</v>
      </c>
      <c r="K52" s="348"/>
      <c r="N52" s="348">
        <f>IF(ISBLANK(SUMMARY_DATA!C5)=TRUE,"",SUMMARY_DATA!C5)</f>
        <v>12.454063299520126</v>
      </c>
      <c r="O52" s="348"/>
      <c r="P52" s="348">
        <f>IF(ISBLANK(SUMMARY_DATA!D5)=TRUE,"",SUMMARY_DATA!D5)</f>
        <v>4.2246702460988628</v>
      </c>
      <c r="Q52" s="348"/>
      <c r="R52" s="348">
        <f>IF(ISBLANK(SUMMARY_DATA!E5)=TRUE,"",SUMMARY_DATA!E5)</f>
        <v>6.458378267448146</v>
      </c>
      <c r="S52" s="348"/>
      <c r="T52" s="348">
        <f>IF(ISBLANK(SUMMARY_DATA!F5)=TRUE,"",SUMMARY_DATA!F5)</f>
        <v>2.3210596936177375</v>
      </c>
      <c r="U52" s="348"/>
      <c r="V52" s="279"/>
      <c r="W52" s="279"/>
      <c r="X52" s="279"/>
      <c r="AA52" s="356">
        <f>IF(ISBLANK(SUMMARY_DATA!G5)=TRUE,"",SUMMARY_DATA!G5)</f>
        <v>3.6846310090976009</v>
      </c>
      <c r="AB52" s="356"/>
      <c r="AC52" s="356">
        <f>IF(ISBLANK(SUMMARY_DATA!H5)=TRUE,"",SUMMARY_DATA!H5)</f>
        <v>3.4910394384723138</v>
      </c>
      <c r="AD52" s="356"/>
      <c r="AE52" s="356">
        <f>IF(ISBLANK(SUMMARY_DATA!I5)=TRUE,"",SUMMARY_DATA!I5)</f>
        <v>1.6418692303993967</v>
      </c>
      <c r="AF52" s="356"/>
      <c r="AG52" s="50"/>
      <c r="AH52" s="50"/>
      <c r="AI52" s="50"/>
    </row>
    <row r="53" spans="1:35" ht="11.25" customHeight="1" x14ac:dyDescent="0.25">
      <c r="A53" s="436" t="str">
        <f>IF(ISBLANK(SUMMARY_DATA!A6)=TRUE,"",SUMMARY_DATA!A6)</f>
        <v>Saba: CEF1 MN - 2.75x</v>
      </c>
      <c r="B53" s="436"/>
      <c r="C53" s="436"/>
      <c r="D53" s="436"/>
      <c r="E53" s="436"/>
      <c r="F53" s="436"/>
      <c r="G53" s="436"/>
      <c r="H53" s="436"/>
      <c r="I53" s="436"/>
      <c r="J53" s="350">
        <f>IF(ISBLANK(SUMMARY_DATA!B6)=TRUE,"",SUMMARY_DATA!B6)</f>
        <v>1.2214833755816248</v>
      </c>
      <c r="K53" s="350"/>
      <c r="N53" s="350">
        <f>IF(ISBLANK(SUMMARY_DATA!C6)=TRUE,"",SUMMARY_DATA!C6)</f>
        <v>4.6594918081542032</v>
      </c>
      <c r="O53" s="350"/>
      <c r="P53" s="350">
        <f>IF(ISBLANK(SUMMARY_DATA!D6)=TRUE,"",SUMMARY_DATA!D6)</f>
        <v>1.867824396422195</v>
      </c>
      <c r="Q53" s="350"/>
      <c r="R53" s="350">
        <f>IF(ISBLANK(SUMMARY_DATA!E6)=TRUE,"",SUMMARY_DATA!E6)</f>
        <v>2.611005955981776</v>
      </c>
      <c r="S53" s="350"/>
      <c r="T53" s="366">
        <f>IF(ISBLANK(SUMMARY_DATA!F6)=TRUE,"",SUMMARY_DATA!F6)</f>
        <v>1.7920099865033443</v>
      </c>
      <c r="U53" s="412"/>
      <c r="V53" s="280"/>
      <c r="W53" s="280"/>
      <c r="X53" s="280"/>
      <c r="AA53" s="357">
        <f>IF(ISBLANK(SUMMARY_DATA!G6)=TRUE,"",SUMMARY_DATA!G6)</f>
        <v>3.3337493887132088</v>
      </c>
      <c r="AB53" s="357"/>
      <c r="AC53" s="357">
        <f>IF(ISBLANK(SUMMARY_DATA!H6)=TRUE,"",SUMMARY_DATA!H6)</f>
        <v>3.7325827549074546</v>
      </c>
      <c r="AD53" s="357"/>
      <c r="AE53" s="357">
        <f>IF(ISBLANK(SUMMARY_DATA!I6)=TRUE,"",SUMMARY_DATA!I6)</f>
        <v>1.6052194414074674</v>
      </c>
      <c r="AF53" s="357"/>
      <c r="AG53" s="49"/>
      <c r="AH53" s="49"/>
      <c r="AI53" s="49"/>
    </row>
    <row r="54" spans="1:35" ht="6.75" customHeight="1" x14ac:dyDescent="0.25">
      <c r="A54" s="128"/>
      <c r="B54" s="128"/>
      <c r="C54" s="128"/>
      <c r="D54" s="128"/>
      <c r="E54" s="128"/>
      <c r="F54" s="128"/>
      <c r="G54" s="129"/>
      <c r="H54" s="130"/>
      <c r="I54" s="131"/>
      <c r="J54" s="292"/>
      <c r="K54" s="292"/>
      <c r="N54" s="293"/>
      <c r="O54" s="293"/>
      <c r="P54" s="293"/>
      <c r="Q54" s="293"/>
      <c r="R54" s="293"/>
      <c r="S54" s="293"/>
      <c r="T54" s="293"/>
      <c r="U54" s="294"/>
      <c r="V54" s="281"/>
      <c r="W54" s="281"/>
      <c r="X54" s="281"/>
      <c r="AA54" s="133"/>
      <c r="AB54" s="133"/>
      <c r="AC54" s="133"/>
      <c r="AD54" s="133"/>
      <c r="AE54" s="133"/>
      <c r="AF54" s="133"/>
      <c r="AG54" s="87"/>
      <c r="AH54" s="87"/>
      <c r="AI54" s="87"/>
    </row>
    <row r="55" spans="1:35" ht="11.25" customHeight="1" x14ac:dyDescent="0.25">
      <c r="A55" s="439" t="s">
        <v>47</v>
      </c>
      <c r="B55" s="439"/>
      <c r="C55" s="439"/>
      <c r="D55" s="439"/>
      <c r="E55" s="439"/>
      <c r="F55" s="439"/>
      <c r="G55" s="439"/>
      <c r="H55" s="439"/>
      <c r="I55" s="439"/>
      <c r="J55" s="414">
        <f>SUM(J49:J53)</f>
        <v>8.2706199883135358</v>
      </c>
      <c r="K55" s="414"/>
      <c r="N55" s="414">
        <f>SUM(N49:N53)</f>
        <v>41.397273559853467</v>
      </c>
      <c r="O55" s="414"/>
      <c r="P55" s="414">
        <f>SUM(P49:P53)</f>
        <v>12.06540437604651</v>
      </c>
      <c r="Q55" s="414"/>
      <c r="R55" s="414">
        <f>SUM(R49:R53)</f>
        <v>19.832423661266084</v>
      </c>
      <c r="S55" s="414"/>
      <c r="T55" s="414">
        <f>SUM(T49:T53)</f>
        <v>6.885163892062395</v>
      </c>
      <c r="U55" s="414"/>
      <c r="V55" s="86"/>
      <c r="W55" s="86"/>
      <c r="X55" s="86"/>
      <c r="AA55" s="413"/>
      <c r="AB55" s="413"/>
      <c r="AC55" s="413"/>
      <c r="AD55" s="413"/>
      <c r="AE55" s="413"/>
      <c r="AF55" s="413"/>
      <c r="AG55" s="86"/>
      <c r="AH55" s="86"/>
      <c r="AI55" s="86"/>
    </row>
    <row r="56" spans="1:35" ht="6.75" customHeight="1" x14ac:dyDescent="0.25">
      <c r="A56" s="51"/>
      <c r="B56" s="51"/>
      <c r="C56" s="51"/>
      <c r="D56" s="51"/>
      <c r="E56" s="51"/>
      <c r="F56" s="51"/>
      <c r="G56" s="51"/>
      <c r="H56" s="104"/>
    </row>
    <row r="57" spans="1:35" ht="11.25" customHeight="1" x14ac:dyDescent="0.25">
      <c r="A57" s="383" t="s">
        <v>238</v>
      </c>
      <c r="B57" s="339"/>
      <c r="C57" s="339"/>
      <c r="D57" s="339"/>
      <c r="E57" s="339"/>
      <c r="F57" s="339"/>
      <c r="G57" s="339"/>
      <c r="H57" s="339"/>
      <c r="I57" s="339"/>
      <c r="J57" s="339"/>
      <c r="K57" s="339"/>
      <c r="N57" s="420" t="s">
        <v>49</v>
      </c>
      <c r="O57" s="421"/>
      <c r="P57" s="421"/>
      <c r="Q57" s="421"/>
      <c r="R57" s="421"/>
      <c r="S57" s="421"/>
      <c r="T57" s="421"/>
      <c r="U57" s="421"/>
      <c r="V57" s="421"/>
      <c r="W57" s="421"/>
      <c r="X57" s="421"/>
      <c r="AA57" s="420" t="s">
        <v>48</v>
      </c>
      <c r="AB57" s="421"/>
      <c r="AC57" s="421"/>
      <c r="AD57" s="421"/>
      <c r="AE57" s="421"/>
      <c r="AF57" s="421"/>
      <c r="AG57" s="421"/>
      <c r="AH57" s="421"/>
      <c r="AI57" s="421"/>
    </row>
    <row r="58" spans="1:35" ht="17.25" customHeight="1" thickBot="1" x14ac:dyDescent="0.3">
      <c r="A58" s="105"/>
      <c r="B58" s="105"/>
      <c r="C58" s="105"/>
      <c r="D58" s="105"/>
      <c r="E58" s="105"/>
      <c r="F58" s="105"/>
      <c r="G58" s="107"/>
      <c r="H58" s="286"/>
      <c r="I58" s="106"/>
      <c r="J58" s="437" t="s">
        <v>3</v>
      </c>
      <c r="K58" s="438"/>
      <c r="L58" s="114"/>
      <c r="M58" s="114"/>
      <c r="N58" s="404" t="s">
        <v>175</v>
      </c>
      <c r="O58" s="405"/>
      <c r="P58" s="404" t="s">
        <v>176</v>
      </c>
      <c r="Q58" s="405"/>
      <c r="R58" s="404" t="s">
        <v>101</v>
      </c>
      <c r="S58" s="405"/>
      <c r="T58" s="404" t="s">
        <v>102</v>
      </c>
      <c r="U58" s="405"/>
      <c r="V58" s="143"/>
      <c r="W58" s="143"/>
      <c r="X58" s="143"/>
      <c r="Y58" s="114"/>
      <c r="Z58" s="114"/>
      <c r="AA58" s="406" t="s">
        <v>177</v>
      </c>
      <c r="AB58" s="407"/>
      <c r="AC58" s="408" t="s">
        <v>178</v>
      </c>
      <c r="AD58" s="409"/>
      <c r="AE58" s="388" t="s">
        <v>103</v>
      </c>
      <c r="AF58" s="389"/>
      <c r="AG58" s="144"/>
      <c r="AH58" s="144"/>
      <c r="AI58" s="144"/>
    </row>
    <row r="59" spans="1:35" ht="11.25" customHeight="1" x14ac:dyDescent="0.25">
      <c r="A59" s="423" t="str">
        <f>IF(ISBLANK(SUMMARY_DATA!A9)=TRUE,"",SUMMARY_DATA!A9)</f>
        <v>DYAL: DYAL II - Aksia</v>
      </c>
      <c r="B59" s="424"/>
      <c r="C59" s="424"/>
      <c r="D59" s="424"/>
      <c r="E59" s="424"/>
      <c r="F59" s="424"/>
      <c r="G59" s="424"/>
      <c r="H59" s="424"/>
      <c r="I59" s="424"/>
      <c r="J59" s="350">
        <f>IF(ISBLANK(SUMMARY_DATA!B9)=TRUE,"",SUMMARY_DATA!B9)</f>
        <v>1.9130169420027179</v>
      </c>
      <c r="K59" s="350"/>
      <c r="L59" s="125"/>
      <c r="M59" s="125"/>
      <c r="N59" s="350">
        <f>IF(ISBLANK(SUMMARY_DATA!C9)=TRUE,"",SUMMARY_DATA!C9)</f>
        <v>-4.9577198765206525</v>
      </c>
      <c r="O59" s="350"/>
      <c r="P59" s="350">
        <f>IF(ISBLANK(SUMMARY_DATA!D9)=TRUE,"",SUMMARY_DATA!D9)</f>
        <v>2.6406144756086971</v>
      </c>
      <c r="Q59" s="350"/>
      <c r="R59" s="350">
        <f>IF(ISBLANK(SUMMARY_DATA!E9)=TRUE,"",SUMMARY_DATA!E9)</f>
        <v>0.51031425781855022</v>
      </c>
      <c r="S59" s="350"/>
      <c r="T59" s="350">
        <f>IF(ISBLANK(SUMMARY_DATA!F9)=TRUE,"",SUMMARY_DATA!F9)</f>
        <v>2.6393618840441597</v>
      </c>
      <c r="U59" s="350"/>
      <c r="V59" s="137"/>
      <c r="W59" s="137"/>
      <c r="X59" s="137"/>
      <c r="Y59" s="125"/>
      <c r="Z59" s="125"/>
      <c r="AA59" s="371">
        <f>IF(ISBLANK(SUMMARY_DATA!G9)=TRUE,"",SUMMARY_DATA!G9)</f>
        <v>-2.264879627312316</v>
      </c>
      <c r="AB59" s="371"/>
      <c r="AC59" s="357">
        <f>IF(ISBLANK(SUMMARY_DATA!H9)=TRUE,"",SUMMARY_DATA!H9)</f>
        <v>3.3693579049059874</v>
      </c>
      <c r="AD59" s="357"/>
      <c r="AE59" s="357">
        <f>IF(ISBLANK(SUMMARY_DATA!I9)=TRUE,"",SUMMARY_DATA!I9)</f>
        <v>0.20032400543548382</v>
      </c>
      <c r="AF59" s="357"/>
      <c r="AG59" s="134"/>
      <c r="AH59" s="134"/>
      <c r="AI59" s="134"/>
    </row>
    <row r="60" spans="1:35" ht="11.25" customHeight="1" x14ac:dyDescent="0.25">
      <c r="A60" s="425" t="str">
        <f>IF(ISBLANK(SUMMARY_DATA!A10)=TRUE,"",SUMMARY_DATA!A10)</f>
        <v>LibreMax CLO: LibreMax CLO</v>
      </c>
      <c r="B60" s="426"/>
      <c r="C60" s="426"/>
      <c r="D60" s="426"/>
      <c r="E60" s="426"/>
      <c r="F60" s="426"/>
      <c r="G60" s="426"/>
      <c r="H60" s="426"/>
      <c r="I60" s="426"/>
      <c r="J60" s="348">
        <f>IF(ISBLANK(SUMMARY_DATA!B10)=TRUE,"",SUMMARY_DATA!B10)</f>
        <v>2.0217776167760064</v>
      </c>
      <c r="K60" s="348"/>
      <c r="L60" s="125"/>
      <c r="M60" s="125"/>
      <c r="N60" s="415">
        <f>IF(ISBLANK(SUMMARY_DATA!C10)=TRUE,"",SUMMARY_DATA!C10)</f>
        <v>-1.5395183276857445</v>
      </c>
      <c r="O60" s="415"/>
      <c r="P60" s="415">
        <f>IF(ISBLANK(SUMMARY_DATA!D10)=TRUE,"",SUMMARY_DATA!D10)</f>
        <v>2.8637600861786409E-2</v>
      </c>
      <c r="Q60" s="415"/>
      <c r="R60" s="415">
        <f>IF(ISBLANK(SUMMARY_DATA!E10)=TRUE,"",SUMMARY_DATA!E10)</f>
        <v>-0.37425994964682785</v>
      </c>
      <c r="S60" s="415"/>
      <c r="T60" s="415">
        <f>IF(ISBLANK(SUMMARY_DATA!F10)=TRUE,"",SUMMARY_DATA!F10)</f>
        <v>0.73649478675554592</v>
      </c>
      <c r="U60" s="415"/>
      <c r="V60" s="135"/>
      <c r="W60" s="135"/>
      <c r="X60" s="135"/>
      <c r="Y60" s="125"/>
      <c r="Z60" s="125"/>
      <c r="AA60" s="356">
        <f>IF(ISBLANK(SUMMARY_DATA!G10)=TRUE,"",SUMMARY_DATA!G10)</f>
        <v>-0.66547759197340295</v>
      </c>
      <c r="AB60" s="356"/>
      <c r="AC60" s="356">
        <f>IF(ISBLANK(SUMMARY_DATA!H10)=TRUE,"",SUMMARY_DATA!H10)</f>
        <v>3.4575160902893518E-2</v>
      </c>
      <c r="AD60" s="356"/>
      <c r="AE60" s="356">
        <f>IF(ISBLANK(SUMMARY_DATA!I10)=TRUE,"",SUMMARY_DATA!I10)</f>
        <v>-0.13901257234755304</v>
      </c>
      <c r="AF60" s="356"/>
      <c r="AG60" s="136"/>
      <c r="AH60" s="136"/>
      <c r="AI60" s="136"/>
    </row>
    <row r="61" spans="1:35" ht="11.25" customHeight="1" x14ac:dyDescent="0.25">
      <c r="A61" s="423" t="str">
        <f>IF(ISBLANK(SUMMARY_DATA!A11)=TRUE,"",SUMMARY_DATA!A11)</f>
        <v>DE Shaw Composite Fund LLC: DE Shaw Composite Fund LLC</v>
      </c>
      <c r="B61" s="424"/>
      <c r="C61" s="424"/>
      <c r="D61" s="424"/>
      <c r="E61" s="424"/>
      <c r="F61" s="424"/>
      <c r="G61" s="424"/>
      <c r="H61" s="424"/>
      <c r="I61" s="424"/>
      <c r="J61" s="350">
        <f>IF(ISBLANK(SUMMARY_DATA!B11)=TRUE,"",SUMMARY_DATA!B11)</f>
        <v>9.3802814854689185</v>
      </c>
      <c r="K61" s="350"/>
      <c r="L61" s="125"/>
      <c r="M61" s="125"/>
      <c r="N61" s="350">
        <f>IF(ISBLANK(SUMMARY_DATA!C11)=TRUE,"",SUMMARY_DATA!C11)</f>
        <v>-7.0757864472449414</v>
      </c>
      <c r="O61" s="350"/>
      <c r="P61" s="350">
        <f>IF(ISBLANK(SUMMARY_DATA!D11)=TRUE,"",SUMMARY_DATA!D11)</f>
        <v>9.7672503944406657</v>
      </c>
      <c r="Q61" s="350"/>
      <c r="R61" s="350">
        <f>IF(ISBLANK(SUMMARY_DATA!E11)=TRUE,"",SUMMARY_DATA!E11)</f>
        <v>5.5487737727082846</v>
      </c>
      <c r="S61" s="350"/>
      <c r="T61" s="350">
        <f>IF(ISBLANK(SUMMARY_DATA!F11)=TRUE,"",SUMMARY_DATA!F11)</f>
        <v>14.257919411432203</v>
      </c>
      <c r="U61" s="350"/>
      <c r="V61" s="137"/>
      <c r="W61" s="137"/>
      <c r="X61" s="137"/>
      <c r="Y61" s="125"/>
      <c r="Z61" s="125"/>
      <c r="AA61" s="357">
        <f>IF(ISBLANK(SUMMARY_DATA!G11)=TRUE,"",SUMMARY_DATA!G11)</f>
        <v>-0.65923582946166093</v>
      </c>
      <c r="AB61" s="357"/>
      <c r="AC61" s="357">
        <f>IF(ISBLANK(SUMMARY_DATA!H11)=TRUE,"",SUMMARY_DATA!H11)</f>
        <v>2.5416597574968138</v>
      </c>
      <c r="AD61" s="357"/>
      <c r="AE61" s="357">
        <f>IF(ISBLANK(SUMMARY_DATA!I11)=TRUE,"",SUMMARY_DATA!I11)</f>
        <v>0.44421708388188796</v>
      </c>
      <c r="AF61" s="357"/>
      <c r="AG61" s="134"/>
      <c r="AH61" s="134"/>
      <c r="AI61" s="134"/>
    </row>
    <row r="62" spans="1:35" ht="11.25" customHeight="1" x14ac:dyDescent="0.25">
      <c r="A62" s="425" t="str">
        <f>IF(ISBLANK(SUMMARY_DATA!A12)=TRUE,"",SUMMARY_DATA!A12)</f>
        <v>Brevan Howard MB Macro Fund: Brevan Howard MB Macro Fund with proforma</v>
      </c>
      <c r="B62" s="426"/>
      <c r="C62" s="426"/>
      <c r="D62" s="426"/>
      <c r="E62" s="426"/>
      <c r="F62" s="426"/>
      <c r="G62" s="426"/>
      <c r="H62" s="426"/>
      <c r="I62" s="426"/>
      <c r="J62" s="348">
        <f>IF(ISBLANK(SUMMARY_DATA!B12)=TRUE,"",SUMMARY_DATA!B12)</f>
        <v>2.6002025632982382</v>
      </c>
      <c r="K62" s="348"/>
      <c r="L62" s="125"/>
      <c r="M62" s="125"/>
      <c r="N62" s="348">
        <f>IF(ISBLANK(SUMMARY_DATA!C12)=TRUE,"",SUMMARY_DATA!C12)</f>
        <v>-1.7935204515218881</v>
      </c>
      <c r="O62" s="348"/>
      <c r="P62" s="348">
        <f>IF(ISBLANK(SUMMARY_DATA!D12)=TRUE,"",SUMMARY_DATA!D12)</f>
        <v>1.808041741768756</v>
      </c>
      <c r="Q62" s="348"/>
      <c r="R62" s="348">
        <f>IF(ISBLANK(SUMMARY_DATA!E12)=TRUE,"",SUMMARY_DATA!E12)</f>
        <v>0.91589207027756114</v>
      </c>
      <c r="S62" s="348"/>
      <c r="T62" s="348">
        <f>IF(ISBLANK(SUMMARY_DATA!F12)=TRUE,"",SUMMARY_DATA!F12)</f>
        <v>2.4690797091450829</v>
      </c>
      <c r="U62" s="348"/>
      <c r="V62" s="138"/>
      <c r="W62" s="138"/>
      <c r="X62" s="138"/>
      <c r="Y62" s="125"/>
      <c r="Z62" s="125"/>
      <c r="AA62" s="356">
        <f>IF(ISBLANK(SUMMARY_DATA!G12)=TRUE,"",SUMMARY_DATA!G12)</f>
        <v>-0.60281091627904182</v>
      </c>
      <c r="AB62" s="356"/>
      <c r="AC62" s="356">
        <f>IF(ISBLANK(SUMMARY_DATA!H12)=TRUE,"",SUMMARY_DATA!H12)</f>
        <v>1.6973141539247178</v>
      </c>
      <c r="AD62" s="356"/>
      <c r="AE62" s="356">
        <f>IF(ISBLANK(SUMMARY_DATA!I12)=TRUE,"",SUMMARY_DATA!I12)</f>
        <v>0.26451556101518625</v>
      </c>
      <c r="AF62" s="356"/>
      <c r="AG62" s="136"/>
      <c r="AH62" s="136"/>
      <c r="AI62" s="136"/>
    </row>
    <row r="63" spans="1:35" ht="11.25" customHeight="1" x14ac:dyDescent="0.25">
      <c r="A63" s="423" t="str">
        <f>IF(ISBLANK(SUMMARY_DATA!A13)=TRUE,"",SUMMARY_DATA!A13)</f>
        <v>Ares: Ares Pathfinder II</v>
      </c>
      <c r="B63" s="424"/>
      <c r="C63" s="424"/>
      <c r="D63" s="424"/>
      <c r="E63" s="424"/>
      <c r="F63" s="424"/>
      <c r="G63" s="424"/>
      <c r="H63" s="424"/>
      <c r="I63" s="424"/>
      <c r="J63" s="350">
        <f>IF(ISBLANK(SUMMARY_DATA!B13)=TRUE,"",SUMMARY_DATA!B13)</f>
        <v>1.6485661129035101</v>
      </c>
      <c r="K63" s="350"/>
      <c r="L63" s="125"/>
      <c r="M63" s="125"/>
      <c r="N63" s="350">
        <f>IF(ISBLANK(SUMMARY_DATA!C13)=TRUE,"",SUMMARY_DATA!C13)</f>
        <v>-0.97570762184885218</v>
      </c>
      <c r="O63" s="350"/>
      <c r="P63" s="350">
        <f>IF(ISBLANK(SUMMARY_DATA!D13)=TRUE,"",SUMMARY_DATA!D13)</f>
        <v>1.3646659393379772</v>
      </c>
      <c r="Q63" s="350"/>
      <c r="R63" s="350">
        <f>IF(ISBLANK(SUMMARY_DATA!E13)=TRUE,"",SUMMARY_DATA!E13)</f>
        <v>0.69449676031487717</v>
      </c>
      <c r="S63" s="350"/>
      <c r="T63" s="350">
        <f>IF(ISBLANK(SUMMARY_DATA!F13)=TRUE,"",SUMMARY_DATA!F13)</f>
        <v>1.7267150678624938</v>
      </c>
      <c r="U63" s="350"/>
      <c r="V63" s="137"/>
      <c r="W63" s="137"/>
      <c r="X63" s="137"/>
      <c r="Y63" s="125"/>
      <c r="Z63" s="125"/>
      <c r="AA63" s="357">
        <f>IF(ISBLANK(SUMMARY_DATA!G13)=TRUE,"",SUMMARY_DATA!G13)</f>
        <v>-0.51724379112747854</v>
      </c>
      <c r="AB63" s="357"/>
      <c r="AC63" s="357">
        <f>IF(ISBLANK(SUMMARY_DATA!H13)=TRUE,"",SUMMARY_DATA!H13)</f>
        <v>2.0206027787280196</v>
      </c>
      <c r="AD63" s="357"/>
      <c r="AE63" s="357">
        <f>IF(ISBLANK(SUMMARY_DATA!I13)=TRUE,"",SUMMARY_DATA!I13)</f>
        <v>0.31635737610865766</v>
      </c>
      <c r="AF63" s="357"/>
      <c r="AG63" s="134"/>
      <c r="AH63" s="134"/>
      <c r="AI63" s="134"/>
    </row>
    <row r="64" spans="1:35" ht="6.75" customHeight="1" x14ac:dyDescent="0.25">
      <c r="A64" s="128"/>
      <c r="B64" s="128"/>
      <c r="C64" s="128"/>
      <c r="D64" s="128"/>
      <c r="E64" s="128"/>
      <c r="F64" s="128"/>
      <c r="G64" s="129"/>
      <c r="H64" s="130"/>
      <c r="I64" s="131"/>
      <c r="J64" s="292"/>
      <c r="K64" s="292"/>
      <c r="L64" s="125"/>
      <c r="M64" s="125"/>
      <c r="N64" s="295"/>
      <c r="O64" s="295"/>
      <c r="P64" s="295"/>
      <c r="Q64" s="295"/>
      <c r="R64" s="295"/>
      <c r="S64" s="295"/>
      <c r="T64" s="295"/>
      <c r="U64" s="295"/>
      <c r="V64" s="139"/>
      <c r="W64" s="139"/>
      <c r="X64" s="139"/>
      <c r="Y64" s="125"/>
      <c r="Z64" s="125"/>
      <c r="AA64" s="133"/>
      <c r="AB64" s="133"/>
      <c r="AC64" s="133"/>
      <c r="AD64" s="133"/>
      <c r="AE64" s="133"/>
      <c r="AF64" s="133"/>
      <c r="AG64" s="140"/>
      <c r="AH64" s="140"/>
      <c r="AI64" s="140"/>
    </row>
    <row r="65" spans="1:35" ht="11.25" customHeight="1" x14ac:dyDescent="0.25">
      <c r="A65" s="439" t="s">
        <v>47</v>
      </c>
      <c r="B65" s="439"/>
      <c r="C65" s="439"/>
      <c r="D65" s="439"/>
      <c r="E65" s="439"/>
      <c r="F65" s="439"/>
      <c r="G65" s="439"/>
      <c r="H65" s="439"/>
      <c r="I65" s="439"/>
      <c r="J65" s="414">
        <f>SUM(J59:J63)</f>
        <v>17.563844720449392</v>
      </c>
      <c r="K65" s="414"/>
      <c r="L65" s="125"/>
      <c r="M65" s="125"/>
      <c r="N65" s="414">
        <f>SUM(N59:N63)</f>
        <v>-16.342252724822078</v>
      </c>
      <c r="O65" s="414"/>
      <c r="P65" s="414">
        <f>SUM(P59:P63)</f>
        <v>15.609210152017882</v>
      </c>
      <c r="Q65" s="414"/>
      <c r="R65" s="414">
        <f>SUM(R59:R63)</f>
        <v>7.295216911472445</v>
      </c>
      <c r="S65" s="414"/>
      <c r="T65" s="414">
        <f>SUM(T59:T63)</f>
        <v>21.829570859239482</v>
      </c>
      <c r="U65" s="414"/>
      <c r="V65" s="141"/>
      <c r="W65" s="141"/>
      <c r="X65" s="141"/>
      <c r="Y65" s="142"/>
      <c r="Z65" s="142"/>
      <c r="AA65" s="413"/>
      <c r="AB65" s="413"/>
      <c r="AC65" s="413"/>
      <c r="AD65" s="413"/>
      <c r="AE65" s="413"/>
      <c r="AF65" s="413"/>
      <c r="AG65" s="141"/>
      <c r="AH65" s="141"/>
      <c r="AI65" s="141"/>
    </row>
    <row r="66" spans="1:35" ht="7.5" customHeight="1" x14ac:dyDescent="0.25">
      <c r="A66" s="54"/>
      <c r="B66" s="54"/>
      <c r="C66" s="54"/>
      <c r="D66" s="54"/>
      <c r="E66" s="54"/>
      <c r="F66" s="54"/>
      <c r="G66" s="19"/>
      <c r="H66" s="55"/>
      <c r="I66" s="21"/>
      <c r="J66" s="21"/>
      <c r="K66" s="21"/>
      <c r="L66" s="21"/>
    </row>
    <row r="67" spans="1:35" x14ac:dyDescent="0.25">
      <c r="A67" s="431"/>
      <c r="B67" s="431"/>
      <c r="C67" s="431"/>
      <c r="D67" s="431"/>
      <c r="E67" s="431"/>
      <c r="F67" s="431"/>
      <c r="G67" s="431"/>
      <c r="H67" s="431"/>
      <c r="I67" s="431"/>
      <c r="J67" s="431"/>
      <c r="K67" s="431"/>
      <c r="L67" s="431"/>
      <c r="M67" s="431"/>
      <c r="N67" s="431"/>
      <c r="O67" s="431"/>
      <c r="P67" s="431"/>
      <c r="Q67" s="431"/>
      <c r="R67" s="431"/>
      <c r="S67" s="431"/>
      <c r="T67" s="431"/>
      <c r="U67" s="431"/>
      <c r="V67" s="431"/>
      <c r="W67" s="431"/>
      <c r="X67" s="431"/>
      <c r="Y67" s="431"/>
      <c r="Z67" s="431"/>
      <c r="AA67" s="431"/>
      <c r="AB67" s="431"/>
      <c r="AC67" s="431"/>
      <c r="AD67" s="431"/>
      <c r="AE67" s="431"/>
      <c r="AF67" s="431"/>
      <c r="AG67" s="431"/>
      <c r="AH67" s="431"/>
      <c r="AI67" s="431"/>
    </row>
  </sheetData>
  <mergeCells count="290">
    <mergeCell ref="AD3:AI3"/>
    <mergeCell ref="E3:K3"/>
    <mergeCell ref="A3:D3"/>
    <mergeCell ref="M3:P3"/>
    <mergeCell ref="Q3:X3"/>
    <mergeCell ref="Z3:AC3"/>
    <mergeCell ref="A67:AI67"/>
    <mergeCell ref="A45:AI45"/>
    <mergeCell ref="A49:I49"/>
    <mergeCell ref="A50:I50"/>
    <mergeCell ref="A51:I51"/>
    <mergeCell ref="A52:I52"/>
    <mergeCell ref="A53:I53"/>
    <mergeCell ref="J58:K58"/>
    <mergeCell ref="J59:K59"/>
    <mergeCell ref="J60:K60"/>
    <mergeCell ref="J65:K65"/>
    <mergeCell ref="A55:I55"/>
    <mergeCell ref="A65:I65"/>
    <mergeCell ref="A57:K57"/>
    <mergeCell ref="J48:K48"/>
    <mergeCell ref="J49:K49"/>
    <mergeCell ref="J50:K50"/>
    <mergeCell ref="J51:K51"/>
    <mergeCell ref="N63:O63"/>
    <mergeCell ref="N61:O61"/>
    <mergeCell ref="N50:O50"/>
    <mergeCell ref="N62:O62"/>
    <mergeCell ref="N58:O58"/>
    <mergeCell ref="A42:F42"/>
    <mergeCell ref="F40:G40"/>
    <mergeCell ref="A41:E41"/>
    <mergeCell ref="F41:G41"/>
    <mergeCell ref="J52:K52"/>
    <mergeCell ref="J53:K53"/>
    <mergeCell ref="A59:I59"/>
    <mergeCell ref="A60:I60"/>
    <mergeCell ref="J55:K55"/>
    <mergeCell ref="J61:K61"/>
    <mergeCell ref="J62:K62"/>
    <mergeCell ref="J63:K63"/>
    <mergeCell ref="A47:K47"/>
    <mergeCell ref="A61:I61"/>
    <mergeCell ref="A62:I62"/>
    <mergeCell ref="A63:I63"/>
    <mergeCell ref="AC65:AD65"/>
    <mergeCell ref="AE65:AF65"/>
    <mergeCell ref="N47:X47"/>
    <mergeCell ref="AA47:AI47"/>
    <mergeCell ref="AA57:AI57"/>
    <mergeCell ref="N57:X57"/>
    <mergeCell ref="N65:O65"/>
    <mergeCell ref="P65:Q65"/>
    <mergeCell ref="R65:S65"/>
    <mergeCell ref="T65:U65"/>
    <mergeCell ref="AA65:AB65"/>
    <mergeCell ref="R48:S48"/>
    <mergeCell ref="R49:S49"/>
    <mergeCell ref="R50:S50"/>
    <mergeCell ref="R51:S51"/>
    <mergeCell ref="R52:S52"/>
    <mergeCell ref="R55:S55"/>
    <mergeCell ref="N55:O55"/>
    <mergeCell ref="T55:U55"/>
    <mergeCell ref="AC55:AD55"/>
    <mergeCell ref="T51:U51"/>
    <mergeCell ref="P53:Q53"/>
    <mergeCell ref="AA53:AB53"/>
    <mergeCell ref="AC53:AD53"/>
    <mergeCell ref="AA63:AB63"/>
    <mergeCell ref="AC63:AD63"/>
    <mergeCell ref="R63:S63"/>
    <mergeCell ref="T63:U63"/>
    <mergeCell ref="P63:Q63"/>
    <mergeCell ref="AE63:AF63"/>
    <mergeCell ref="AA62:AB62"/>
    <mergeCell ref="AC62:AD62"/>
    <mergeCell ref="R62:S62"/>
    <mergeCell ref="T62:U62"/>
    <mergeCell ref="P62:Q62"/>
    <mergeCell ref="AE62:AF62"/>
    <mergeCell ref="AE61:AF61"/>
    <mergeCell ref="N60:O60"/>
    <mergeCell ref="AA60:AB60"/>
    <mergeCell ref="AC60:AD60"/>
    <mergeCell ref="R60:S60"/>
    <mergeCell ref="T60:U60"/>
    <mergeCell ref="P60:Q60"/>
    <mergeCell ref="AE60:AF60"/>
    <mergeCell ref="AE59:AF59"/>
    <mergeCell ref="N59:O59"/>
    <mergeCell ref="AA59:AB59"/>
    <mergeCell ref="AC59:AD59"/>
    <mergeCell ref="R59:S59"/>
    <mergeCell ref="T59:U59"/>
    <mergeCell ref="P59:Q59"/>
    <mergeCell ref="AA61:AB61"/>
    <mergeCell ref="AC61:AD61"/>
    <mergeCell ref="R61:S61"/>
    <mergeCell ref="T61:U61"/>
    <mergeCell ref="P61:Q61"/>
    <mergeCell ref="AA58:AB58"/>
    <mergeCell ref="AC58:AD58"/>
    <mergeCell ref="R58:S58"/>
    <mergeCell ref="T58:U58"/>
    <mergeCell ref="P58:Q58"/>
    <mergeCell ref="AE58:AF58"/>
    <mergeCell ref="N51:O51"/>
    <mergeCell ref="P51:Q51"/>
    <mergeCell ref="AA51:AB51"/>
    <mergeCell ref="AC51:AD51"/>
    <mergeCell ref="AE51:AF51"/>
    <mergeCell ref="T52:U52"/>
    <mergeCell ref="T53:U53"/>
    <mergeCell ref="AE55:AF55"/>
    <mergeCell ref="AA55:AB55"/>
    <mergeCell ref="N53:O53"/>
    <mergeCell ref="AE53:AF53"/>
    <mergeCell ref="R53:S53"/>
    <mergeCell ref="P55:Q55"/>
    <mergeCell ref="P52:Q52"/>
    <mergeCell ref="AA52:AB52"/>
    <mergeCell ref="AC52:AD52"/>
    <mergeCell ref="AE52:AF52"/>
    <mergeCell ref="N52:O52"/>
    <mergeCell ref="AF8:AG8"/>
    <mergeCell ref="AF9:AG9"/>
    <mergeCell ref="P50:Q50"/>
    <mergeCell ref="AA50:AB50"/>
    <mergeCell ref="AC50:AD50"/>
    <mergeCell ref="AE50:AF50"/>
    <mergeCell ref="N48:O48"/>
    <mergeCell ref="P48:Q48"/>
    <mergeCell ref="AA48:AB48"/>
    <mergeCell ref="AC48:AD48"/>
    <mergeCell ref="N49:O49"/>
    <mergeCell ref="P49:Q49"/>
    <mergeCell ref="AA49:AB49"/>
    <mergeCell ref="AC49:AD49"/>
    <mergeCell ref="T48:U48"/>
    <mergeCell ref="T49:U49"/>
    <mergeCell ref="T50:U50"/>
    <mergeCell ref="AE49:AF49"/>
    <mergeCell ref="U8:V8"/>
    <mergeCell ref="W8:X8"/>
    <mergeCell ref="Y8:Z8"/>
    <mergeCell ref="S9:T9"/>
    <mergeCell ref="Y9:Z9"/>
    <mergeCell ref="AB8:AC8"/>
    <mergeCell ref="AB9:AC9"/>
    <mergeCell ref="B1:J2"/>
    <mergeCell ref="S6:AI6"/>
    <mergeCell ref="AE48:AF48"/>
    <mergeCell ref="S7:Z7"/>
    <mergeCell ref="AB7:AI7"/>
    <mergeCell ref="AB13:AE13"/>
    <mergeCell ref="AF13:AI13"/>
    <mergeCell ref="A4:AI4"/>
    <mergeCell ref="A27:AI27"/>
    <mergeCell ref="S11:Z11"/>
    <mergeCell ref="AB11:AI11"/>
    <mergeCell ref="W13:Z13"/>
    <mergeCell ref="A22:Q25"/>
    <mergeCell ref="A6:Q6"/>
    <mergeCell ref="Y12:Z12"/>
    <mergeCell ref="Y14:Z14"/>
    <mergeCell ref="Y15:Z15"/>
    <mergeCell ref="Y16:Z16"/>
    <mergeCell ref="Y17:Z17"/>
    <mergeCell ref="AD8:AE8"/>
    <mergeCell ref="AD9:AE9"/>
    <mergeCell ref="AH8:AI8"/>
    <mergeCell ref="AH9:AI9"/>
    <mergeCell ref="S8:T8"/>
    <mergeCell ref="A5:AI5"/>
    <mergeCell ref="O30:P30"/>
    <mergeCell ref="O31:P31"/>
    <mergeCell ref="O32:P32"/>
    <mergeCell ref="I29:P29"/>
    <mergeCell ref="AH19:AI19"/>
    <mergeCell ref="AH20:AI20"/>
    <mergeCell ref="AH21:AI21"/>
    <mergeCell ref="AH22:AI22"/>
    <mergeCell ref="AH23:AI23"/>
    <mergeCell ref="W21:X21"/>
    <mergeCell ref="W22:X22"/>
    <mergeCell ref="W23:X23"/>
    <mergeCell ref="S14:V14"/>
    <mergeCell ref="AH18:AI18"/>
    <mergeCell ref="Y19:Z19"/>
    <mergeCell ref="Y20:Z20"/>
    <mergeCell ref="Y21:Z21"/>
    <mergeCell ref="Y22:Z22"/>
    <mergeCell ref="U9:V9"/>
    <mergeCell ref="W9:X9"/>
    <mergeCell ref="A31:E31"/>
    <mergeCell ref="A32:E32"/>
    <mergeCell ref="A33:E33"/>
    <mergeCell ref="A34:E34"/>
    <mergeCell ref="A35:E35"/>
    <mergeCell ref="F31:G31"/>
    <mergeCell ref="F32:G32"/>
    <mergeCell ref="F33:G33"/>
    <mergeCell ref="F34:G34"/>
    <mergeCell ref="F35:G35"/>
    <mergeCell ref="W12:X12"/>
    <mergeCell ref="W14:X14"/>
    <mergeCell ref="W15:X15"/>
    <mergeCell ref="W16:X16"/>
    <mergeCell ref="W17:X17"/>
    <mergeCell ref="O33:P33"/>
    <mergeCell ref="O34:P34"/>
    <mergeCell ref="O35:P35"/>
    <mergeCell ref="F30:G30"/>
    <mergeCell ref="I31:N31"/>
    <mergeCell ref="I32:N32"/>
    <mergeCell ref="I33:N33"/>
    <mergeCell ref="I34:N34"/>
    <mergeCell ref="I35:N35"/>
    <mergeCell ref="S13:V13"/>
    <mergeCell ref="S17:V17"/>
    <mergeCell ref="S18:V18"/>
    <mergeCell ref="S19:V19"/>
    <mergeCell ref="S20:V20"/>
    <mergeCell ref="S21:V21"/>
    <mergeCell ref="S22:V22"/>
    <mergeCell ref="S23:V23"/>
    <mergeCell ref="AH14:AI14"/>
    <mergeCell ref="AH15:AI15"/>
    <mergeCell ref="AH16:AI16"/>
    <mergeCell ref="AH17:AI17"/>
    <mergeCell ref="Y18:Z18"/>
    <mergeCell ref="A38:E38"/>
    <mergeCell ref="F38:G38"/>
    <mergeCell ref="A39:E39"/>
    <mergeCell ref="F39:G39"/>
    <mergeCell ref="A40:E40"/>
    <mergeCell ref="S24:V24"/>
    <mergeCell ref="W24:Z24"/>
    <mergeCell ref="AF12:AG12"/>
    <mergeCell ref="AH12:AI12"/>
    <mergeCell ref="AB14:AE14"/>
    <mergeCell ref="AF14:AG14"/>
    <mergeCell ref="AB15:AE15"/>
    <mergeCell ref="AF15:AG15"/>
    <mergeCell ref="AB16:AE16"/>
    <mergeCell ref="AF16:AG16"/>
    <mergeCell ref="AB17:AE17"/>
    <mergeCell ref="AF17:AG17"/>
    <mergeCell ref="AB18:AE18"/>
    <mergeCell ref="AF18:AG18"/>
    <mergeCell ref="AB19:AE19"/>
    <mergeCell ref="AF19:AG19"/>
    <mergeCell ref="AB20:AE20"/>
    <mergeCell ref="AF20:AG20"/>
    <mergeCell ref="AB21:AE21"/>
    <mergeCell ref="I38:N38"/>
    <mergeCell ref="I39:N39"/>
    <mergeCell ref="I40:N40"/>
    <mergeCell ref="I41:N41"/>
    <mergeCell ref="O36:P36"/>
    <mergeCell ref="O37:P37"/>
    <mergeCell ref="O38:P38"/>
    <mergeCell ref="O39:P39"/>
    <mergeCell ref="O40:P40"/>
    <mergeCell ref="O41:P41"/>
    <mergeCell ref="AB10:AC10"/>
    <mergeCell ref="AD10:AE10"/>
    <mergeCell ref="AF10:AG10"/>
    <mergeCell ref="AH10:AI10"/>
    <mergeCell ref="A29:H29"/>
    <mergeCell ref="AB24:AE24"/>
    <mergeCell ref="AF24:AI24"/>
    <mergeCell ref="I36:N36"/>
    <mergeCell ref="I37:N37"/>
    <mergeCell ref="A36:E36"/>
    <mergeCell ref="F36:G36"/>
    <mergeCell ref="A37:E37"/>
    <mergeCell ref="F37:G37"/>
    <mergeCell ref="AF21:AG21"/>
    <mergeCell ref="AB22:AE22"/>
    <mergeCell ref="AF22:AG22"/>
    <mergeCell ref="AB23:AE23"/>
    <mergeCell ref="AF23:AG23"/>
    <mergeCell ref="W18:X18"/>
    <mergeCell ref="W19:X19"/>
    <mergeCell ref="W20:X20"/>
    <mergeCell ref="Y23:Z23"/>
    <mergeCell ref="S15:V15"/>
    <mergeCell ref="S16:V16"/>
  </mergeCells>
  <conditionalFormatting sqref="A61">
    <cfRule type="cellIs" dxfId="121" priority="19" operator="equal">
      <formula>0</formula>
    </cfRule>
  </conditionalFormatting>
  <conditionalFormatting sqref="A63:A64">
    <cfRule type="cellIs" dxfId="120" priority="18" operator="equal">
      <formula>0</formula>
    </cfRule>
  </conditionalFormatting>
  <conditionalFormatting sqref="Q31:Q35">
    <cfRule type="dataBar" priority="10">
      <dataBar>
        <cfvo type="min"/>
        <cfvo type="max"/>
        <color rgb="FFD6007B"/>
      </dataBar>
      <extLst>
        <ext xmlns:x14="http://schemas.microsoft.com/office/spreadsheetml/2009/9/main" uri="{B025F937-C7B1-47D3-B67F-A62EFF666E3E}">
          <x14:id>{5A05F071-EA06-4B68-A54B-0B233CC1146A}</x14:id>
        </ext>
      </extLst>
    </cfRule>
  </conditionalFormatting>
  <conditionalFormatting sqref="AD10:AG10">
    <cfRule type="dataBar" priority="3">
      <dataBar showValue="0">
        <cfvo type="min"/>
        <cfvo type="max"/>
        <color rgb="FF638EC6"/>
      </dataBar>
      <extLst>
        <ext xmlns:x14="http://schemas.microsoft.com/office/spreadsheetml/2009/9/main" uri="{B025F937-C7B1-47D3-B67F-A62EFF666E3E}">
          <x14:id>{61B6BCF6-C136-43C6-9095-BDDF7A312C17}</x14:id>
        </ext>
      </extLst>
    </cfRule>
  </conditionalFormatting>
  <conditionalFormatting sqref="AH10:AI10 AB10:AC10">
    <cfRule type="dataBar" priority="1">
      <dataBar showValue="0">
        <cfvo type="min"/>
        <cfvo type="max"/>
        <color rgb="FF638EC6"/>
      </dataBar>
      <extLst>
        <ext xmlns:x14="http://schemas.microsoft.com/office/spreadsheetml/2009/9/main" uri="{B025F937-C7B1-47D3-B67F-A62EFF666E3E}">
          <x14:id>{C45BB916-F5AE-48CC-8502-7122AE23526B}</x14:id>
        </ext>
      </extLst>
    </cfRule>
  </conditionalFormatting>
  <dataValidations count="16">
    <dataValidation allowBlank="1" showInputMessage="1" showErrorMessage="1" prompt="The volatility of the portfolio returns around the mean. It represents a symmetric risk measure, i.e. recognizing both upside and downside deviations from the mean and capturing the central risk only." sqref="S8:T8" xr:uid="{00000000-0002-0000-0200-000000000000}"/>
    <dataValidation allowBlank="1" showInputMessage="1" showErrorMessage="1" prompt="The average of the simulated returns of the portfolio" sqref="W8:X8" xr:uid="{00000000-0002-0000-0200-000001000000}"/>
    <dataValidation allowBlank="1" showInputMessage="1" showErrorMessage="1" promptTitle="Expected Tail Loss" prompt="The average (expected) loss beyond Value-at-Risk (VaR). It can be interpreted as the expected shortfall given that the VaR threshold has been exceeded. It is a risk measure focusing on downside only" sqref="AB8:AC8" xr:uid="{00000000-0002-0000-0200-000002000000}"/>
    <dataValidation allowBlank="1" showInputMessage="1" showErrorMessage="1" promptTitle="Value At Risk" prompt="The highest possible loss over a certain period of time with a given level of confidence" sqref="AD8:AE8" xr:uid="{00000000-0002-0000-0200-000003000000}"/>
    <dataValidation allowBlank="1" showInputMessage="1" showErrorMessage="1" promptTitle="Expected Tail Return" prompt="The upside potential of a portfolio or asset. It is conceptually similar to ETL but applies to gains rather than losses, i.e. ETR measure the average gain should the positive VaR be exceeded" sqref="AH8:AI8" xr:uid="{00000000-0002-0000-0200-000004000000}"/>
    <dataValidation allowBlank="1" showInputMessage="1" showErrorMessage="1" prompt="The fraction of total portfolio volatility contributed by each market index" sqref="W12:X12" xr:uid="{00000000-0002-0000-0200-000005000000}"/>
    <dataValidation allowBlank="1" showInputMessage="1" showErrorMessage="1" prompt="Portfolio volatility sensitivity to a small change in the exposure to each market index" sqref="Y12:Z12" xr:uid="{00000000-0002-0000-0200-000006000000}"/>
    <dataValidation allowBlank="1" showInputMessage="1" showErrorMessage="1" prompt="The fraction of total portfolio expected tail loss contributed by each market index" sqref="AF12:AG12" xr:uid="{00000000-0002-0000-0200-000007000000}"/>
    <dataValidation allowBlank="1" showInputMessage="1" showErrorMessage="1" prompt="Portfolio expected tail loss sensitivity to a small change in the exposure to each market index" sqref="AH12:AI12" xr:uid="{00000000-0002-0000-0200-000008000000}"/>
    <dataValidation allowBlank="1" showInputMessage="1" showErrorMessage="1" prompt="The fraction of total portfolio expected tail loss contributed by each asset" sqref="N48:O48 N58:O58" xr:uid="{00000000-0002-0000-0200-000009000000}"/>
    <dataValidation allowBlank="1" showInputMessage="1" showErrorMessage="1" prompt="The fraction of total portfolio expected tail return contributed by each asset" sqref="P48:Q48 P58:Q58" xr:uid="{00000000-0002-0000-0200-00000A000000}"/>
    <dataValidation allowBlank="1" showInputMessage="1" showErrorMessage="1" prompt="The fraction of total portfolio volatility contributed by each asset" sqref="R48:S48 R58:S58" xr:uid="{00000000-0002-0000-0200-00000B000000}"/>
    <dataValidation allowBlank="1" showInputMessage="1" showErrorMessage="1" prompt="The fraction of total portfolio expected mean return contributed by each risk driver." sqref="T48:U48 T58:U58" xr:uid="{00000000-0002-0000-0200-00000C000000}"/>
    <dataValidation allowBlank="1" showInputMessage="1" showErrorMessage="1" prompt="Portfolio expected tail loss sensitivity to a small change in the weight of each asset" sqref="AA48:AB48 AA58:AB58" xr:uid="{00000000-0002-0000-0200-00000D000000}"/>
    <dataValidation allowBlank="1" showInputMessage="1" showErrorMessage="1" prompt="Portfolio expected tail return sensitivity to a small change in the weight of each asset" sqref="AC48:AD48 AC58:AD58" xr:uid="{00000000-0002-0000-0200-00000E000000}"/>
    <dataValidation allowBlank="1" showInputMessage="1" showErrorMessage="1" prompt="Portfolio volatility sensitivity to a small change in the weight of each asset" sqref="AE48:AF48 AE58:AF58" xr:uid="{00000000-0002-0000-0200-00000F000000}"/>
  </dataValidations>
  <printOptions horizontalCentered="1"/>
  <pageMargins left="0.25" right="0.25" top="0" bottom="0" header="0" footer="0"/>
  <pageSetup scale="72"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dataBar" id="{5A05F071-EA06-4B68-A54B-0B233CC1146A}">
            <x14:dataBar minLength="0" maxLength="100" gradient="0">
              <x14:cfvo type="autoMin"/>
              <x14:cfvo type="autoMax"/>
              <x14:negativeFillColor theme="5" tint="0.39997558519241921"/>
              <x14:axisColor rgb="FF000000"/>
            </x14:dataBar>
          </x14:cfRule>
          <xm:sqref>Q31:Q35</xm:sqref>
        </x14:conditionalFormatting>
        <x14:conditionalFormatting xmlns:xm="http://schemas.microsoft.com/office/excel/2006/main">
          <x14:cfRule type="dataBar" id="{61B6BCF6-C136-43C6-9095-BDDF7A312C17}">
            <x14:dataBar minLength="0" maxLength="100" gradient="0">
              <x14:cfvo type="autoMin"/>
              <x14:cfvo type="autoMax"/>
              <x14:negativeFillColor theme="5" tint="0.39997558519241921"/>
              <x14:axisColor rgb="FF000000"/>
            </x14:dataBar>
          </x14:cfRule>
          <xm:sqref>AD10:AG10</xm:sqref>
        </x14:conditionalFormatting>
        <x14:conditionalFormatting xmlns:xm="http://schemas.microsoft.com/office/excel/2006/main">
          <x14:cfRule type="dataBar" id="{C45BB916-F5AE-48CC-8502-7122AE23526B}">
            <x14:dataBar minLength="0" maxLength="100" gradient="0">
              <x14:cfvo type="autoMin"/>
              <x14:cfvo type="autoMax"/>
              <x14:negativeFillColor rgb="FFFF0000"/>
              <x14:axisColor rgb="FF000000"/>
            </x14:dataBar>
          </x14:cfRule>
          <xm:sqref>AH10:AI10 AB10:AC10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workbookViewId="0">
      <selection activeCell="A2" sqref="A2"/>
    </sheetView>
  </sheetViews>
  <sheetFormatPr defaultRowHeight="15" x14ac:dyDescent="0.25"/>
  <sheetData>
    <row r="1" spans="1:9" x14ac:dyDescent="0.25">
      <c r="A1" s="1" t="s">
        <v>207</v>
      </c>
    </row>
    <row r="2" spans="1:9" x14ac:dyDescent="0.25">
      <c r="A2" t="s">
        <v>304</v>
      </c>
      <c r="B2">
        <v>0.77463136314202918</v>
      </c>
      <c r="C2">
        <v>7.5420822482864773</v>
      </c>
      <c r="D2">
        <v>2.0514521582783924</v>
      </c>
      <c r="E2">
        <v>3.4079492100161675</v>
      </c>
      <c r="F2">
        <v>0.96608253951645262</v>
      </c>
      <c r="G2">
        <v>8.5089925743591461</v>
      </c>
      <c r="H2">
        <v>6.4643859674125403</v>
      </c>
      <c r="I2">
        <v>3.3037878077405223</v>
      </c>
    </row>
    <row r="3" spans="1:9" x14ac:dyDescent="0.25">
      <c r="A3" t="s">
        <v>305</v>
      </c>
      <c r="B3">
        <v>2.451922259654467</v>
      </c>
      <c r="C3">
        <v>12.799680806506162</v>
      </c>
      <c r="D3">
        <v>3.1550345274786862</v>
      </c>
      <c r="E3">
        <v>5.7525972069284963</v>
      </c>
      <c r="F3">
        <v>1.3572665803187773</v>
      </c>
      <c r="G3">
        <v>4.5622008412224346</v>
      </c>
      <c r="H3">
        <v>3.1409309007457722</v>
      </c>
      <c r="I3">
        <v>1.7618599311303809</v>
      </c>
    </row>
    <row r="4" spans="1:9" x14ac:dyDescent="0.25">
      <c r="A4" t="s">
        <v>306</v>
      </c>
      <c r="B4">
        <v>0.86866099113325401</v>
      </c>
      <c r="C4">
        <v>3.9419553973865011</v>
      </c>
      <c r="D4">
        <v>0.76642304776837422</v>
      </c>
      <c r="E4">
        <v>1.6024930208915003</v>
      </c>
      <c r="F4">
        <v>0.44874509210608371</v>
      </c>
      <c r="G4">
        <v>3.9659144711266996</v>
      </c>
      <c r="H4">
        <v>2.1536702027843031</v>
      </c>
      <c r="I4">
        <v>1.3853513642716708</v>
      </c>
    </row>
    <row r="5" spans="1:9" x14ac:dyDescent="0.25">
      <c r="A5" t="s">
        <v>307</v>
      </c>
      <c r="B5">
        <v>2.9539219988021599</v>
      </c>
      <c r="C5">
        <v>12.454063299520126</v>
      </c>
      <c r="D5">
        <v>4.2246702460988628</v>
      </c>
      <c r="E5">
        <v>6.458378267448146</v>
      </c>
      <c r="F5">
        <v>2.3210596936177375</v>
      </c>
      <c r="G5">
        <v>3.6846310090976009</v>
      </c>
      <c r="H5">
        <v>3.4910394384723138</v>
      </c>
      <c r="I5">
        <v>1.6418692303993967</v>
      </c>
    </row>
    <row r="6" spans="1:9" x14ac:dyDescent="0.25">
      <c r="A6" t="s">
        <v>308</v>
      </c>
      <c r="B6">
        <v>1.2214833755816248</v>
      </c>
      <c r="C6">
        <v>4.6594918081542032</v>
      </c>
      <c r="D6">
        <v>1.867824396422195</v>
      </c>
      <c r="E6">
        <v>2.611005955981776</v>
      </c>
      <c r="F6">
        <v>1.7920099865033443</v>
      </c>
      <c r="G6">
        <v>3.3337493887132088</v>
      </c>
      <c r="H6">
        <v>3.7325827549074546</v>
      </c>
      <c r="I6">
        <v>1.6052194414074674</v>
      </c>
    </row>
    <row r="8" spans="1:9" x14ac:dyDescent="0.25">
      <c r="A8" s="1" t="s">
        <v>208</v>
      </c>
    </row>
    <row r="9" spans="1:9" x14ac:dyDescent="0.25">
      <c r="A9" t="s">
        <v>309</v>
      </c>
      <c r="B9">
        <v>1.9130169420027179</v>
      </c>
      <c r="C9">
        <v>-4.9577198765206525</v>
      </c>
      <c r="D9">
        <v>2.6406144756086971</v>
      </c>
      <c r="E9">
        <v>0.51031425781855022</v>
      </c>
      <c r="F9">
        <v>2.6393618840441597</v>
      </c>
      <c r="G9">
        <v>-2.264879627312316</v>
      </c>
      <c r="H9">
        <v>3.3693579049059874</v>
      </c>
      <c r="I9">
        <v>0.20032400543548382</v>
      </c>
    </row>
    <row r="10" spans="1:9" x14ac:dyDescent="0.25">
      <c r="A10" t="s">
        <v>310</v>
      </c>
      <c r="B10">
        <v>2.0217776167760064</v>
      </c>
      <c r="C10">
        <v>-1.5395183276857445</v>
      </c>
      <c r="D10">
        <v>2.8637600861786409E-2</v>
      </c>
      <c r="E10">
        <v>-0.37425994964682785</v>
      </c>
      <c r="F10">
        <v>0.73649478675554592</v>
      </c>
      <c r="G10">
        <v>-0.66547759197340295</v>
      </c>
      <c r="H10">
        <v>3.4575160902893518E-2</v>
      </c>
      <c r="I10">
        <v>-0.13901257234755304</v>
      </c>
    </row>
    <row r="11" spans="1:9" x14ac:dyDescent="0.25">
      <c r="A11" t="s">
        <v>311</v>
      </c>
      <c r="B11">
        <v>9.3802814854689185</v>
      </c>
      <c r="C11">
        <v>-7.0757864472449414</v>
      </c>
      <c r="D11">
        <v>9.7672503944406657</v>
      </c>
      <c r="E11">
        <v>5.5487737727082846</v>
      </c>
      <c r="F11">
        <v>14.257919411432203</v>
      </c>
      <c r="G11">
        <v>-0.65923582946166093</v>
      </c>
      <c r="H11">
        <v>2.5416597574968138</v>
      </c>
      <c r="I11">
        <v>0.44421708388188796</v>
      </c>
    </row>
    <row r="12" spans="1:9" x14ac:dyDescent="0.25">
      <c r="A12" t="s">
        <v>312</v>
      </c>
      <c r="B12">
        <v>2.6002025632982382</v>
      </c>
      <c r="C12">
        <v>-1.7935204515218881</v>
      </c>
      <c r="D12">
        <v>1.808041741768756</v>
      </c>
      <c r="E12">
        <v>0.91589207027756114</v>
      </c>
      <c r="F12">
        <v>2.4690797091450829</v>
      </c>
      <c r="G12">
        <v>-0.60281091627904182</v>
      </c>
      <c r="H12">
        <v>1.6973141539247178</v>
      </c>
      <c r="I12">
        <v>0.26451556101518625</v>
      </c>
    </row>
    <row r="13" spans="1:9" x14ac:dyDescent="0.25">
      <c r="A13" t="s">
        <v>313</v>
      </c>
      <c r="B13">
        <v>1.6485661129035101</v>
      </c>
      <c r="C13">
        <v>-0.97570762184885218</v>
      </c>
      <c r="D13">
        <v>1.3646659393379772</v>
      </c>
      <c r="E13">
        <v>0.69449676031487717</v>
      </c>
      <c r="F13">
        <v>1.7267150678624938</v>
      </c>
      <c r="G13">
        <v>-0.51724379112747854</v>
      </c>
      <c r="H13">
        <v>2.0206027787280196</v>
      </c>
      <c r="I13">
        <v>0.31635737610865766</v>
      </c>
    </row>
    <row r="15" spans="1:9" x14ac:dyDescent="0.25">
      <c r="A15" s="1" t="s">
        <v>209</v>
      </c>
    </row>
    <row r="16" spans="1:9" x14ac:dyDescent="0.25">
      <c r="A16" t="s">
        <v>314</v>
      </c>
      <c r="B16">
        <v>0.75095533863015329</v>
      </c>
      <c r="C16">
        <v>2.6013856014450334</v>
      </c>
      <c r="D16">
        <v>0.9376493977324154</v>
      </c>
      <c r="E16">
        <v>11.251792772788985</v>
      </c>
      <c r="F16">
        <v>0.87394068373343181</v>
      </c>
      <c r="G16">
        <v>0.28728807745321827</v>
      </c>
      <c r="H16">
        <v>-2.0635407881578693</v>
      </c>
      <c r="I16">
        <v>2.4409616834619952</v>
      </c>
    </row>
    <row r="22" spans="1:2" x14ac:dyDescent="0.25">
      <c r="A22" s="1" t="s">
        <v>216</v>
      </c>
    </row>
    <row r="23" spans="1:2" x14ac:dyDescent="0.25">
      <c r="A23" t="s">
        <v>216</v>
      </c>
      <c r="B23">
        <v>47.149713438998354</v>
      </c>
    </row>
    <row r="25" spans="1:2" x14ac:dyDescent="0.25">
      <c r="A25" s="1" t="s">
        <v>216</v>
      </c>
    </row>
    <row r="26" spans="1:2" x14ac:dyDescent="0.25">
      <c r="A26" t="s">
        <v>216</v>
      </c>
      <c r="B26">
        <v>115.77315274208256</v>
      </c>
    </row>
    <row r="29" spans="1:2" x14ac:dyDescent="0.25">
      <c r="A29" s="1" t="s">
        <v>187</v>
      </c>
    </row>
    <row r="30" spans="1:2" x14ac:dyDescent="0.25">
      <c r="A30" t="s">
        <v>315</v>
      </c>
      <c r="B30">
        <v>29.910413520474709</v>
      </c>
    </row>
    <row r="31" spans="1:2" x14ac:dyDescent="0.25">
      <c r="A31" t="s">
        <v>316</v>
      </c>
      <c r="B31">
        <v>19.285614181228112</v>
      </c>
    </row>
    <row r="32" spans="1:2" x14ac:dyDescent="0.25">
      <c r="A32" t="s">
        <v>317</v>
      </c>
      <c r="B32">
        <v>14.563052203855554</v>
      </c>
    </row>
    <row r="33" spans="1:2" x14ac:dyDescent="0.25">
      <c r="A33" t="s">
        <v>318</v>
      </c>
      <c r="B33">
        <v>13.58995647854081</v>
      </c>
    </row>
    <row r="34" spans="1:2" x14ac:dyDescent="0.25">
      <c r="A34" t="s">
        <v>319</v>
      </c>
      <c r="B34">
        <v>8.6928087975345498</v>
      </c>
    </row>
    <row r="35" spans="1:2" x14ac:dyDescent="0.25">
      <c r="A35" t="s">
        <v>320</v>
      </c>
      <c r="B35">
        <v>6.6920935905961025</v>
      </c>
    </row>
    <row r="36" spans="1:2" x14ac:dyDescent="0.25">
      <c r="A36" t="s">
        <v>321</v>
      </c>
      <c r="B36">
        <v>5.1152413150393441</v>
      </c>
    </row>
    <row r="37" spans="1:2" x14ac:dyDescent="0.25">
      <c r="A37" t="s">
        <v>322</v>
      </c>
      <c r="B37">
        <v>2.1508199127308192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J84"/>
  <sheetViews>
    <sheetView showGridLines="0" zoomScaleNormal="100" workbookViewId="0">
      <selection activeCell="A9" sqref="A9:F9"/>
    </sheetView>
  </sheetViews>
  <sheetFormatPr defaultRowHeight="15" x14ac:dyDescent="0.25"/>
  <cols>
    <col min="1" max="35" width="5" style="41" customWidth="1"/>
    <col min="36" max="36" width="4.7109375" style="41" customWidth="1"/>
    <col min="37" max="16384" width="9.140625" style="41"/>
  </cols>
  <sheetData>
    <row r="1" spans="1:36" x14ac:dyDescent="0.25">
      <c r="B1" s="386"/>
      <c r="C1" s="386"/>
      <c r="D1" s="386"/>
      <c r="E1" s="386"/>
      <c r="F1" s="386"/>
      <c r="G1" s="386"/>
      <c r="H1" s="386"/>
      <c r="I1" s="386"/>
      <c r="J1" s="386"/>
    </row>
    <row r="2" spans="1:36" x14ac:dyDescent="0.25">
      <c r="B2" s="386"/>
      <c r="C2" s="386"/>
      <c r="D2" s="386"/>
      <c r="E2" s="386"/>
      <c r="F2" s="386"/>
      <c r="G2" s="386"/>
      <c r="H2" s="386"/>
      <c r="I2" s="386"/>
      <c r="J2" s="386"/>
    </row>
    <row r="3" spans="1:36" ht="6" customHeight="1" x14ac:dyDescent="0.25">
      <c r="B3" s="98"/>
      <c r="C3" s="98"/>
      <c r="D3" s="98"/>
      <c r="E3" s="98"/>
      <c r="F3" s="98"/>
      <c r="G3" s="98"/>
      <c r="H3" s="98"/>
      <c r="I3" s="98"/>
      <c r="J3" s="98"/>
    </row>
    <row r="4" spans="1:36" ht="11.25" customHeight="1" x14ac:dyDescent="0.25">
      <c r="A4" s="431" t="s">
        <v>172</v>
      </c>
      <c r="B4" s="431"/>
      <c r="C4" s="431"/>
      <c r="D4" s="431"/>
      <c r="E4" s="431"/>
      <c r="F4" s="431"/>
      <c r="G4" s="431"/>
      <c r="H4" s="431"/>
      <c r="I4" s="431"/>
      <c r="J4" s="431"/>
      <c r="K4" s="431"/>
      <c r="L4" s="431"/>
      <c r="M4" s="431"/>
      <c r="N4" s="431"/>
      <c r="O4" s="431"/>
      <c r="P4" s="431"/>
      <c r="Q4" s="431"/>
      <c r="R4" s="431"/>
      <c r="S4" s="431"/>
      <c r="T4" s="431"/>
      <c r="U4" s="431"/>
      <c r="V4" s="431"/>
      <c r="W4" s="431"/>
      <c r="X4" s="431"/>
      <c r="Y4" s="431"/>
      <c r="Z4" s="431"/>
      <c r="AA4" s="431"/>
      <c r="AB4" s="431"/>
      <c r="AC4" s="431"/>
      <c r="AD4" s="431"/>
      <c r="AE4" s="431"/>
      <c r="AF4" s="431"/>
      <c r="AG4" s="431"/>
      <c r="AH4" s="431"/>
      <c r="AI4" s="431"/>
      <c r="AJ4" s="431"/>
    </row>
    <row r="5" spans="1:36" ht="10.5" customHeight="1" x14ac:dyDescent="0.25">
      <c r="A5" s="445" t="s">
        <v>234</v>
      </c>
      <c r="B5" s="446"/>
      <c r="C5" s="446"/>
      <c r="D5" s="446"/>
      <c r="E5" s="446"/>
      <c r="F5" s="446"/>
      <c r="G5" s="446"/>
      <c r="H5" s="446"/>
      <c r="I5" s="446"/>
      <c r="J5" s="446"/>
      <c r="K5" s="446"/>
      <c r="L5" s="446"/>
      <c r="M5" s="446"/>
      <c r="N5" s="446"/>
      <c r="O5" s="446"/>
      <c r="P5" s="446"/>
      <c r="Q5" s="446"/>
      <c r="R5" s="446"/>
      <c r="S5" s="446"/>
      <c r="T5" s="446"/>
      <c r="U5" s="446"/>
      <c r="V5" s="446"/>
      <c r="W5" s="446"/>
      <c r="X5" s="446"/>
      <c r="Y5" s="446"/>
      <c r="Z5" s="446"/>
      <c r="AA5" s="446"/>
      <c r="AB5" s="446"/>
      <c r="AC5" s="446"/>
      <c r="AD5" s="446"/>
      <c r="AE5" s="446"/>
      <c r="AF5" s="446"/>
      <c r="AG5" s="446"/>
      <c r="AH5" s="446"/>
      <c r="AI5" s="446"/>
      <c r="AJ5" s="446"/>
    </row>
    <row r="6" spans="1:36" ht="5.25" customHeight="1" x14ac:dyDescent="0.25">
      <c r="A6" s="117"/>
      <c r="B6" s="117"/>
      <c r="C6" s="117"/>
      <c r="D6" s="117"/>
      <c r="E6" s="117"/>
      <c r="F6" s="117"/>
      <c r="G6" s="117"/>
      <c r="H6" s="117"/>
      <c r="I6" s="117"/>
      <c r="J6" s="117"/>
      <c r="K6" s="117"/>
      <c r="L6" s="117"/>
      <c r="M6" s="117"/>
      <c r="N6" s="117"/>
      <c r="O6" s="117"/>
      <c r="P6" s="117"/>
      <c r="Q6" s="117"/>
      <c r="R6" s="117"/>
      <c r="S6" s="117"/>
      <c r="T6" s="117"/>
      <c r="U6" s="117"/>
      <c r="V6" s="170"/>
      <c r="W6" s="170"/>
      <c r="X6" s="170"/>
      <c r="Y6" s="170"/>
      <c r="Z6" s="170"/>
      <c r="AA6" s="170"/>
      <c r="AB6" s="170"/>
      <c r="AC6" s="170"/>
      <c r="AD6" s="170"/>
      <c r="AE6" s="170"/>
      <c r="AF6" s="170"/>
      <c r="AG6" s="170"/>
      <c r="AH6" s="170"/>
    </row>
    <row r="7" spans="1:36" ht="11.25" customHeight="1" x14ac:dyDescent="0.25">
      <c r="A7" s="99"/>
      <c r="B7" s="99"/>
      <c r="C7" s="99"/>
      <c r="D7" s="99"/>
      <c r="E7" s="99"/>
      <c r="F7" s="99"/>
      <c r="G7" s="444" t="s">
        <v>60</v>
      </c>
      <c r="H7" s="444"/>
      <c r="I7" s="444"/>
      <c r="J7" s="444"/>
      <c r="K7" s="444"/>
      <c r="L7" s="444"/>
      <c r="M7" s="444"/>
      <c r="N7" s="444"/>
      <c r="O7" s="444"/>
      <c r="P7" s="444"/>
      <c r="Q7" s="444"/>
      <c r="R7" s="444"/>
      <c r="S7" s="444"/>
      <c r="T7" s="444"/>
      <c r="U7" s="444"/>
      <c r="V7" s="444"/>
      <c r="W7" s="444"/>
      <c r="X7" s="444"/>
      <c r="Y7" s="444"/>
      <c r="Z7" s="444"/>
      <c r="AA7" s="444"/>
      <c r="AB7" s="444"/>
      <c r="AC7" s="444"/>
      <c r="AD7" s="444"/>
      <c r="AE7" s="444"/>
      <c r="AF7" s="444"/>
      <c r="AG7" s="179"/>
      <c r="AH7" s="179"/>
      <c r="AI7" s="179"/>
    </row>
    <row r="8" spans="1:36" ht="18.75" customHeight="1" x14ac:dyDescent="0.25">
      <c r="A8" s="287"/>
      <c r="B8" s="287"/>
      <c r="C8" s="287"/>
      <c r="D8" s="287"/>
      <c r="E8" s="287"/>
      <c r="F8" s="288"/>
      <c r="G8" s="367" t="s">
        <v>3</v>
      </c>
      <c r="H8" s="369"/>
      <c r="I8" s="367" t="s">
        <v>18</v>
      </c>
      <c r="J8" s="368"/>
      <c r="K8" s="367" t="s">
        <v>125</v>
      </c>
      <c r="L8" s="368"/>
      <c r="M8" s="367" t="s">
        <v>53</v>
      </c>
      <c r="N8" s="369"/>
      <c r="O8" s="367" t="s">
        <v>54</v>
      </c>
      <c r="P8" s="369"/>
      <c r="Q8" s="367" t="s">
        <v>55</v>
      </c>
      <c r="R8" s="369"/>
      <c r="S8" s="367" t="s">
        <v>51</v>
      </c>
      <c r="T8" s="369"/>
      <c r="U8" s="367" t="s">
        <v>52</v>
      </c>
      <c r="V8" s="369"/>
      <c r="W8" s="367" t="s">
        <v>191</v>
      </c>
      <c r="X8" s="368"/>
      <c r="Y8" s="367" t="s">
        <v>192</v>
      </c>
      <c r="Z8" s="368"/>
      <c r="AA8" s="367" t="s">
        <v>193</v>
      </c>
      <c r="AB8" s="368"/>
      <c r="AC8" s="367" t="s">
        <v>194</v>
      </c>
      <c r="AD8" s="368"/>
      <c r="AE8" s="367" t="s">
        <v>195</v>
      </c>
      <c r="AF8" s="368"/>
      <c r="AG8" s="367" t="s">
        <v>273</v>
      </c>
      <c r="AH8" s="368"/>
      <c r="AI8" s="367" t="s">
        <v>133</v>
      </c>
      <c r="AJ8" s="368"/>
    </row>
    <row r="9" spans="1:36" ht="10.5" customHeight="1" x14ac:dyDescent="0.25">
      <c r="A9" s="443" t="s">
        <v>323</v>
      </c>
      <c r="B9" s="443"/>
      <c r="C9" s="443"/>
      <c r="D9" s="443"/>
      <c r="E9" s="443"/>
      <c r="F9" s="443"/>
      <c r="G9" s="440">
        <v>3.1198357228620521</v>
      </c>
      <c r="H9" s="440"/>
      <c r="I9" s="440">
        <v>1.071481481481481</v>
      </c>
      <c r="J9" s="440"/>
      <c r="K9" s="440">
        <v>2.7732814999162598</v>
      </c>
      <c r="L9" s="440"/>
      <c r="M9" s="440">
        <v>0.26616416262483139</v>
      </c>
      <c r="N9" s="440"/>
      <c r="O9" s="440">
        <v>0.13287995466213282</v>
      </c>
      <c r="P9" s="440"/>
      <c r="Q9" s="440">
        <v>1.1476147614761483</v>
      </c>
      <c r="R9" s="440"/>
      <c r="S9" s="440">
        <v>-0.35813676524785387</v>
      </c>
      <c r="T9" s="440"/>
      <c r="U9" s="440">
        <v>0.52433026898403357</v>
      </c>
      <c r="V9" s="440"/>
      <c r="W9" s="440">
        <v>1.8450520705002196</v>
      </c>
      <c r="X9" s="440"/>
      <c r="Y9" s="440">
        <v>8.0585200000000015</v>
      </c>
      <c r="Z9" s="440"/>
      <c r="AA9" s="440">
        <v>1.956799322096296</v>
      </c>
      <c r="AB9" s="440"/>
      <c r="AC9" s="441">
        <v>57</v>
      </c>
      <c r="AD9" s="441"/>
      <c r="AE9" s="441">
        <v>24</v>
      </c>
      <c r="AF9" s="441"/>
      <c r="AG9" s="440">
        <f>IF(ISBLANK(I9)=TRUE,"",I9*12)</f>
        <v>12.857777777777773</v>
      </c>
      <c r="AH9" s="440"/>
      <c r="AI9" s="440">
        <f>IF(ISBLANK(K9)=TRUE,"",K9*SQRT(12))</f>
        <v>9.6069289230915693</v>
      </c>
      <c r="AJ9" s="440"/>
    </row>
    <row r="10" spans="1:36" ht="10.5" customHeight="1" x14ac:dyDescent="0.25">
      <c r="A10" s="442" t="s">
        <v>324</v>
      </c>
      <c r="B10" s="442"/>
      <c r="C10" s="442"/>
      <c r="D10" s="442"/>
      <c r="E10" s="442"/>
      <c r="F10" s="442"/>
      <c r="G10" s="440">
        <v>0.38382851098378462</v>
      </c>
      <c r="H10" s="440"/>
      <c r="I10" s="440">
        <v>-0.59070987654321117</v>
      </c>
      <c r="J10" s="440"/>
      <c r="K10" s="440">
        <v>3.2964613507367622</v>
      </c>
      <c r="L10" s="440"/>
      <c r="M10" s="440">
        <v>-0.28031367929431966</v>
      </c>
      <c r="N10" s="440"/>
      <c r="O10" s="440">
        <v>-0.11889196453692454</v>
      </c>
      <c r="P10" s="440"/>
      <c r="Q10" s="440">
        <v>0.70764430577223059</v>
      </c>
      <c r="R10" s="440"/>
      <c r="S10" s="440">
        <v>-0.34573447975398897</v>
      </c>
      <c r="T10" s="440"/>
      <c r="U10" s="440">
        <v>-0.12929051425228333</v>
      </c>
      <c r="V10" s="440"/>
      <c r="W10" s="440">
        <v>1.5874962087700157</v>
      </c>
      <c r="X10" s="440"/>
      <c r="Y10" s="440">
        <v>53.023866635933729</v>
      </c>
      <c r="Z10" s="440"/>
      <c r="AA10" s="440">
        <v>2.3075353639430647</v>
      </c>
      <c r="AB10" s="440"/>
      <c r="AC10" s="441">
        <v>39</v>
      </c>
      <c r="AD10" s="441"/>
      <c r="AE10" s="441">
        <v>42</v>
      </c>
      <c r="AF10" s="441"/>
      <c r="AG10" s="440">
        <f t="shared" ref="AG10:AG73" si="0">IF(ISBLANK(I10)=TRUE,"",I10*12)</f>
        <v>-7.0885185185185335</v>
      </c>
      <c r="AH10" s="440"/>
      <c r="AI10" s="440">
        <f t="shared" ref="AI10:AI73" si="1">IF(ISBLANK(K10)=TRUE,"",K10*SQRT(12))</f>
        <v>11.419277089326402</v>
      </c>
      <c r="AJ10" s="440"/>
    </row>
    <row r="11" spans="1:36" ht="10.5" customHeight="1" x14ac:dyDescent="0.25">
      <c r="A11" s="442" t="s">
        <v>313</v>
      </c>
      <c r="B11" s="442"/>
      <c r="C11" s="442"/>
      <c r="D11" s="442"/>
      <c r="E11" s="442"/>
      <c r="F11" s="442"/>
      <c r="G11" s="440">
        <v>1.6485661129035101</v>
      </c>
      <c r="H11" s="440"/>
      <c r="I11" s="440">
        <v>0.99953086419753112</v>
      </c>
      <c r="J11" s="440"/>
      <c r="K11" s="440">
        <v>2.4718760975037752</v>
      </c>
      <c r="L11" s="440"/>
      <c r="M11" s="440">
        <v>0.26951089156004121</v>
      </c>
      <c r="N11" s="440"/>
      <c r="O11" s="440">
        <v>0.26098271633956782</v>
      </c>
      <c r="P11" s="440"/>
      <c r="Q11" s="440">
        <v>3.7605723463851288</v>
      </c>
      <c r="R11" s="440"/>
      <c r="S11" s="440">
        <v>2.1223157298803574</v>
      </c>
      <c r="T11" s="440"/>
      <c r="U11" s="440">
        <v>10.458279164544424</v>
      </c>
      <c r="V11" s="440"/>
      <c r="W11" s="440">
        <v>2.622688435924994</v>
      </c>
      <c r="X11" s="440"/>
      <c r="Y11" s="440">
        <v>7.7806000000000042</v>
      </c>
      <c r="Z11" s="440"/>
      <c r="AA11" s="440">
        <v>3.7834455434167427</v>
      </c>
      <c r="AB11" s="440"/>
      <c r="AC11" s="441">
        <v>79</v>
      </c>
      <c r="AD11" s="441"/>
      <c r="AE11" s="441">
        <v>2</v>
      </c>
      <c r="AF11" s="441"/>
      <c r="AG11" s="440">
        <f t="shared" si="0"/>
        <v>11.994370370370373</v>
      </c>
      <c r="AH11" s="440"/>
      <c r="AI11" s="440">
        <f t="shared" si="1"/>
        <v>8.5628299817832367</v>
      </c>
      <c r="AJ11" s="440"/>
    </row>
    <row r="12" spans="1:36" ht="10.5" customHeight="1" x14ac:dyDescent="0.25">
      <c r="A12" s="442" t="s">
        <v>325</v>
      </c>
      <c r="B12" s="442"/>
      <c r="C12" s="442"/>
      <c r="D12" s="442"/>
      <c r="E12" s="442"/>
      <c r="F12" s="442"/>
      <c r="G12" s="440">
        <v>2.2527338817128491</v>
      </c>
      <c r="H12" s="440"/>
      <c r="I12" s="440">
        <v>0.76405802469135775</v>
      </c>
      <c r="J12" s="440"/>
      <c r="K12" s="440">
        <v>0.83007775627711511</v>
      </c>
      <c r="L12" s="440"/>
      <c r="M12" s="440">
        <v>0.5188967998489894</v>
      </c>
      <c r="N12" s="440"/>
      <c r="O12" s="440">
        <v>0.30058074380782929</v>
      </c>
      <c r="P12" s="440"/>
      <c r="Q12" s="440">
        <v>1.1130689649156476</v>
      </c>
      <c r="R12" s="440"/>
      <c r="S12" s="440">
        <v>-7.0557874933738924</v>
      </c>
      <c r="T12" s="440"/>
      <c r="U12" s="440">
        <v>58.545269053459073</v>
      </c>
      <c r="V12" s="440"/>
      <c r="W12" s="440">
        <v>0.30165825457149459</v>
      </c>
      <c r="X12" s="440"/>
      <c r="Y12" s="440">
        <v>6.0599999999999987</v>
      </c>
      <c r="Z12" s="440"/>
      <c r="AA12" s="440">
        <v>4.2284985514955498</v>
      </c>
      <c r="AB12" s="440"/>
      <c r="AC12" s="441">
        <v>79</v>
      </c>
      <c r="AD12" s="441"/>
      <c r="AE12" s="441">
        <v>2</v>
      </c>
      <c r="AF12" s="441"/>
      <c r="AG12" s="440">
        <f t="shared" si="0"/>
        <v>9.168696296296293</v>
      </c>
      <c r="AH12" s="440"/>
      <c r="AI12" s="440">
        <f t="shared" si="1"/>
        <v>2.8754736962094776</v>
      </c>
      <c r="AJ12" s="440"/>
    </row>
    <row r="13" spans="1:36" ht="10.5" customHeight="1" x14ac:dyDescent="0.25">
      <c r="A13" s="442" t="s">
        <v>326</v>
      </c>
      <c r="B13" s="442"/>
      <c r="C13" s="442"/>
      <c r="D13" s="442"/>
      <c r="E13" s="442"/>
      <c r="F13" s="442"/>
      <c r="G13" s="440">
        <v>7.4708538114854242E-2</v>
      </c>
      <c r="H13" s="440"/>
      <c r="I13" s="440">
        <v>0.87672839506172839</v>
      </c>
      <c r="J13" s="440"/>
      <c r="K13" s="440">
        <v>1.2028065023347023</v>
      </c>
      <c r="L13" s="440"/>
      <c r="M13" s="440">
        <v>0.45177263398031231</v>
      </c>
      <c r="N13" s="440"/>
      <c r="O13" s="440">
        <v>0.49157117102326664</v>
      </c>
      <c r="P13" s="440"/>
      <c r="Q13" s="440">
        <v>3.6423547504353464</v>
      </c>
      <c r="R13" s="440"/>
      <c r="S13" s="440">
        <v>5.4820265075658519</v>
      </c>
      <c r="T13" s="440"/>
      <c r="U13" s="440">
        <v>45.279140469146149</v>
      </c>
      <c r="V13" s="440"/>
      <c r="W13" s="440">
        <v>1.1229234245900213</v>
      </c>
      <c r="X13" s="440"/>
      <c r="Y13" s="440">
        <v>2.1499999999999964</v>
      </c>
      <c r="Z13" s="440"/>
      <c r="AA13" s="440">
        <v>1.0369588121039321</v>
      </c>
      <c r="AB13" s="440"/>
      <c r="AC13" s="441">
        <v>76</v>
      </c>
      <c r="AD13" s="441"/>
      <c r="AE13" s="441">
        <v>5</v>
      </c>
      <c r="AF13" s="441"/>
      <c r="AG13" s="440">
        <f t="shared" si="0"/>
        <v>10.520740740740742</v>
      </c>
      <c r="AH13" s="440"/>
      <c r="AI13" s="440">
        <f t="shared" si="1"/>
        <v>4.1666439474358352</v>
      </c>
      <c r="AJ13" s="440"/>
    </row>
    <row r="14" spans="1:36" ht="10.5" customHeight="1" x14ac:dyDescent="0.25">
      <c r="A14" s="442" t="s">
        <v>327</v>
      </c>
      <c r="B14" s="442"/>
      <c r="C14" s="442"/>
      <c r="D14" s="442"/>
      <c r="E14" s="442"/>
      <c r="F14" s="442"/>
      <c r="G14" s="440">
        <v>2.3161392028527477</v>
      </c>
      <c r="H14" s="440"/>
      <c r="I14" s="440">
        <v>1.2238271604938253</v>
      </c>
      <c r="J14" s="440"/>
      <c r="K14" s="440">
        <v>2.590172565632082</v>
      </c>
      <c r="L14" s="440"/>
      <c r="M14" s="440">
        <v>0.34379710409108749</v>
      </c>
      <c r="N14" s="440"/>
      <c r="O14" s="440">
        <v>0.27526857099242402</v>
      </c>
      <c r="P14" s="440"/>
      <c r="Q14" s="440">
        <v>2.4397217928902615</v>
      </c>
      <c r="R14" s="440"/>
      <c r="S14" s="440">
        <v>0.62744580471603839</v>
      </c>
      <c r="T14" s="440"/>
      <c r="U14" s="440">
        <v>0.58996152747005515</v>
      </c>
      <c r="V14" s="440"/>
      <c r="W14" s="440">
        <v>2.0488954567260365</v>
      </c>
      <c r="X14" s="440"/>
      <c r="Y14" s="440">
        <v>5.3062721192723377</v>
      </c>
      <c r="Z14" s="440"/>
      <c r="AA14" s="440">
        <v>0.97837612713815036</v>
      </c>
      <c r="AB14" s="440"/>
      <c r="AC14" s="441">
        <v>55</v>
      </c>
      <c r="AD14" s="441"/>
      <c r="AE14" s="441">
        <v>26</v>
      </c>
      <c r="AF14" s="441"/>
      <c r="AG14" s="440">
        <f t="shared" si="0"/>
        <v>14.685925925925904</v>
      </c>
      <c r="AH14" s="440"/>
      <c r="AI14" s="440">
        <f t="shared" si="1"/>
        <v>8.9726209680915971</v>
      </c>
      <c r="AJ14" s="440"/>
    </row>
    <row r="15" spans="1:36" ht="10.5" customHeight="1" x14ac:dyDescent="0.25">
      <c r="A15" s="442" t="s">
        <v>328</v>
      </c>
      <c r="B15" s="442"/>
      <c r="C15" s="442"/>
      <c r="D15" s="442"/>
      <c r="E15" s="442"/>
      <c r="F15" s="442"/>
      <c r="G15" s="440">
        <v>5.0884559134344611</v>
      </c>
      <c r="H15" s="440"/>
      <c r="I15" s="440">
        <v>0.90211975308642001</v>
      </c>
      <c r="J15" s="440"/>
      <c r="K15" s="440">
        <v>0.90464609936976847</v>
      </c>
      <c r="L15" s="440"/>
      <c r="M15" s="440">
        <v>0.62873915020397253</v>
      </c>
      <c r="N15" s="440"/>
      <c r="O15" s="440">
        <v>1.0778083656318855</v>
      </c>
      <c r="P15" s="440"/>
      <c r="Q15" s="440">
        <v>6.2826282628262726</v>
      </c>
      <c r="R15" s="440"/>
      <c r="S15" s="440">
        <v>1.1036541598009331</v>
      </c>
      <c r="T15" s="440"/>
      <c r="U15" s="440">
        <v>2.9265604761155481</v>
      </c>
      <c r="V15" s="440"/>
      <c r="W15" s="440">
        <v>0.80004345223631412</v>
      </c>
      <c r="X15" s="440"/>
      <c r="Y15" s="440">
        <v>0.827814849999986</v>
      </c>
      <c r="Z15" s="440"/>
      <c r="AA15" s="440">
        <v>0.23978027757751688</v>
      </c>
      <c r="AB15" s="440"/>
      <c r="AC15" s="441">
        <v>69</v>
      </c>
      <c r="AD15" s="441"/>
      <c r="AE15" s="441">
        <v>12</v>
      </c>
      <c r="AF15" s="441"/>
      <c r="AG15" s="440">
        <f t="shared" si="0"/>
        <v>10.825437037037041</v>
      </c>
      <c r="AH15" s="440"/>
      <c r="AI15" s="440">
        <f t="shared" si="1"/>
        <v>3.1337860139548845</v>
      </c>
      <c r="AJ15" s="440"/>
    </row>
    <row r="16" spans="1:36" ht="10.5" customHeight="1" x14ac:dyDescent="0.25">
      <c r="A16" s="442" t="s">
        <v>329</v>
      </c>
      <c r="B16" s="442"/>
      <c r="C16" s="442"/>
      <c r="D16" s="442"/>
      <c r="E16" s="442"/>
      <c r="F16" s="442"/>
      <c r="G16" s="440">
        <v>0.31241514888606614</v>
      </c>
      <c r="H16" s="440"/>
      <c r="I16" s="440">
        <v>0.84897654320987515</v>
      </c>
      <c r="J16" s="440"/>
      <c r="K16" s="440">
        <v>1.0539467762026224</v>
      </c>
      <c r="L16" s="440"/>
      <c r="M16" s="440">
        <v>0.48924976243526058</v>
      </c>
      <c r="N16" s="440"/>
      <c r="O16" s="440">
        <v>0.84879540720418234</v>
      </c>
      <c r="P16" s="440"/>
      <c r="Q16" s="440">
        <v>6.7930452674896937</v>
      </c>
      <c r="R16" s="440"/>
      <c r="S16" s="440">
        <v>1.7820330025637088</v>
      </c>
      <c r="T16" s="440"/>
      <c r="U16" s="440">
        <v>6.2391715849201921</v>
      </c>
      <c r="V16" s="440"/>
      <c r="W16" s="440">
        <v>0.9956610478948561</v>
      </c>
      <c r="X16" s="440"/>
      <c r="Y16" s="440">
        <v>2.1499999999999964</v>
      </c>
      <c r="Z16" s="440"/>
      <c r="AA16" s="440">
        <v>1.1615506876585289</v>
      </c>
      <c r="AB16" s="440"/>
      <c r="AC16" s="441">
        <v>78</v>
      </c>
      <c r="AD16" s="441"/>
      <c r="AE16" s="441">
        <v>3</v>
      </c>
      <c r="AF16" s="441"/>
      <c r="AG16" s="440">
        <f t="shared" si="0"/>
        <v>10.187718518518501</v>
      </c>
      <c r="AH16" s="440"/>
      <c r="AI16" s="440">
        <f t="shared" si="1"/>
        <v>3.6509787297127336</v>
      </c>
      <c r="AJ16" s="440"/>
    </row>
    <row r="17" spans="1:36" ht="10.5" customHeight="1" x14ac:dyDescent="0.25">
      <c r="A17" s="442" t="s">
        <v>330</v>
      </c>
      <c r="B17" s="442"/>
      <c r="C17" s="442"/>
      <c r="D17" s="442"/>
      <c r="E17" s="442"/>
      <c r="F17" s="442"/>
      <c r="G17" s="440">
        <v>0.63216726934408507</v>
      </c>
      <c r="H17" s="440"/>
      <c r="I17" s="440">
        <v>0.25170740740740599</v>
      </c>
      <c r="J17" s="440"/>
      <c r="K17" s="440">
        <v>4.1750215873926271</v>
      </c>
      <c r="L17" s="440"/>
      <c r="M17" s="440">
        <v>-1.9551018891115272E-2</v>
      </c>
      <c r="N17" s="440"/>
      <c r="O17" s="440">
        <v>-9.7968549512926061E-3</v>
      </c>
      <c r="P17" s="440"/>
      <c r="Q17" s="440">
        <v>1.3375090766156366</v>
      </c>
      <c r="R17" s="440"/>
      <c r="S17" s="440">
        <v>-0.19749069186164284</v>
      </c>
      <c r="T17" s="440"/>
      <c r="U17" s="440">
        <v>6.2696774168303202</v>
      </c>
      <c r="V17" s="440"/>
      <c r="W17" s="440">
        <v>3.2020630788043976</v>
      </c>
      <c r="X17" s="440"/>
      <c r="Y17" s="440">
        <v>37.348795918401493</v>
      </c>
      <c r="Z17" s="440"/>
      <c r="AA17" s="440">
        <v>3.0206738637198436</v>
      </c>
      <c r="AB17" s="440"/>
      <c r="AC17" s="441">
        <v>43</v>
      </c>
      <c r="AD17" s="441"/>
      <c r="AE17" s="441">
        <v>38</v>
      </c>
      <c r="AF17" s="441"/>
      <c r="AG17" s="440">
        <f t="shared" si="0"/>
        <v>3.0204888888888721</v>
      </c>
      <c r="AH17" s="440"/>
      <c r="AI17" s="440">
        <f t="shared" si="1"/>
        <v>14.462699024121791</v>
      </c>
      <c r="AJ17" s="440"/>
    </row>
    <row r="18" spans="1:36" ht="10.5" customHeight="1" x14ac:dyDescent="0.25">
      <c r="A18" s="442" t="s">
        <v>312</v>
      </c>
      <c r="B18" s="442"/>
      <c r="C18" s="442"/>
      <c r="D18" s="442"/>
      <c r="E18" s="442"/>
      <c r="F18" s="442"/>
      <c r="G18" s="440">
        <v>2.6002025632982382</v>
      </c>
      <c r="H18" s="440"/>
      <c r="I18" s="440">
        <v>0.89082839506172684</v>
      </c>
      <c r="J18" s="440"/>
      <c r="K18" s="440">
        <v>1.66676344401617</v>
      </c>
      <c r="L18" s="440"/>
      <c r="M18" s="440">
        <v>0.33447761512280028</v>
      </c>
      <c r="N18" s="440"/>
      <c r="O18" s="440">
        <v>0.20678408461657152</v>
      </c>
      <c r="P18" s="440"/>
      <c r="Q18" s="440">
        <v>1.6845726578944891</v>
      </c>
      <c r="R18" s="440"/>
      <c r="S18" s="440">
        <v>-2.4429775706427164E-2</v>
      </c>
      <c r="T18" s="440"/>
      <c r="U18" s="440">
        <v>0.7653259421683799</v>
      </c>
      <c r="V18" s="440"/>
      <c r="W18" s="440">
        <v>1.1667057429037502</v>
      </c>
      <c r="X18" s="440"/>
      <c r="Y18" s="440">
        <v>4.3158265389987456</v>
      </c>
      <c r="Z18" s="440"/>
      <c r="AA18" s="440">
        <v>0.95197620912333891</v>
      </c>
      <c r="AB18" s="440"/>
      <c r="AC18" s="441">
        <v>61</v>
      </c>
      <c r="AD18" s="441"/>
      <c r="AE18" s="441">
        <v>20</v>
      </c>
      <c r="AF18" s="441"/>
      <c r="AG18" s="440">
        <f t="shared" si="0"/>
        <v>10.689940740740722</v>
      </c>
      <c r="AH18" s="440"/>
      <c r="AI18" s="440">
        <f t="shared" si="1"/>
        <v>5.7738379384689811</v>
      </c>
      <c r="AJ18" s="440"/>
    </row>
    <row r="19" spans="1:36" ht="10.5" customHeight="1" x14ac:dyDescent="0.25">
      <c r="A19" s="442" t="s">
        <v>331</v>
      </c>
      <c r="B19" s="442"/>
      <c r="C19" s="442"/>
      <c r="D19" s="442"/>
      <c r="E19" s="442"/>
      <c r="F19" s="442"/>
      <c r="G19" s="440">
        <v>1.9781361566591196</v>
      </c>
      <c r="H19" s="440"/>
      <c r="I19" s="440">
        <v>1.6964555555555525</v>
      </c>
      <c r="J19" s="440"/>
      <c r="K19" s="440">
        <v>2.7684984074855463</v>
      </c>
      <c r="L19" s="440"/>
      <c r="M19" s="440">
        <v>0.49236879404971656</v>
      </c>
      <c r="N19" s="440"/>
      <c r="O19" s="440">
        <v>0.30631960049937512</v>
      </c>
      <c r="P19" s="440"/>
      <c r="Q19" s="440">
        <v>1.7696629213483146</v>
      </c>
      <c r="R19" s="440"/>
      <c r="S19" s="440">
        <v>2.0854953778889455E-2</v>
      </c>
      <c r="T19" s="440"/>
      <c r="U19" s="440">
        <v>1.3372807668036288</v>
      </c>
      <c r="V19" s="440"/>
      <c r="W19" s="440">
        <v>2.05739304619871</v>
      </c>
      <c r="X19" s="440"/>
      <c r="Y19" s="440">
        <v>8.2033999999999949</v>
      </c>
      <c r="Z19" s="440"/>
      <c r="AA19" s="440">
        <v>1.7979819250056579</v>
      </c>
      <c r="AB19" s="440"/>
      <c r="AC19" s="441">
        <v>63</v>
      </c>
      <c r="AD19" s="441"/>
      <c r="AE19" s="441">
        <v>18</v>
      </c>
      <c r="AF19" s="441"/>
      <c r="AG19" s="440">
        <f t="shared" si="0"/>
        <v>20.357466666666632</v>
      </c>
      <c r="AH19" s="440"/>
      <c r="AI19" s="440">
        <f t="shared" si="1"/>
        <v>9.5903598048769823</v>
      </c>
      <c r="AJ19" s="440"/>
    </row>
    <row r="20" spans="1:36" ht="10.5" customHeight="1" x14ac:dyDescent="0.25">
      <c r="A20" s="442" t="s">
        <v>311</v>
      </c>
      <c r="B20" s="442"/>
      <c r="C20" s="442"/>
      <c r="D20" s="442"/>
      <c r="E20" s="442"/>
      <c r="F20" s="442"/>
      <c r="G20" s="440">
        <v>9.3802814854689185</v>
      </c>
      <c r="H20" s="440"/>
      <c r="I20" s="440">
        <v>1.4251518518518504</v>
      </c>
      <c r="J20" s="440"/>
      <c r="K20" s="440">
        <v>1.0274128743001893</v>
      </c>
      <c r="L20" s="440"/>
      <c r="M20" s="440">
        <v>1.0626872076741272</v>
      </c>
      <c r="N20" s="440"/>
      <c r="O20" s="440">
        <v>4.1928514536041313</v>
      </c>
      <c r="P20" s="440"/>
      <c r="Q20" s="440">
        <v>14.871735791090599</v>
      </c>
      <c r="R20" s="440"/>
      <c r="S20" s="440">
        <v>0.67740954624944083</v>
      </c>
      <c r="T20" s="440"/>
      <c r="U20" s="440">
        <v>1.3904341786465333</v>
      </c>
      <c r="V20" s="440"/>
      <c r="W20" s="440">
        <v>0.94066440625757963</v>
      </c>
      <c r="X20" s="440"/>
      <c r="Y20" s="440">
        <v>0.40980000000000461</v>
      </c>
      <c r="Z20" s="440"/>
      <c r="AA20" s="440">
        <v>0.13087777285915217</v>
      </c>
      <c r="AB20" s="440"/>
      <c r="AC20" s="441">
        <v>74</v>
      </c>
      <c r="AD20" s="441"/>
      <c r="AE20" s="441">
        <v>7</v>
      </c>
      <c r="AF20" s="441"/>
      <c r="AG20" s="440">
        <f t="shared" si="0"/>
        <v>17.101822222222204</v>
      </c>
      <c r="AH20" s="440"/>
      <c r="AI20" s="440">
        <f t="shared" si="1"/>
        <v>3.5590625972766086</v>
      </c>
      <c r="AJ20" s="440"/>
    </row>
    <row r="21" spans="1:36" ht="10.5" customHeight="1" x14ac:dyDescent="0.25">
      <c r="A21" s="442" t="s">
        <v>309</v>
      </c>
      <c r="B21" s="442"/>
      <c r="C21" s="442"/>
      <c r="D21" s="442"/>
      <c r="E21" s="442"/>
      <c r="F21" s="442"/>
      <c r="G21" s="440">
        <v>1.9130169420027179</v>
      </c>
      <c r="H21" s="440"/>
      <c r="I21" s="440">
        <v>1.3108345679012348</v>
      </c>
      <c r="J21" s="440"/>
      <c r="K21" s="440">
        <v>3.7646471392801377</v>
      </c>
      <c r="L21" s="440"/>
      <c r="M21" s="440">
        <v>0.25965281695824904</v>
      </c>
      <c r="N21" s="440"/>
      <c r="O21" s="440">
        <v>0.29838938149313599</v>
      </c>
      <c r="P21" s="440"/>
      <c r="Q21" s="440">
        <v>4.2794477895556238</v>
      </c>
      <c r="R21" s="440"/>
      <c r="S21" s="440">
        <v>2.527014752916156</v>
      </c>
      <c r="T21" s="440"/>
      <c r="U21" s="440">
        <v>7.3105788051371379</v>
      </c>
      <c r="V21" s="440"/>
      <c r="W21" s="440">
        <v>4.7910620824443795</v>
      </c>
      <c r="X21" s="440"/>
      <c r="Y21" s="440">
        <v>4.5855000000000086</v>
      </c>
      <c r="Z21" s="440"/>
      <c r="AA21" s="440">
        <v>1.5579148225386761</v>
      </c>
      <c r="AB21" s="440"/>
      <c r="AC21" s="441">
        <v>73</v>
      </c>
      <c r="AD21" s="441"/>
      <c r="AE21" s="441">
        <v>8</v>
      </c>
      <c r="AF21" s="441"/>
      <c r="AG21" s="440">
        <f t="shared" si="0"/>
        <v>15.730014814814817</v>
      </c>
      <c r="AH21" s="440"/>
      <c r="AI21" s="440">
        <f t="shared" si="1"/>
        <v>13.041120235604051</v>
      </c>
      <c r="AJ21" s="440"/>
    </row>
    <row r="22" spans="1:36" ht="10.5" customHeight="1" x14ac:dyDescent="0.25">
      <c r="A22" s="442" t="s">
        <v>332</v>
      </c>
      <c r="B22" s="442"/>
      <c r="C22" s="442"/>
      <c r="D22" s="442"/>
      <c r="E22" s="442"/>
      <c r="F22" s="442"/>
      <c r="G22" s="440">
        <v>6.2542639622975651</v>
      </c>
      <c r="H22" s="440"/>
      <c r="I22" s="440">
        <v>1.0459888888888873</v>
      </c>
      <c r="J22" s="440"/>
      <c r="K22" s="440">
        <v>2.1740317960531299</v>
      </c>
      <c r="L22" s="440"/>
      <c r="M22" s="440">
        <v>0.32780364889297042</v>
      </c>
      <c r="N22" s="440"/>
      <c r="O22" s="440">
        <v>0.20716731266149807</v>
      </c>
      <c r="P22" s="440"/>
      <c r="Q22" s="440">
        <v>1.7848837209302302</v>
      </c>
      <c r="R22" s="440"/>
      <c r="S22" s="440">
        <v>0.39548181381931069</v>
      </c>
      <c r="T22" s="440"/>
      <c r="U22" s="440">
        <v>4.1328821962927957</v>
      </c>
      <c r="V22" s="440"/>
      <c r="W22" s="440">
        <v>1.748783792495695</v>
      </c>
      <c r="X22" s="440"/>
      <c r="Y22" s="440">
        <v>7.0000000000000062</v>
      </c>
      <c r="Z22" s="440"/>
      <c r="AA22" s="440">
        <v>1.4367381909736294</v>
      </c>
      <c r="AB22" s="440"/>
      <c r="AC22" s="441">
        <v>57</v>
      </c>
      <c r="AD22" s="441"/>
      <c r="AE22" s="441">
        <v>24</v>
      </c>
      <c r="AF22" s="441"/>
      <c r="AG22" s="440">
        <f t="shared" si="0"/>
        <v>12.551866666666648</v>
      </c>
      <c r="AH22" s="440"/>
      <c r="AI22" s="440">
        <f t="shared" si="1"/>
        <v>7.5310670560684807</v>
      </c>
      <c r="AJ22" s="440"/>
    </row>
    <row r="23" spans="1:36" ht="10.5" customHeight="1" x14ac:dyDescent="0.25">
      <c r="A23" s="442" t="s">
        <v>333</v>
      </c>
      <c r="B23" s="442"/>
      <c r="C23" s="442"/>
      <c r="D23" s="442"/>
      <c r="E23" s="442"/>
      <c r="F23" s="442"/>
      <c r="G23" s="440">
        <v>2.9943734177995665</v>
      </c>
      <c r="H23" s="440"/>
      <c r="I23" s="440">
        <v>0.57492345679012169</v>
      </c>
      <c r="J23" s="440"/>
      <c r="K23" s="440">
        <v>1.9344987720512778</v>
      </c>
      <c r="L23" s="440"/>
      <c r="M23" s="440">
        <v>0.12488512629067956</v>
      </c>
      <c r="N23" s="440"/>
      <c r="O23" s="440">
        <v>6.6792494786955578E-2</v>
      </c>
      <c r="P23" s="440"/>
      <c r="Q23" s="440">
        <v>1.0828788852717337</v>
      </c>
      <c r="R23" s="440"/>
      <c r="S23" s="440">
        <v>-0.32773863659066588</v>
      </c>
      <c r="T23" s="440"/>
      <c r="U23" s="440">
        <v>-0.12760372241148046</v>
      </c>
      <c r="V23" s="440"/>
      <c r="W23" s="440">
        <v>1.1052667641641938</v>
      </c>
      <c r="X23" s="440"/>
      <c r="Y23" s="440">
        <v>8.9830380283794309</v>
      </c>
      <c r="Z23" s="440"/>
      <c r="AA23" s="440">
        <v>1.2020134508558165</v>
      </c>
      <c r="AB23" s="440"/>
      <c r="AC23" s="441">
        <v>49</v>
      </c>
      <c r="AD23" s="441"/>
      <c r="AE23" s="441">
        <v>32</v>
      </c>
      <c r="AF23" s="441"/>
      <c r="AG23" s="440">
        <f t="shared" si="0"/>
        <v>6.8990814814814598</v>
      </c>
      <c r="AH23" s="440"/>
      <c r="AI23" s="440">
        <f t="shared" si="1"/>
        <v>6.7013003207448341</v>
      </c>
      <c r="AJ23" s="440"/>
    </row>
    <row r="24" spans="1:36" ht="10.5" customHeight="1" x14ac:dyDescent="0.25">
      <c r="A24" s="442" t="s">
        <v>334</v>
      </c>
      <c r="B24" s="442"/>
      <c r="C24" s="442"/>
      <c r="D24" s="442"/>
      <c r="E24" s="442"/>
      <c r="F24" s="442"/>
      <c r="G24" s="440">
        <v>7.9690284301623793</v>
      </c>
      <c r="H24" s="440"/>
      <c r="I24" s="440">
        <v>0.71196049382715865</v>
      </c>
      <c r="J24" s="440"/>
      <c r="K24" s="440">
        <v>0.74826574034212845</v>
      </c>
      <c r="L24" s="440"/>
      <c r="M24" s="440">
        <v>0.50600627568583612</v>
      </c>
      <c r="N24" s="440"/>
      <c r="O24" s="440">
        <v>0.36993371811805192</v>
      </c>
      <c r="P24" s="440"/>
      <c r="Q24" s="440">
        <v>2.2540058622374288</v>
      </c>
      <c r="R24" s="440"/>
      <c r="S24" s="440">
        <v>-7.8392785764601985E-2</v>
      </c>
      <c r="T24" s="440"/>
      <c r="U24" s="440">
        <v>1.2734006439283831</v>
      </c>
      <c r="V24" s="440"/>
      <c r="W24" s="440">
        <v>0.58105027219761918</v>
      </c>
      <c r="X24" s="440"/>
      <c r="Y24" s="440">
        <v>2.5775659999999867</v>
      </c>
      <c r="Z24" s="440"/>
      <c r="AA24" s="440">
        <v>0.45192334649928068</v>
      </c>
      <c r="AB24" s="440"/>
      <c r="AC24" s="441">
        <v>71</v>
      </c>
      <c r="AD24" s="441"/>
      <c r="AE24" s="441">
        <v>10</v>
      </c>
      <c r="AF24" s="441"/>
      <c r="AG24" s="440">
        <f t="shared" si="0"/>
        <v>8.5435259259259038</v>
      </c>
      <c r="AH24" s="440"/>
      <c r="AI24" s="440">
        <f t="shared" si="1"/>
        <v>2.5920685596714148</v>
      </c>
      <c r="AJ24" s="440"/>
    </row>
    <row r="25" spans="1:36" ht="10.5" customHeight="1" x14ac:dyDescent="0.25">
      <c r="A25" s="442" t="s">
        <v>335</v>
      </c>
      <c r="B25" s="442"/>
      <c r="C25" s="442"/>
      <c r="D25" s="442"/>
      <c r="E25" s="442"/>
      <c r="F25" s="442"/>
      <c r="G25" s="440">
        <v>2.131973446106199</v>
      </c>
      <c r="H25" s="440"/>
      <c r="I25" s="440">
        <v>0.87026543209876761</v>
      </c>
      <c r="J25" s="440"/>
      <c r="K25" s="440">
        <v>2.0423766137860393</v>
      </c>
      <c r="L25" s="440"/>
      <c r="M25" s="440">
        <v>0.26289573389214471</v>
      </c>
      <c r="N25" s="440"/>
      <c r="O25" s="440">
        <v>0.19333576939559063</v>
      </c>
      <c r="P25" s="440"/>
      <c r="Q25" s="440">
        <v>2.1921449661529615</v>
      </c>
      <c r="R25" s="440"/>
      <c r="S25" s="440">
        <v>0.67329090784540091</v>
      </c>
      <c r="T25" s="440"/>
      <c r="U25" s="440">
        <v>1.3565189898893342</v>
      </c>
      <c r="V25" s="440"/>
      <c r="W25" s="440">
        <v>1.6099717085117513</v>
      </c>
      <c r="X25" s="440"/>
      <c r="Y25" s="440">
        <v>7.2885102021470356</v>
      </c>
      <c r="Z25" s="440"/>
      <c r="AA25" s="440">
        <v>0.89278077937895273</v>
      </c>
      <c r="AB25" s="440"/>
      <c r="AC25" s="441">
        <v>54</v>
      </c>
      <c r="AD25" s="441"/>
      <c r="AE25" s="441">
        <v>27</v>
      </c>
      <c r="AF25" s="441"/>
      <c r="AG25" s="440">
        <f t="shared" si="0"/>
        <v>10.443185185185211</v>
      </c>
      <c r="AH25" s="440"/>
      <c r="AI25" s="440">
        <f t="shared" si="1"/>
        <v>7.0750001265357962</v>
      </c>
      <c r="AJ25" s="440"/>
    </row>
    <row r="26" spans="1:36" ht="10.5" customHeight="1" x14ac:dyDescent="0.25">
      <c r="A26" s="442" t="s">
        <v>336</v>
      </c>
      <c r="B26" s="442"/>
      <c r="C26" s="442"/>
      <c r="D26" s="442"/>
      <c r="E26" s="442"/>
      <c r="F26" s="442"/>
      <c r="G26" s="440">
        <v>1.7445328407307517</v>
      </c>
      <c r="H26" s="440"/>
      <c r="I26" s="440">
        <v>0.62962222222222175</v>
      </c>
      <c r="J26" s="440"/>
      <c r="K26" s="440">
        <v>1.3846518598550319</v>
      </c>
      <c r="L26" s="440"/>
      <c r="M26" s="440">
        <v>0.21398078280840124</v>
      </c>
      <c r="N26" s="440"/>
      <c r="O26" s="440">
        <v>0.1173189027475308</v>
      </c>
      <c r="P26" s="440"/>
      <c r="Q26" s="440">
        <v>1.3841813502276792</v>
      </c>
      <c r="R26" s="440"/>
      <c r="S26" s="440">
        <v>-0.17960928990428784</v>
      </c>
      <c r="T26" s="440"/>
      <c r="U26" s="440">
        <v>0.74151768574391408</v>
      </c>
      <c r="V26" s="440"/>
      <c r="W26" s="440">
        <v>0.94837758968893582</v>
      </c>
      <c r="X26" s="440"/>
      <c r="Y26" s="440">
        <v>5.9724930175000024</v>
      </c>
      <c r="Z26" s="440"/>
      <c r="AA26" s="440">
        <v>0.94237069632162918</v>
      </c>
      <c r="AB26" s="440"/>
      <c r="AC26" s="441">
        <v>59</v>
      </c>
      <c r="AD26" s="441"/>
      <c r="AE26" s="441">
        <v>22</v>
      </c>
      <c r="AF26" s="441"/>
      <c r="AG26" s="440">
        <f t="shared" si="0"/>
        <v>7.5554666666666606</v>
      </c>
      <c r="AH26" s="440"/>
      <c r="AI26" s="440">
        <f t="shared" si="1"/>
        <v>4.7965747441273114</v>
      </c>
      <c r="AJ26" s="440"/>
    </row>
    <row r="27" spans="1:36" ht="10.5" customHeight="1" x14ac:dyDescent="0.25">
      <c r="A27" s="442" t="s">
        <v>307</v>
      </c>
      <c r="B27" s="442"/>
      <c r="C27" s="442"/>
      <c r="D27" s="442"/>
      <c r="E27" s="442"/>
      <c r="F27" s="442"/>
      <c r="G27" s="440">
        <v>2.9539219988021599</v>
      </c>
      <c r="H27" s="440"/>
      <c r="I27" s="440">
        <v>0.73641975308641916</v>
      </c>
      <c r="J27" s="440"/>
      <c r="K27" s="440">
        <v>2.3239844922255695</v>
      </c>
      <c r="L27" s="440"/>
      <c r="M27" s="440">
        <v>0.17344626055015933</v>
      </c>
      <c r="N27" s="440"/>
      <c r="O27" s="440">
        <v>6.3592342118620179E-2</v>
      </c>
      <c r="P27" s="440"/>
      <c r="Q27" s="440">
        <v>0.6419950777774277</v>
      </c>
      <c r="R27" s="440"/>
      <c r="S27" s="440">
        <v>-2.3471869394428153</v>
      </c>
      <c r="T27" s="440"/>
      <c r="U27" s="440">
        <v>10.803961422160539</v>
      </c>
      <c r="V27" s="440"/>
      <c r="W27" s="440">
        <v>1.1801786698584538</v>
      </c>
      <c r="X27" s="440"/>
      <c r="Y27" s="440">
        <v>15.239245107999977</v>
      </c>
      <c r="Z27" s="440"/>
      <c r="AA27" s="440">
        <v>2.6768545983433492</v>
      </c>
      <c r="AB27" s="440"/>
      <c r="AC27" s="441">
        <v>58</v>
      </c>
      <c r="AD27" s="441"/>
      <c r="AE27" s="441">
        <v>23</v>
      </c>
      <c r="AF27" s="441"/>
      <c r="AG27" s="440">
        <f t="shared" si="0"/>
        <v>8.8370370370370299</v>
      </c>
      <c r="AH27" s="440"/>
      <c r="AI27" s="440">
        <f t="shared" si="1"/>
        <v>8.0505184330736892</v>
      </c>
      <c r="AJ27" s="440"/>
    </row>
    <row r="28" spans="1:36" ht="10.5" customHeight="1" x14ac:dyDescent="0.25">
      <c r="A28" s="442" t="s">
        <v>337</v>
      </c>
      <c r="B28" s="442"/>
      <c r="C28" s="442"/>
      <c r="D28" s="442"/>
      <c r="E28" s="442"/>
      <c r="F28" s="442"/>
      <c r="G28" s="440">
        <v>1.5186526433867344</v>
      </c>
      <c r="H28" s="440"/>
      <c r="I28" s="440">
        <v>0.68902345679012278</v>
      </c>
      <c r="J28" s="440"/>
      <c r="K28" s="440">
        <v>3.7941576652226656</v>
      </c>
      <c r="L28" s="440"/>
      <c r="M28" s="440">
        <v>9.3746795689871598E-2</v>
      </c>
      <c r="N28" s="440"/>
      <c r="O28" s="440">
        <v>3.487311925102473E-2</v>
      </c>
      <c r="P28" s="440"/>
      <c r="Q28" s="440">
        <v>1.1246182429616982</v>
      </c>
      <c r="R28" s="440"/>
      <c r="S28" s="440">
        <v>-0.45074814781131906</v>
      </c>
      <c r="T28" s="440"/>
      <c r="U28" s="440">
        <v>9.810183881113856</v>
      </c>
      <c r="V28" s="440"/>
      <c r="W28" s="440">
        <v>2.7562892898290285</v>
      </c>
      <c r="X28" s="440"/>
      <c r="Y28" s="440">
        <v>19.618030240177099</v>
      </c>
      <c r="Z28" s="440"/>
      <c r="AA28" s="440">
        <v>6.0353297663878847</v>
      </c>
      <c r="AB28" s="440"/>
      <c r="AC28" s="441">
        <v>74</v>
      </c>
      <c r="AD28" s="441"/>
      <c r="AE28" s="441">
        <v>7</v>
      </c>
      <c r="AF28" s="441"/>
      <c r="AG28" s="440">
        <f t="shared" si="0"/>
        <v>8.2682814814814733</v>
      </c>
      <c r="AH28" s="440"/>
      <c r="AI28" s="440">
        <f t="shared" si="1"/>
        <v>13.143347696185128</v>
      </c>
      <c r="AJ28" s="440"/>
    </row>
    <row r="29" spans="1:36" ht="10.5" customHeight="1" x14ac:dyDescent="0.25">
      <c r="A29" s="442" t="s">
        <v>338</v>
      </c>
      <c r="B29" s="442"/>
      <c r="C29" s="442"/>
      <c r="D29" s="442"/>
      <c r="E29" s="442"/>
      <c r="F29" s="442"/>
      <c r="G29" s="440">
        <v>3.4666752021358342</v>
      </c>
      <c r="H29" s="440"/>
      <c r="I29" s="440">
        <v>0.87588271604938239</v>
      </c>
      <c r="J29" s="440"/>
      <c r="K29" s="440">
        <v>1.4934054176436939</v>
      </c>
      <c r="L29" s="440"/>
      <c r="M29" s="440">
        <v>0.3632967821772653</v>
      </c>
      <c r="N29" s="440"/>
      <c r="O29" s="440">
        <v>0.2095108830383258</v>
      </c>
      <c r="P29" s="440"/>
      <c r="Q29" s="440">
        <v>1.7704375193080006</v>
      </c>
      <c r="R29" s="440"/>
      <c r="S29" s="440">
        <v>-2.1458861524610509</v>
      </c>
      <c r="T29" s="440"/>
      <c r="U29" s="440">
        <v>19.173423631379283</v>
      </c>
      <c r="V29" s="440"/>
      <c r="W29" s="440">
        <v>1.0363158809866422</v>
      </c>
      <c r="X29" s="440"/>
      <c r="Y29" s="440">
        <v>8.364000000000015</v>
      </c>
      <c r="Z29" s="440"/>
      <c r="AA29" s="440">
        <v>3.0082113892446074</v>
      </c>
      <c r="AB29" s="440"/>
      <c r="AC29" s="441">
        <v>74</v>
      </c>
      <c r="AD29" s="441"/>
      <c r="AE29" s="441">
        <v>7</v>
      </c>
      <c r="AF29" s="441"/>
      <c r="AG29" s="440">
        <f t="shared" si="0"/>
        <v>10.510592592592589</v>
      </c>
      <c r="AH29" s="440"/>
      <c r="AI29" s="440">
        <f t="shared" si="1"/>
        <v>5.173308119314993</v>
      </c>
      <c r="AJ29" s="440"/>
    </row>
    <row r="30" spans="1:36" ht="10.5" customHeight="1" x14ac:dyDescent="0.25">
      <c r="A30" s="442" t="s">
        <v>339</v>
      </c>
      <c r="B30" s="442"/>
      <c r="C30" s="442"/>
      <c r="D30" s="442"/>
      <c r="E30" s="442"/>
      <c r="F30" s="442"/>
      <c r="G30" s="440">
        <v>4.8163025106975992</v>
      </c>
      <c r="H30" s="440"/>
      <c r="I30" s="440">
        <v>0.87867160493827134</v>
      </c>
      <c r="J30" s="440"/>
      <c r="K30" s="440">
        <v>2.0484139559812222</v>
      </c>
      <c r="L30" s="440"/>
      <c r="M30" s="440">
        <v>0.26622464175885407</v>
      </c>
      <c r="N30" s="440"/>
      <c r="O30" s="440">
        <v>0.12396939550803043</v>
      </c>
      <c r="P30" s="440"/>
      <c r="Q30" s="440">
        <v>1.1913286617905314</v>
      </c>
      <c r="R30" s="440"/>
      <c r="S30" s="440">
        <v>-0.22185188849487286</v>
      </c>
      <c r="T30" s="440"/>
      <c r="U30" s="440">
        <v>3.7431800750909114</v>
      </c>
      <c r="V30" s="440"/>
      <c r="W30" s="440">
        <v>1.4320166124459692</v>
      </c>
      <c r="X30" s="440"/>
      <c r="Y30" s="440">
        <v>6.6400000000000015</v>
      </c>
      <c r="Z30" s="440"/>
      <c r="AA30" s="440">
        <v>1.6355732243508496</v>
      </c>
      <c r="AB30" s="440"/>
      <c r="AC30" s="441">
        <v>58</v>
      </c>
      <c r="AD30" s="441"/>
      <c r="AE30" s="441">
        <v>23</v>
      </c>
      <c r="AF30" s="441"/>
      <c r="AG30" s="440">
        <f t="shared" si="0"/>
        <v>10.544059259259257</v>
      </c>
      <c r="AH30" s="440"/>
      <c r="AI30" s="440">
        <f t="shared" si="1"/>
        <v>7.0959140933852689</v>
      </c>
      <c r="AJ30" s="440"/>
    </row>
    <row r="31" spans="1:36" ht="10.5" customHeight="1" x14ac:dyDescent="0.25">
      <c r="A31" s="442" t="s">
        <v>340</v>
      </c>
      <c r="B31" s="442"/>
      <c r="C31" s="442"/>
      <c r="D31" s="442"/>
      <c r="E31" s="442"/>
      <c r="F31" s="442"/>
      <c r="G31" s="440">
        <v>0.70577308237002512</v>
      </c>
      <c r="H31" s="440"/>
      <c r="I31" s="440">
        <v>0.13031358024691361</v>
      </c>
      <c r="J31" s="440"/>
      <c r="K31" s="440">
        <v>3.193857943097699</v>
      </c>
      <c r="L31" s="440"/>
      <c r="M31" s="440">
        <v>-6.3565680347546186E-2</v>
      </c>
      <c r="N31" s="440"/>
      <c r="O31" s="440">
        <v>-2.0044256283477172E-2</v>
      </c>
      <c r="P31" s="440"/>
      <c r="Q31" s="440">
        <v>0.62599872143909729</v>
      </c>
      <c r="R31" s="440"/>
      <c r="S31" s="440">
        <v>-2.6186607349774635</v>
      </c>
      <c r="T31" s="440"/>
      <c r="U31" s="440">
        <v>16.048508147006945</v>
      </c>
      <c r="V31" s="440"/>
      <c r="W31" s="440">
        <v>1.8264337230742327</v>
      </c>
      <c r="X31" s="440"/>
      <c r="Y31" s="440">
        <v>34.987929460278458</v>
      </c>
      <c r="Z31" s="440"/>
      <c r="AA31" s="440">
        <v>3.733747906917293</v>
      </c>
      <c r="AB31" s="440"/>
      <c r="AC31" s="441">
        <v>49</v>
      </c>
      <c r="AD31" s="441"/>
      <c r="AE31" s="441">
        <v>32</v>
      </c>
      <c r="AF31" s="441"/>
      <c r="AG31" s="440">
        <f t="shared" si="0"/>
        <v>1.5637629629629632</v>
      </c>
      <c r="AH31" s="440"/>
      <c r="AI31" s="440">
        <f t="shared" si="1"/>
        <v>11.063848459205285</v>
      </c>
      <c r="AJ31" s="440"/>
    </row>
    <row r="32" spans="1:36" ht="10.5" customHeight="1" x14ac:dyDescent="0.25">
      <c r="A32" s="442" t="s">
        <v>341</v>
      </c>
      <c r="B32" s="442"/>
      <c r="C32" s="442"/>
      <c r="D32" s="442"/>
      <c r="E32" s="442"/>
      <c r="F32" s="442"/>
      <c r="G32" s="440">
        <v>6.1233379465673921E-2</v>
      </c>
      <c r="H32" s="440"/>
      <c r="I32" s="440">
        <v>-7.0279012345679376E-2</v>
      </c>
      <c r="J32" s="440"/>
      <c r="K32" s="440">
        <v>1.7357116270939159</v>
      </c>
      <c r="L32" s="440"/>
      <c r="M32" s="440">
        <v>-0.23253421788432488</v>
      </c>
      <c r="N32" s="440"/>
      <c r="O32" s="440">
        <v>-8.0391257156318577E-2</v>
      </c>
      <c r="P32" s="440"/>
      <c r="Q32" s="440">
        <v>0.58488527267657309</v>
      </c>
      <c r="R32" s="440"/>
      <c r="S32" s="440">
        <v>-2.0094768118080615</v>
      </c>
      <c r="T32" s="440"/>
      <c r="U32" s="440">
        <v>10.245031089748913</v>
      </c>
      <c r="V32" s="440"/>
      <c r="W32" s="440">
        <v>0.9652025580215623</v>
      </c>
      <c r="X32" s="440"/>
      <c r="Y32" s="440">
        <v>14.514533357430127</v>
      </c>
      <c r="Z32" s="440"/>
      <c r="AA32" s="440">
        <v>1.5897021423080677</v>
      </c>
      <c r="AB32" s="440"/>
      <c r="AC32" s="441">
        <v>33</v>
      </c>
      <c r="AD32" s="441"/>
      <c r="AE32" s="441">
        <v>48</v>
      </c>
      <c r="AF32" s="441"/>
      <c r="AG32" s="440">
        <f t="shared" si="0"/>
        <v>-0.84334814814815251</v>
      </c>
      <c r="AH32" s="440"/>
      <c r="AI32" s="440">
        <f t="shared" si="1"/>
        <v>6.0126814508294135</v>
      </c>
      <c r="AJ32" s="440"/>
    </row>
    <row r="33" spans="1:36" ht="10.5" customHeight="1" x14ac:dyDescent="0.25">
      <c r="A33" s="442" t="s">
        <v>310</v>
      </c>
      <c r="B33" s="442"/>
      <c r="C33" s="442"/>
      <c r="D33" s="442"/>
      <c r="E33" s="442"/>
      <c r="F33" s="442"/>
      <c r="G33" s="440">
        <v>2.0217776167760064</v>
      </c>
      <c r="H33" s="440"/>
      <c r="I33" s="440">
        <v>0.38390123456790165</v>
      </c>
      <c r="J33" s="440"/>
      <c r="K33" s="440">
        <v>3.1519258763688356</v>
      </c>
      <c r="L33" s="440"/>
      <c r="M33" s="440">
        <v>1.6043493158800073E-2</v>
      </c>
      <c r="N33" s="440"/>
      <c r="O33" s="440">
        <v>6.3095515920604337E-3</v>
      </c>
      <c r="P33" s="440"/>
      <c r="Q33" s="440">
        <v>0.57840164701478491</v>
      </c>
      <c r="R33" s="440"/>
      <c r="S33" s="440">
        <v>-6.073905421030541</v>
      </c>
      <c r="T33" s="440"/>
      <c r="U33" s="440">
        <v>48.527417906776684</v>
      </c>
      <c r="V33" s="440"/>
      <c r="W33" s="440">
        <v>1.2865138493238066</v>
      </c>
      <c r="X33" s="440"/>
      <c r="Y33" s="440">
        <v>27.049385999999988</v>
      </c>
      <c r="Z33" s="440"/>
      <c r="AA33" s="440">
        <v>5.7466230695155422</v>
      </c>
      <c r="AB33" s="440"/>
      <c r="AC33" s="441">
        <v>64</v>
      </c>
      <c r="AD33" s="441"/>
      <c r="AE33" s="441">
        <v>17</v>
      </c>
      <c r="AF33" s="441"/>
      <c r="AG33" s="440">
        <f t="shared" si="0"/>
        <v>4.60681481481482</v>
      </c>
      <c r="AH33" s="440"/>
      <c r="AI33" s="440">
        <f t="shared" si="1"/>
        <v>10.918591519123765</v>
      </c>
      <c r="AJ33" s="440"/>
    </row>
    <row r="34" spans="1:36" ht="10.5" customHeight="1" x14ac:dyDescent="0.25">
      <c r="A34" s="442" t="s">
        <v>305</v>
      </c>
      <c r="B34" s="442"/>
      <c r="C34" s="442"/>
      <c r="D34" s="442"/>
      <c r="E34" s="442"/>
      <c r="F34" s="442"/>
      <c r="G34" s="440">
        <v>2.451922259654467</v>
      </c>
      <c r="H34" s="440"/>
      <c r="I34" s="440">
        <v>0.52444691358024709</v>
      </c>
      <c r="J34" s="440"/>
      <c r="K34" s="440">
        <v>3.0209714314722689</v>
      </c>
      <c r="L34" s="440"/>
      <c r="M34" s="440">
        <v>6.3262293133892589E-2</v>
      </c>
      <c r="N34" s="440"/>
      <c r="O34" s="440">
        <v>2.4983636978242345E-2</v>
      </c>
      <c r="P34" s="440"/>
      <c r="Q34" s="440">
        <v>0.47101463484780143</v>
      </c>
      <c r="R34" s="440"/>
      <c r="S34" s="440">
        <v>-7.1343864123834804</v>
      </c>
      <c r="T34" s="440"/>
      <c r="U34" s="440">
        <v>59.270492996983371</v>
      </c>
      <c r="V34" s="440"/>
      <c r="W34" s="440">
        <v>0.86116798546270223</v>
      </c>
      <c r="X34" s="440"/>
      <c r="Y34" s="440">
        <v>27.049386000000009</v>
      </c>
      <c r="Z34" s="440"/>
      <c r="AA34" s="440">
        <v>6.3644779743286346</v>
      </c>
      <c r="AB34" s="440"/>
      <c r="AC34" s="441">
        <v>67</v>
      </c>
      <c r="AD34" s="441"/>
      <c r="AE34" s="441">
        <v>14</v>
      </c>
      <c r="AF34" s="441"/>
      <c r="AG34" s="440">
        <f t="shared" si="0"/>
        <v>6.2933629629629646</v>
      </c>
      <c r="AH34" s="440"/>
      <c r="AI34" s="440">
        <f t="shared" si="1"/>
        <v>10.4649520150481</v>
      </c>
      <c r="AJ34" s="440"/>
    </row>
    <row r="35" spans="1:36" ht="10.5" customHeight="1" x14ac:dyDescent="0.25">
      <c r="A35" s="442" t="s">
        <v>342</v>
      </c>
      <c r="B35" s="442"/>
      <c r="C35" s="442"/>
      <c r="D35" s="442"/>
      <c r="E35" s="442"/>
      <c r="F35" s="442"/>
      <c r="G35" s="440">
        <v>2.6503264412856242</v>
      </c>
      <c r="H35" s="440"/>
      <c r="I35" s="440">
        <v>0.55996666666666683</v>
      </c>
      <c r="J35" s="440"/>
      <c r="K35" s="440">
        <v>2.1531675014963425</v>
      </c>
      <c r="L35" s="440"/>
      <c r="M35" s="440">
        <v>0.10525578394427504</v>
      </c>
      <c r="N35" s="440"/>
      <c r="O35" s="440">
        <v>4.3339133982241117E-2</v>
      </c>
      <c r="P35" s="440"/>
      <c r="Q35" s="440">
        <v>0.79476698602107376</v>
      </c>
      <c r="R35" s="440"/>
      <c r="S35" s="440">
        <v>-1.8147961862168338</v>
      </c>
      <c r="T35" s="440"/>
      <c r="U35" s="440">
        <v>8.7664194986097002</v>
      </c>
      <c r="V35" s="440"/>
      <c r="W35" s="440">
        <v>1.2026675503327495</v>
      </c>
      <c r="X35" s="440"/>
      <c r="Y35" s="440">
        <v>10.790600000000005</v>
      </c>
      <c r="Z35" s="440"/>
      <c r="AA35" s="440">
        <v>2.1643406886778864</v>
      </c>
      <c r="AB35" s="440"/>
      <c r="AC35" s="441">
        <v>56</v>
      </c>
      <c r="AD35" s="441"/>
      <c r="AE35" s="441">
        <v>25</v>
      </c>
      <c r="AF35" s="441"/>
      <c r="AG35" s="440">
        <f t="shared" si="0"/>
        <v>6.7196000000000016</v>
      </c>
      <c r="AH35" s="440"/>
      <c r="AI35" s="440">
        <f t="shared" si="1"/>
        <v>7.4587910195956031</v>
      </c>
      <c r="AJ35" s="440"/>
    </row>
    <row r="36" spans="1:36" ht="10.5" customHeight="1" x14ac:dyDescent="0.25">
      <c r="A36" s="442" t="s">
        <v>343</v>
      </c>
      <c r="B36" s="442"/>
      <c r="C36" s="442"/>
      <c r="D36" s="442"/>
      <c r="E36" s="442"/>
      <c r="F36" s="442"/>
      <c r="G36" s="440">
        <v>3.7762458905684366</v>
      </c>
      <c r="H36" s="440"/>
      <c r="I36" s="440">
        <v>0.81774074074074132</v>
      </c>
      <c r="J36" s="440"/>
      <c r="K36" s="440">
        <v>2.7948952839855088</v>
      </c>
      <c r="L36" s="440"/>
      <c r="M36" s="440">
        <v>0.17331862491701125</v>
      </c>
      <c r="N36" s="440"/>
      <c r="O36" s="440">
        <v>0.11568905040598211</v>
      </c>
      <c r="P36" s="440"/>
      <c r="Q36" s="440">
        <v>1.9505690027823213</v>
      </c>
      <c r="R36" s="440"/>
      <c r="S36" s="440">
        <v>0.76225625891551707</v>
      </c>
      <c r="T36" s="440"/>
      <c r="U36" s="440">
        <v>1.911502028052245</v>
      </c>
      <c r="V36" s="440"/>
      <c r="W36" s="440">
        <v>2.1987213111260822</v>
      </c>
      <c r="X36" s="440"/>
      <c r="Y36" s="440">
        <v>11.171004764990489</v>
      </c>
      <c r="Z36" s="440"/>
      <c r="AA36" s="440">
        <v>1.3922396230051577</v>
      </c>
      <c r="AB36" s="440"/>
      <c r="AC36" s="441">
        <v>46</v>
      </c>
      <c r="AD36" s="441"/>
      <c r="AE36" s="441">
        <v>35</v>
      </c>
      <c r="AF36" s="441"/>
      <c r="AG36" s="440">
        <f t="shared" si="0"/>
        <v>9.8128888888888959</v>
      </c>
      <c r="AH36" s="440"/>
      <c r="AI36" s="440">
        <f t="shared" si="1"/>
        <v>9.6818012673950946</v>
      </c>
      <c r="AJ36" s="440"/>
    </row>
    <row r="37" spans="1:36" ht="10.5" customHeight="1" x14ac:dyDescent="0.25">
      <c r="A37" s="442" t="s">
        <v>306</v>
      </c>
      <c r="B37" s="442"/>
      <c r="C37" s="442"/>
      <c r="D37" s="442"/>
      <c r="E37" s="442"/>
      <c r="F37" s="442"/>
      <c r="G37" s="440">
        <v>0.86866099113325401</v>
      </c>
      <c r="H37" s="440"/>
      <c r="I37" s="440">
        <v>0.48541728395061845</v>
      </c>
      <c r="J37" s="440"/>
      <c r="K37" s="440">
        <v>3.5977734073239707</v>
      </c>
      <c r="L37" s="440"/>
      <c r="M37" s="440">
        <v>4.2271686790415576E-2</v>
      </c>
      <c r="N37" s="440"/>
      <c r="O37" s="440">
        <v>1.365524724058444E-2</v>
      </c>
      <c r="P37" s="440"/>
      <c r="Q37" s="440">
        <v>0.62714143336865036</v>
      </c>
      <c r="R37" s="440"/>
      <c r="S37" s="440">
        <v>-1.8622971573968694</v>
      </c>
      <c r="T37" s="440"/>
      <c r="U37" s="440">
        <v>7.5438891819621681</v>
      </c>
      <c r="V37" s="440"/>
      <c r="W37" s="440">
        <v>1.8254301680329452</v>
      </c>
      <c r="X37" s="440"/>
      <c r="Y37" s="440">
        <v>29.433245343179102</v>
      </c>
      <c r="Z37" s="440"/>
      <c r="AA37" s="440">
        <v>4.0185027659175026</v>
      </c>
      <c r="AB37" s="440"/>
      <c r="AC37" s="441">
        <v>54</v>
      </c>
      <c r="AD37" s="441"/>
      <c r="AE37" s="441">
        <v>27</v>
      </c>
      <c r="AF37" s="441"/>
      <c r="AG37" s="440">
        <f t="shared" si="0"/>
        <v>5.825007407407421</v>
      </c>
      <c r="AH37" s="440"/>
      <c r="AI37" s="440">
        <f t="shared" si="1"/>
        <v>12.46305267121063</v>
      </c>
      <c r="AJ37" s="440"/>
    </row>
    <row r="38" spans="1:36" ht="10.5" customHeight="1" x14ac:dyDescent="0.25">
      <c r="A38" s="442" t="s">
        <v>344</v>
      </c>
      <c r="B38" s="442"/>
      <c r="C38" s="442"/>
      <c r="D38" s="442"/>
      <c r="E38" s="442"/>
      <c r="F38" s="442"/>
      <c r="G38" s="440">
        <v>2.4542567512496194</v>
      </c>
      <c r="H38" s="440"/>
      <c r="I38" s="440">
        <v>0.47230987654320911</v>
      </c>
      <c r="J38" s="440"/>
      <c r="K38" s="440">
        <v>0.83118939216717302</v>
      </c>
      <c r="L38" s="440"/>
      <c r="M38" s="440">
        <v>0.16720201739764759</v>
      </c>
      <c r="N38" s="440"/>
      <c r="O38" s="440">
        <v>8.557405449947697E-2</v>
      </c>
      <c r="P38" s="440"/>
      <c r="Q38" s="440">
        <v>1.3798066561990057</v>
      </c>
      <c r="R38" s="440"/>
      <c r="S38" s="440">
        <v>-0.5906975206994669</v>
      </c>
      <c r="T38" s="440"/>
      <c r="U38" s="440">
        <v>3.7585111504679389</v>
      </c>
      <c r="V38" s="440"/>
      <c r="W38" s="440">
        <v>0.54843865774309208</v>
      </c>
      <c r="X38" s="440"/>
      <c r="Y38" s="440">
        <v>2.8999999999999915</v>
      </c>
      <c r="Z38" s="440"/>
      <c r="AA38" s="440">
        <v>0.69337234044919993</v>
      </c>
      <c r="AB38" s="440"/>
      <c r="AC38" s="441">
        <v>64</v>
      </c>
      <c r="AD38" s="441"/>
      <c r="AE38" s="441">
        <v>17</v>
      </c>
      <c r="AF38" s="441"/>
      <c r="AG38" s="440">
        <f t="shared" si="0"/>
        <v>5.6677185185185088</v>
      </c>
      <c r="AH38" s="440"/>
      <c r="AI38" s="440">
        <f t="shared" si="1"/>
        <v>2.8793245158916725</v>
      </c>
      <c r="AJ38" s="440"/>
    </row>
    <row r="39" spans="1:36" ht="10.5" customHeight="1" x14ac:dyDescent="0.25">
      <c r="A39" s="442" t="s">
        <v>345</v>
      </c>
      <c r="B39" s="442"/>
      <c r="C39" s="442"/>
      <c r="D39" s="442"/>
      <c r="E39" s="442"/>
      <c r="F39" s="442"/>
      <c r="G39" s="440">
        <v>5.4899402093362788</v>
      </c>
      <c r="H39" s="440"/>
      <c r="I39" s="440">
        <v>1.4077802469135792</v>
      </c>
      <c r="J39" s="440"/>
      <c r="K39" s="440">
        <v>4.32041459990878</v>
      </c>
      <c r="L39" s="440"/>
      <c r="M39" s="440">
        <v>0.24869069593527701</v>
      </c>
      <c r="N39" s="440"/>
      <c r="O39" s="440">
        <v>0.10120275823687001</v>
      </c>
      <c r="P39" s="440"/>
      <c r="Q39" s="440">
        <v>1.0055054383275519</v>
      </c>
      <c r="R39" s="440"/>
      <c r="S39" s="440">
        <v>-1.4528718883927416</v>
      </c>
      <c r="T39" s="440"/>
      <c r="U39" s="440">
        <v>7.886954575818856</v>
      </c>
      <c r="V39" s="440"/>
      <c r="W39" s="440">
        <v>2.5839231724841487</v>
      </c>
      <c r="X39" s="440"/>
      <c r="Y39" s="440">
        <v>29.639387714032029</v>
      </c>
      <c r="Z39" s="440"/>
      <c r="AA39" s="440">
        <v>4.7406560641767479</v>
      </c>
      <c r="AB39" s="440"/>
      <c r="AC39" s="441">
        <v>61</v>
      </c>
      <c r="AD39" s="441"/>
      <c r="AE39" s="441">
        <v>20</v>
      </c>
      <c r="AF39" s="441"/>
      <c r="AG39" s="440">
        <f t="shared" si="0"/>
        <v>16.89336296296295</v>
      </c>
      <c r="AH39" s="440"/>
      <c r="AI39" s="440">
        <f t="shared" si="1"/>
        <v>14.96635519360874</v>
      </c>
      <c r="AJ39" s="440"/>
    </row>
    <row r="40" spans="1:36" ht="10.5" customHeight="1" x14ac:dyDescent="0.25">
      <c r="A40" s="442" t="s">
        <v>308</v>
      </c>
      <c r="B40" s="442"/>
      <c r="C40" s="442"/>
      <c r="D40" s="442"/>
      <c r="E40" s="442"/>
      <c r="F40" s="442"/>
      <c r="G40" s="440">
        <v>1.2214833755816248</v>
      </c>
      <c r="H40" s="440"/>
      <c r="I40" s="440">
        <v>1.3723012345679009</v>
      </c>
      <c r="J40" s="440"/>
      <c r="K40" s="440">
        <v>3.5168545431782436</v>
      </c>
      <c r="L40" s="440"/>
      <c r="M40" s="440">
        <v>0.29542532637577723</v>
      </c>
      <c r="N40" s="440"/>
      <c r="O40" s="440">
        <v>0.12169712424378455</v>
      </c>
      <c r="P40" s="440"/>
      <c r="Q40" s="440">
        <v>0.93223579985534055</v>
      </c>
      <c r="R40" s="440"/>
      <c r="S40" s="440">
        <v>-0.90649881948484368</v>
      </c>
      <c r="T40" s="440"/>
      <c r="U40" s="440">
        <v>3.1773585899315102</v>
      </c>
      <c r="V40" s="440"/>
      <c r="W40" s="440">
        <v>2.1716845389717023</v>
      </c>
      <c r="X40" s="440"/>
      <c r="Y40" s="440">
        <v>14.565536867618412</v>
      </c>
      <c r="Z40" s="440"/>
      <c r="AA40" s="440">
        <v>3.3271914737833117</v>
      </c>
      <c r="AB40" s="440"/>
      <c r="AC40" s="441">
        <v>62</v>
      </c>
      <c r="AD40" s="441"/>
      <c r="AE40" s="441">
        <v>19</v>
      </c>
      <c r="AF40" s="441"/>
      <c r="AG40" s="440">
        <f t="shared" si="0"/>
        <v>16.467614814814809</v>
      </c>
      <c r="AH40" s="440"/>
      <c r="AI40" s="440">
        <f t="shared" si="1"/>
        <v>12.182741503228304</v>
      </c>
      <c r="AJ40" s="440"/>
    </row>
    <row r="41" spans="1:36" ht="10.5" customHeight="1" x14ac:dyDescent="0.25">
      <c r="A41" s="442" t="s">
        <v>346</v>
      </c>
      <c r="B41" s="442"/>
      <c r="C41" s="442"/>
      <c r="D41" s="442"/>
      <c r="E41" s="442"/>
      <c r="F41" s="442"/>
      <c r="G41" s="440">
        <v>0.99540528455700705</v>
      </c>
      <c r="H41" s="440"/>
      <c r="I41" s="440">
        <v>1.6569395061728398</v>
      </c>
      <c r="J41" s="440"/>
      <c r="K41" s="440">
        <v>5.3116158630090844</v>
      </c>
      <c r="L41" s="440"/>
      <c r="M41" s="440">
        <v>0.24919086902675039</v>
      </c>
      <c r="N41" s="440"/>
      <c r="O41" s="440">
        <v>0.30932966565150455</v>
      </c>
      <c r="P41" s="440"/>
      <c r="Q41" s="440">
        <v>5.0135371995466116</v>
      </c>
      <c r="R41" s="440"/>
      <c r="S41" s="440">
        <v>4.0246993616020816</v>
      </c>
      <c r="T41" s="440"/>
      <c r="U41" s="440">
        <v>19.3836429216467</v>
      </c>
      <c r="V41" s="440"/>
      <c r="W41" s="440">
        <v>6.2983466278104894</v>
      </c>
      <c r="X41" s="440"/>
      <c r="Y41" s="440">
        <v>9.5099999999999962</v>
      </c>
      <c r="Z41" s="440"/>
      <c r="AA41" s="440">
        <v>2.6096128176765641</v>
      </c>
      <c r="AB41" s="440"/>
      <c r="AC41" s="441">
        <v>70</v>
      </c>
      <c r="AD41" s="441"/>
      <c r="AE41" s="441">
        <v>11</v>
      </c>
      <c r="AF41" s="441"/>
      <c r="AG41" s="440">
        <f t="shared" si="0"/>
        <v>19.883274074074077</v>
      </c>
      <c r="AH41" s="440"/>
      <c r="AI41" s="440">
        <f t="shared" si="1"/>
        <v>18.399977090041087</v>
      </c>
      <c r="AJ41" s="440"/>
    </row>
    <row r="42" spans="1:36" ht="10.5" customHeight="1" x14ac:dyDescent="0.25">
      <c r="A42" s="442" t="s">
        <v>304</v>
      </c>
      <c r="B42" s="442"/>
      <c r="C42" s="442"/>
      <c r="D42" s="442"/>
      <c r="E42" s="442"/>
      <c r="F42" s="442"/>
      <c r="G42" s="440">
        <v>0.77463136314202918</v>
      </c>
      <c r="H42" s="440"/>
      <c r="I42" s="440">
        <v>1.1547209876543196</v>
      </c>
      <c r="J42" s="440"/>
      <c r="K42" s="440">
        <v>5.8704404972011259</v>
      </c>
      <c r="L42" s="440"/>
      <c r="M42" s="440">
        <v>0.13991925388096563</v>
      </c>
      <c r="N42" s="440"/>
      <c r="O42" s="440">
        <v>6.1779837712365629E-2</v>
      </c>
      <c r="P42" s="440"/>
      <c r="Q42" s="440">
        <v>1.0904805421423942</v>
      </c>
      <c r="R42" s="440"/>
      <c r="S42" s="440">
        <v>-2.8089771988415335</v>
      </c>
      <c r="T42" s="440"/>
      <c r="U42" s="440">
        <v>21.592009474667179</v>
      </c>
      <c r="V42" s="440"/>
      <c r="W42" s="440">
        <v>4.639252690071956</v>
      </c>
      <c r="X42" s="440"/>
      <c r="Y42" s="440">
        <v>36.369800000000005</v>
      </c>
      <c r="Z42" s="440"/>
      <c r="AA42" s="440">
        <v>15.254196721132192</v>
      </c>
      <c r="AB42" s="440"/>
      <c r="AC42" s="441">
        <v>76</v>
      </c>
      <c r="AD42" s="441"/>
      <c r="AE42" s="441">
        <v>5</v>
      </c>
      <c r="AF42" s="441"/>
      <c r="AG42" s="440">
        <f t="shared" si="0"/>
        <v>13.856651851851836</v>
      </c>
      <c r="AH42" s="440"/>
      <c r="AI42" s="440">
        <f t="shared" si="1"/>
        <v>20.335802407924501</v>
      </c>
      <c r="AJ42" s="440"/>
    </row>
    <row r="43" spans="1:36" ht="10.5" customHeight="1" x14ac:dyDescent="0.25">
      <c r="A43" s="442" t="s">
        <v>347</v>
      </c>
      <c r="B43" s="442"/>
      <c r="C43" s="442"/>
      <c r="D43" s="442"/>
      <c r="E43" s="442"/>
      <c r="F43" s="442"/>
      <c r="G43" s="440">
        <v>3.5329347545007139</v>
      </c>
      <c r="H43" s="440"/>
      <c r="I43" s="440">
        <v>1.2229259259259266</v>
      </c>
      <c r="J43" s="440"/>
      <c r="K43" s="440">
        <v>1.9207441881844756</v>
      </c>
      <c r="L43" s="440"/>
      <c r="M43" s="440">
        <v>0.46314995930481168</v>
      </c>
      <c r="N43" s="440"/>
      <c r="O43" s="440">
        <v>0.20006692775571533</v>
      </c>
      <c r="P43" s="440"/>
      <c r="Q43" s="440">
        <v>1.0294671621902753</v>
      </c>
      <c r="R43" s="440"/>
      <c r="S43" s="440">
        <v>-1.9105872256893812</v>
      </c>
      <c r="T43" s="440"/>
      <c r="U43" s="440">
        <v>9.1718836885901087</v>
      </c>
      <c r="V43" s="440"/>
      <c r="W43" s="440">
        <v>1.1958702483317614</v>
      </c>
      <c r="X43" s="440"/>
      <c r="Y43" s="440">
        <v>8.7258999999999975</v>
      </c>
      <c r="Z43" s="440"/>
      <c r="AA43" s="440">
        <v>2.7354398399119941</v>
      </c>
      <c r="AB43" s="440"/>
      <c r="AC43" s="441">
        <v>71</v>
      </c>
      <c r="AD43" s="441"/>
      <c r="AE43" s="441">
        <v>10</v>
      </c>
      <c r="AF43" s="441"/>
      <c r="AG43" s="440">
        <f t="shared" si="0"/>
        <v>14.67511111111112</v>
      </c>
      <c r="AH43" s="440"/>
      <c r="AI43" s="440">
        <f t="shared" si="1"/>
        <v>6.6536530445562967</v>
      </c>
      <c r="AJ43" s="440"/>
    </row>
    <row r="44" spans="1:36" ht="10.5" customHeight="1" x14ac:dyDescent="0.25">
      <c r="A44" s="442" t="s">
        <v>348</v>
      </c>
      <c r="B44" s="442"/>
      <c r="C44" s="442"/>
      <c r="D44" s="442"/>
      <c r="E44" s="442"/>
      <c r="F44" s="442"/>
      <c r="G44" s="440">
        <v>3.8637021069899324</v>
      </c>
      <c r="H44" s="440"/>
      <c r="I44" s="440">
        <v>0.75897407407407202</v>
      </c>
      <c r="J44" s="440"/>
      <c r="K44" s="440">
        <v>2.0302402842876623</v>
      </c>
      <c r="L44" s="440"/>
      <c r="M44" s="440">
        <v>0.20965042612681711</v>
      </c>
      <c r="N44" s="440"/>
      <c r="O44" s="440">
        <v>0.10050074158026497</v>
      </c>
      <c r="P44" s="440"/>
      <c r="Q44" s="440">
        <v>1.0284047978843969</v>
      </c>
      <c r="R44" s="440"/>
      <c r="S44" s="440">
        <v>-0.77372802805568697</v>
      </c>
      <c r="T44" s="440"/>
      <c r="U44" s="440">
        <v>2.0371599027591993</v>
      </c>
      <c r="V44" s="440"/>
      <c r="W44" s="440">
        <v>1.1236275120952042</v>
      </c>
      <c r="X44" s="440"/>
      <c r="Y44" s="440">
        <v>8.9470271021424139</v>
      </c>
      <c r="Z44" s="440"/>
      <c r="AA44" s="440">
        <v>1.4585382604023371</v>
      </c>
      <c r="AB44" s="440"/>
      <c r="AC44" s="441">
        <v>51</v>
      </c>
      <c r="AD44" s="441"/>
      <c r="AE44" s="441">
        <v>30</v>
      </c>
      <c r="AF44" s="441"/>
      <c r="AG44" s="440">
        <f t="shared" si="0"/>
        <v>9.1076888888888643</v>
      </c>
      <c r="AH44" s="440"/>
      <c r="AI44" s="440">
        <f t="shared" si="1"/>
        <v>7.0329586479186244</v>
      </c>
      <c r="AJ44" s="440"/>
    </row>
    <row r="45" spans="1:36" ht="10.5" customHeight="1" x14ac:dyDescent="0.25">
      <c r="A45" s="442" t="s">
        <v>349</v>
      </c>
      <c r="B45" s="442"/>
      <c r="C45" s="442"/>
      <c r="D45" s="442"/>
      <c r="E45" s="442"/>
      <c r="F45" s="442"/>
      <c r="G45" s="440">
        <v>3.5814945927471151</v>
      </c>
      <c r="H45" s="440"/>
      <c r="I45" s="440">
        <v>0.94420493827160423</v>
      </c>
      <c r="J45" s="440"/>
      <c r="K45" s="440">
        <v>1.9389348953678947</v>
      </c>
      <c r="L45" s="440"/>
      <c r="M45" s="440">
        <v>0.31505524316347083</v>
      </c>
      <c r="N45" s="440"/>
      <c r="O45" s="440">
        <v>0.20156288778515355</v>
      </c>
      <c r="P45" s="440"/>
      <c r="Q45" s="440">
        <v>2.0127529345772768</v>
      </c>
      <c r="R45" s="440"/>
      <c r="S45" s="440">
        <v>0.61809322151681745</v>
      </c>
      <c r="T45" s="440"/>
      <c r="U45" s="440">
        <v>7.7748379586427223</v>
      </c>
      <c r="V45" s="440"/>
      <c r="W45" s="440">
        <v>1.5995428215590752</v>
      </c>
      <c r="X45" s="440"/>
      <c r="Y45" s="440">
        <v>7.0000000000000062</v>
      </c>
      <c r="Z45" s="440"/>
      <c r="AA45" s="440">
        <v>1.5057420770259151</v>
      </c>
      <c r="AB45" s="440"/>
      <c r="AC45" s="441">
        <v>61</v>
      </c>
      <c r="AD45" s="441"/>
      <c r="AE45" s="441">
        <v>20</v>
      </c>
      <c r="AF45" s="441"/>
      <c r="AG45" s="440">
        <f t="shared" si="0"/>
        <v>11.33045925925925</v>
      </c>
      <c r="AH45" s="440"/>
      <c r="AI45" s="440">
        <f t="shared" si="1"/>
        <v>6.7166675026908766</v>
      </c>
      <c r="AJ45" s="440"/>
    </row>
    <row r="46" spans="1:36" ht="10.5" customHeight="1" x14ac:dyDescent="0.25">
      <c r="A46" s="442"/>
      <c r="B46" s="442"/>
      <c r="C46" s="442"/>
      <c r="D46" s="442"/>
      <c r="E46" s="442"/>
      <c r="F46" s="442"/>
      <c r="G46" s="440"/>
      <c r="H46" s="440"/>
      <c r="I46" s="440"/>
      <c r="J46" s="440"/>
      <c r="K46" s="440"/>
      <c r="L46" s="440"/>
      <c r="M46" s="440"/>
      <c r="N46" s="440"/>
      <c r="O46" s="440"/>
      <c r="P46" s="440"/>
      <c r="Q46" s="440"/>
      <c r="R46" s="440"/>
      <c r="S46" s="440"/>
      <c r="T46" s="440"/>
      <c r="U46" s="440"/>
      <c r="V46" s="440"/>
      <c r="W46" s="440"/>
      <c r="X46" s="440"/>
      <c r="Y46" s="440"/>
      <c r="Z46" s="440"/>
      <c r="AA46" s="440"/>
      <c r="AB46" s="440"/>
      <c r="AC46" s="441"/>
      <c r="AD46" s="441"/>
      <c r="AE46" s="441"/>
      <c r="AF46" s="441"/>
      <c r="AG46" s="440" t="str">
        <f t="shared" si="0"/>
        <v/>
      </c>
      <c r="AH46" s="440"/>
      <c r="AI46" s="440" t="str">
        <f t="shared" si="1"/>
        <v/>
      </c>
      <c r="AJ46" s="440"/>
    </row>
    <row r="47" spans="1:36" ht="10.5" customHeight="1" x14ac:dyDescent="0.25">
      <c r="A47" s="442"/>
      <c r="B47" s="442"/>
      <c r="C47" s="442"/>
      <c r="D47" s="442"/>
      <c r="E47" s="442"/>
      <c r="F47" s="442"/>
      <c r="G47" s="440"/>
      <c r="H47" s="440"/>
      <c r="I47" s="440"/>
      <c r="J47" s="440"/>
      <c r="K47" s="440"/>
      <c r="L47" s="440"/>
      <c r="M47" s="440"/>
      <c r="N47" s="440"/>
      <c r="O47" s="440"/>
      <c r="P47" s="440"/>
      <c r="Q47" s="440"/>
      <c r="R47" s="440"/>
      <c r="S47" s="440"/>
      <c r="T47" s="440"/>
      <c r="U47" s="440"/>
      <c r="V47" s="440"/>
      <c r="W47" s="440"/>
      <c r="X47" s="440"/>
      <c r="Y47" s="440"/>
      <c r="Z47" s="440"/>
      <c r="AA47" s="440"/>
      <c r="AB47" s="440"/>
      <c r="AC47" s="441"/>
      <c r="AD47" s="441"/>
      <c r="AE47" s="441"/>
      <c r="AF47" s="441"/>
      <c r="AG47" s="440" t="str">
        <f t="shared" si="0"/>
        <v/>
      </c>
      <c r="AH47" s="440"/>
      <c r="AI47" s="440" t="str">
        <f t="shared" si="1"/>
        <v/>
      </c>
      <c r="AJ47" s="440"/>
    </row>
    <row r="48" spans="1:36" ht="10.5" customHeight="1" x14ac:dyDescent="0.25">
      <c r="A48" s="442"/>
      <c r="B48" s="442"/>
      <c r="C48" s="442"/>
      <c r="D48" s="442"/>
      <c r="E48" s="442"/>
      <c r="F48" s="442"/>
      <c r="G48" s="440"/>
      <c r="H48" s="440"/>
      <c r="I48" s="440"/>
      <c r="J48" s="440"/>
      <c r="K48" s="440"/>
      <c r="L48" s="440"/>
      <c r="M48" s="440"/>
      <c r="N48" s="440"/>
      <c r="O48" s="440"/>
      <c r="P48" s="440"/>
      <c r="Q48" s="440"/>
      <c r="R48" s="440"/>
      <c r="S48" s="440"/>
      <c r="T48" s="440"/>
      <c r="U48" s="440"/>
      <c r="V48" s="440"/>
      <c r="W48" s="440"/>
      <c r="X48" s="440"/>
      <c r="Y48" s="440"/>
      <c r="Z48" s="440"/>
      <c r="AA48" s="440"/>
      <c r="AB48" s="440"/>
      <c r="AC48" s="441"/>
      <c r="AD48" s="441"/>
      <c r="AE48" s="441"/>
      <c r="AF48" s="441"/>
      <c r="AG48" s="440" t="str">
        <f t="shared" si="0"/>
        <v/>
      </c>
      <c r="AH48" s="440"/>
      <c r="AI48" s="440" t="str">
        <f t="shared" si="1"/>
        <v/>
      </c>
      <c r="AJ48" s="440"/>
    </row>
    <row r="49" spans="1:36" ht="10.5" customHeight="1" x14ac:dyDescent="0.25">
      <c r="A49" s="442"/>
      <c r="B49" s="442"/>
      <c r="C49" s="442"/>
      <c r="D49" s="442"/>
      <c r="E49" s="442"/>
      <c r="F49" s="442"/>
      <c r="G49" s="440"/>
      <c r="H49" s="440"/>
      <c r="I49" s="440"/>
      <c r="J49" s="440"/>
      <c r="K49" s="440"/>
      <c r="L49" s="440"/>
      <c r="M49" s="440"/>
      <c r="N49" s="440"/>
      <c r="O49" s="440"/>
      <c r="P49" s="440"/>
      <c r="Q49" s="440"/>
      <c r="R49" s="440"/>
      <c r="S49" s="440"/>
      <c r="T49" s="440"/>
      <c r="U49" s="440"/>
      <c r="V49" s="440"/>
      <c r="W49" s="440"/>
      <c r="X49" s="440"/>
      <c r="Y49" s="440"/>
      <c r="Z49" s="440"/>
      <c r="AA49" s="440"/>
      <c r="AB49" s="440"/>
      <c r="AC49" s="441"/>
      <c r="AD49" s="441"/>
      <c r="AE49" s="441"/>
      <c r="AF49" s="441"/>
      <c r="AG49" s="440" t="str">
        <f t="shared" si="0"/>
        <v/>
      </c>
      <c r="AH49" s="440"/>
      <c r="AI49" s="440" t="str">
        <f t="shared" si="1"/>
        <v/>
      </c>
      <c r="AJ49" s="440"/>
    </row>
    <row r="50" spans="1:36" ht="10.5" customHeight="1" x14ac:dyDescent="0.25">
      <c r="A50" s="442"/>
      <c r="B50" s="442"/>
      <c r="C50" s="442"/>
      <c r="D50" s="442"/>
      <c r="E50" s="442"/>
      <c r="F50" s="442"/>
      <c r="G50" s="440"/>
      <c r="H50" s="440"/>
      <c r="I50" s="440"/>
      <c r="J50" s="440"/>
      <c r="K50" s="440"/>
      <c r="L50" s="440"/>
      <c r="M50" s="440"/>
      <c r="N50" s="440"/>
      <c r="O50" s="440"/>
      <c r="P50" s="440"/>
      <c r="Q50" s="440"/>
      <c r="R50" s="440"/>
      <c r="S50" s="440"/>
      <c r="T50" s="440"/>
      <c r="U50" s="440"/>
      <c r="V50" s="440"/>
      <c r="W50" s="440"/>
      <c r="X50" s="440"/>
      <c r="Y50" s="440"/>
      <c r="Z50" s="440"/>
      <c r="AA50" s="440"/>
      <c r="AB50" s="440"/>
      <c r="AC50" s="441"/>
      <c r="AD50" s="441"/>
      <c r="AE50" s="441"/>
      <c r="AF50" s="441"/>
      <c r="AG50" s="440" t="str">
        <f t="shared" si="0"/>
        <v/>
      </c>
      <c r="AH50" s="440"/>
      <c r="AI50" s="440" t="str">
        <f t="shared" si="1"/>
        <v/>
      </c>
      <c r="AJ50" s="440"/>
    </row>
    <row r="51" spans="1:36" ht="10.5" customHeight="1" x14ac:dyDescent="0.25">
      <c r="A51" s="442"/>
      <c r="B51" s="442"/>
      <c r="C51" s="442"/>
      <c r="D51" s="442"/>
      <c r="E51" s="442"/>
      <c r="F51" s="442"/>
      <c r="G51" s="440"/>
      <c r="H51" s="440"/>
      <c r="I51" s="440"/>
      <c r="J51" s="440"/>
      <c r="K51" s="440"/>
      <c r="L51" s="440"/>
      <c r="M51" s="440"/>
      <c r="N51" s="440"/>
      <c r="O51" s="440"/>
      <c r="P51" s="440"/>
      <c r="Q51" s="440"/>
      <c r="R51" s="440"/>
      <c r="S51" s="440"/>
      <c r="T51" s="440"/>
      <c r="U51" s="440"/>
      <c r="V51" s="440"/>
      <c r="W51" s="440"/>
      <c r="X51" s="440"/>
      <c r="Y51" s="440"/>
      <c r="Z51" s="440"/>
      <c r="AA51" s="440"/>
      <c r="AB51" s="440"/>
      <c r="AC51" s="441"/>
      <c r="AD51" s="441"/>
      <c r="AE51" s="441"/>
      <c r="AF51" s="441"/>
      <c r="AG51" s="440" t="str">
        <f t="shared" si="0"/>
        <v/>
      </c>
      <c r="AH51" s="440"/>
      <c r="AI51" s="440" t="str">
        <f t="shared" si="1"/>
        <v/>
      </c>
      <c r="AJ51" s="440"/>
    </row>
    <row r="52" spans="1:36" ht="10.5" customHeight="1" x14ac:dyDescent="0.25">
      <c r="A52" s="442"/>
      <c r="B52" s="442"/>
      <c r="C52" s="442"/>
      <c r="D52" s="442"/>
      <c r="E52" s="442"/>
      <c r="F52" s="442"/>
      <c r="G52" s="440"/>
      <c r="H52" s="440"/>
      <c r="I52" s="440"/>
      <c r="J52" s="440"/>
      <c r="K52" s="440"/>
      <c r="L52" s="440"/>
      <c r="M52" s="440"/>
      <c r="N52" s="440"/>
      <c r="O52" s="440"/>
      <c r="P52" s="440"/>
      <c r="Q52" s="440"/>
      <c r="R52" s="440"/>
      <c r="S52" s="440"/>
      <c r="T52" s="440"/>
      <c r="U52" s="440"/>
      <c r="V52" s="440"/>
      <c r="W52" s="440"/>
      <c r="X52" s="440"/>
      <c r="Y52" s="440"/>
      <c r="Z52" s="440"/>
      <c r="AA52" s="440"/>
      <c r="AB52" s="440"/>
      <c r="AC52" s="441"/>
      <c r="AD52" s="441"/>
      <c r="AE52" s="441"/>
      <c r="AF52" s="441"/>
      <c r="AG52" s="440" t="str">
        <f t="shared" si="0"/>
        <v/>
      </c>
      <c r="AH52" s="440"/>
      <c r="AI52" s="440" t="str">
        <f t="shared" si="1"/>
        <v/>
      </c>
      <c r="AJ52" s="440"/>
    </row>
    <row r="53" spans="1:36" ht="10.5" customHeight="1" x14ac:dyDescent="0.25">
      <c r="A53" s="442"/>
      <c r="B53" s="442"/>
      <c r="C53" s="442"/>
      <c r="D53" s="442"/>
      <c r="E53" s="442"/>
      <c r="F53" s="442"/>
      <c r="G53" s="440"/>
      <c r="H53" s="440"/>
      <c r="I53" s="440"/>
      <c r="J53" s="440"/>
      <c r="K53" s="440"/>
      <c r="L53" s="440"/>
      <c r="M53" s="440"/>
      <c r="N53" s="440"/>
      <c r="O53" s="440"/>
      <c r="P53" s="440"/>
      <c r="Q53" s="440"/>
      <c r="R53" s="440"/>
      <c r="S53" s="440"/>
      <c r="T53" s="440"/>
      <c r="U53" s="440"/>
      <c r="V53" s="440"/>
      <c r="W53" s="440"/>
      <c r="X53" s="440"/>
      <c r="Y53" s="440"/>
      <c r="Z53" s="440"/>
      <c r="AA53" s="440"/>
      <c r="AB53" s="440"/>
      <c r="AC53" s="441"/>
      <c r="AD53" s="441"/>
      <c r="AE53" s="441"/>
      <c r="AF53" s="441"/>
      <c r="AG53" s="440" t="str">
        <f t="shared" si="0"/>
        <v/>
      </c>
      <c r="AH53" s="440"/>
      <c r="AI53" s="440" t="str">
        <f t="shared" si="1"/>
        <v/>
      </c>
      <c r="AJ53" s="440"/>
    </row>
    <row r="54" spans="1:36" ht="10.5" customHeight="1" x14ac:dyDescent="0.25">
      <c r="A54" s="442"/>
      <c r="B54" s="442"/>
      <c r="C54" s="442"/>
      <c r="D54" s="442"/>
      <c r="E54" s="442"/>
      <c r="F54" s="442"/>
      <c r="G54" s="440"/>
      <c r="H54" s="440"/>
      <c r="I54" s="440"/>
      <c r="J54" s="440"/>
      <c r="K54" s="440"/>
      <c r="L54" s="440"/>
      <c r="M54" s="440"/>
      <c r="N54" s="440"/>
      <c r="O54" s="440"/>
      <c r="P54" s="440"/>
      <c r="Q54" s="440"/>
      <c r="R54" s="440"/>
      <c r="S54" s="440"/>
      <c r="T54" s="440"/>
      <c r="U54" s="440"/>
      <c r="V54" s="440"/>
      <c r="W54" s="440"/>
      <c r="X54" s="440"/>
      <c r="Y54" s="440"/>
      <c r="Z54" s="440"/>
      <c r="AA54" s="440"/>
      <c r="AB54" s="440"/>
      <c r="AC54" s="441"/>
      <c r="AD54" s="441"/>
      <c r="AE54" s="441"/>
      <c r="AF54" s="441"/>
      <c r="AG54" s="440" t="str">
        <f t="shared" si="0"/>
        <v/>
      </c>
      <c r="AH54" s="440"/>
      <c r="AI54" s="440" t="str">
        <f t="shared" si="1"/>
        <v/>
      </c>
      <c r="AJ54" s="440"/>
    </row>
    <row r="55" spans="1:36" ht="10.5" customHeight="1" x14ac:dyDescent="0.25">
      <c r="A55" s="442"/>
      <c r="B55" s="442"/>
      <c r="C55" s="442"/>
      <c r="D55" s="442"/>
      <c r="E55" s="442"/>
      <c r="F55" s="442"/>
      <c r="G55" s="440"/>
      <c r="H55" s="440"/>
      <c r="I55" s="440"/>
      <c r="J55" s="440"/>
      <c r="K55" s="440"/>
      <c r="L55" s="440"/>
      <c r="M55" s="440"/>
      <c r="N55" s="440"/>
      <c r="O55" s="440"/>
      <c r="P55" s="440"/>
      <c r="Q55" s="440"/>
      <c r="R55" s="440"/>
      <c r="S55" s="440"/>
      <c r="T55" s="440"/>
      <c r="U55" s="440"/>
      <c r="V55" s="440"/>
      <c r="W55" s="440"/>
      <c r="X55" s="440"/>
      <c r="Y55" s="440"/>
      <c r="Z55" s="440"/>
      <c r="AA55" s="440"/>
      <c r="AB55" s="440"/>
      <c r="AC55" s="441"/>
      <c r="AD55" s="441"/>
      <c r="AE55" s="441"/>
      <c r="AF55" s="441"/>
      <c r="AG55" s="440" t="str">
        <f t="shared" si="0"/>
        <v/>
      </c>
      <c r="AH55" s="440"/>
      <c r="AI55" s="440" t="str">
        <f t="shared" si="1"/>
        <v/>
      </c>
      <c r="AJ55" s="440"/>
    </row>
    <row r="56" spans="1:36" ht="10.5" customHeight="1" x14ac:dyDescent="0.25">
      <c r="A56" s="442"/>
      <c r="B56" s="442"/>
      <c r="C56" s="442"/>
      <c r="D56" s="442"/>
      <c r="E56" s="442"/>
      <c r="F56" s="442"/>
      <c r="G56" s="440"/>
      <c r="H56" s="440"/>
      <c r="I56" s="440"/>
      <c r="J56" s="440"/>
      <c r="K56" s="440"/>
      <c r="L56" s="440"/>
      <c r="M56" s="440"/>
      <c r="N56" s="440"/>
      <c r="O56" s="440"/>
      <c r="P56" s="440"/>
      <c r="Q56" s="440"/>
      <c r="R56" s="440"/>
      <c r="S56" s="440"/>
      <c r="T56" s="440"/>
      <c r="U56" s="440"/>
      <c r="V56" s="440"/>
      <c r="W56" s="440"/>
      <c r="X56" s="440"/>
      <c r="Y56" s="440"/>
      <c r="Z56" s="440"/>
      <c r="AA56" s="440"/>
      <c r="AB56" s="440"/>
      <c r="AC56" s="441"/>
      <c r="AD56" s="441"/>
      <c r="AE56" s="441"/>
      <c r="AF56" s="441"/>
      <c r="AG56" s="440" t="str">
        <f t="shared" si="0"/>
        <v/>
      </c>
      <c r="AH56" s="440"/>
      <c r="AI56" s="440" t="str">
        <f t="shared" si="1"/>
        <v/>
      </c>
      <c r="AJ56" s="440"/>
    </row>
    <row r="57" spans="1:36" ht="10.5" customHeight="1" x14ac:dyDescent="0.25">
      <c r="A57" s="442"/>
      <c r="B57" s="442"/>
      <c r="C57" s="442"/>
      <c r="D57" s="442"/>
      <c r="E57" s="442"/>
      <c r="F57" s="442"/>
      <c r="G57" s="440"/>
      <c r="H57" s="440"/>
      <c r="I57" s="440"/>
      <c r="J57" s="440"/>
      <c r="K57" s="440"/>
      <c r="L57" s="440"/>
      <c r="M57" s="440"/>
      <c r="N57" s="440"/>
      <c r="O57" s="440"/>
      <c r="P57" s="440"/>
      <c r="Q57" s="440"/>
      <c r="R57" s="440"/>
      <c r="S57" s="440"/>
      <c r="T57" s="440"/>
      <c r="U57" s="440"/>
      <c r="V57" s="440"/>
      <c r="W57" s="440"/>
      <c r="X57" s="440"/>
      <c r="Y57" s="440"/>
      <c r="Z57" s="440"/>
      <c r="AA57" s="440"/>
      <c r="AB57" s="440"/>
      <c r="AC57" s="441"/>
      <c r="AD57" s="441"/>
      <c r="AE57" s="441"/>
      <c r="AF57" s="441"/>
      <c r="AG57" s="440" t="str">
        <f t="shared" si="0"/>
        <v/>
      </c>
      <c r="AH57" s="440"/>
      <c r="AI57" s="440" t="str">
        <f t="shared" si="1"/>
        <v/>
      </c>
      <c r="AJ57" s="440"/>
    </row>
    <row r="58" spans="1:36" ht="10.5" customHeight="1" x14ac:dyDescent="0.25">
      <c r="A58" s="442"/>
      <c r="B58" s="442"/>
      <c r="C58" s="442"/>
      <c r="D58" s="442"/>
      <c r="E58" s="442"/>
      <c r="F58" s="442"/>
      <c r="G58" s="440"/>
      <c r="H58" s="440"/>
      <c r="I58" s="440"/>
      <c r="J58" s="440"/>
      <c r="K58" s="440"/>
      <c r="L58" s="440"/>
      <c r="M58" s="440"/>
      <c r="N58" s="440"/>
      <c r="O58" s="440"/>
      <c r="P58" s="440"/>
      <c r="Q58" s="440"/>
      <c r="R58" s="440"/>
      <c r="S58" s="440"/>
      <c r="T58" s="440"/>
      <c r="U58" s="440"/>
      <c r="V58" s="440"/>
      <c r="W58" s="440"/>
      <c r="X58" s="440"/>
      <c r="Y58" s="440"/>
      <c r="Z58" s="440"/>
      <c r="AA58" s="440"/>
      <c r="AB58" s="440"/>
      <c r="AC58" s="441"/>
      <c r="AD58" s="441"/>
      <c r="AE58" s="441"/>
      <c r="AF58" s="441"/>
      <c r="AG58" s="440" t="str">
        <f t="shared" si="0"/>
        <v/>
      </c>
      <c r="AH58" s="440"/>
      <c r="AI58" s="440" t="str">
        <f t="shared" si="1"/>
        <v/>
      </c>
      <c r="AJ58" s="440"/>
    </row>
    <row r="59" spans="1:36" ht="10.5" customHeight="1" x14ac:dyDescent="0.25">
      <c r="A59" s="442"/>
      <c r="B59" s="442"/>
      <c r="C59" s="442"/>
      <c r="D59" s="442"/>
      <c r="E59" s="442"/>
      <c r="F59" s="442"/>
      <c r="G59" s="440"/>
      <c r="H59" s="440"/>
      <c r="I59" s="440"/>
      <c r="J59" s="440"/>
      <c r="K59" s="440"/>
      <c r="L59" s="440"/>
      <c r="M59" s="440"/>
      <c r="N59" s="440"/>
      <c r="O59" s="440"/>
      <c r="P59" s="440"/>
      <c r="Q59" s="440"/>
      <c r="R59" s="440"/>
      <c r="S59" s="440"/>
      <c r="T59" s="440"/>
      <c r="U59" s="440"/>
      <c r="V59" s="440"/>
      <c r="W59" s="440"/>
      <c r="X59" s="440"/>
      <c r="Y59" s="440"/>
      <c r="Z59" s="440"/>
      <c r="AA59" s="440"/>
      <c r="AB59" s="440"/>
      <c r="AC59" s="441"/>
      <c r="AD59" s="441"/>
      <c r="AE59" s="441"/>
      <c r="AF59" s="441"/>
      <c r="AG59" s="440" t="str">
        <f t="shared" si="0"/>
        <v/>
      </c>
      <c r="AH59" s="440"/>
      <c r="AI59" s="440" t="str">
        <f t="shared" si="1"/>
        <v/>
      </c>
      <c r="AJ59" s="440"/>
    </row>
    <row r="60" spans="1:36" ht="10.5" customHeight="1" x14ac:dyDescent="0.25">
      <c r="A60" s="442"/>
      <c r="B60" s="442"/>
      <c r="C60" s="442"/>
      <c r="D60" s="442"/>
      <c r="E60" s="442"/>
      <c r="F60" s="442"/>
      <c r="G60" s="440"/>
      <c r="H60" s="440"/>
      <c r="I60" s="440"/>
      <c r="J60" s="440"/>
      <c r="K60" s="440"/>
      <c r="L60" s="440"/>
      <c r="M60" s="440"/>
      <c r="N60" s="440"/>
      <c r="O60" s="440"/>
      <c r="P60" s="440"/>
      <c r="Q60" s="440"/>
      <c r="R60" s="440"/>
      <c r="S60" s="440"/>
      <c r="T60" s="440"/>
      <c r="U60" s="440"/>
      <c r="V60" s="440"/>
      <c r="W60" s="440"/>
      <c r="X60" s="440"/>
      <c r="Y60" s="440"/>
      <c r="Z60" s="440"/>
      <c r="AA60" s="440"/>
      <c r="AB60" s="440"/>
      <c r="AC60" s="441"/>
      <c r="AD60" s="441"/>
      <c r="AE60" s="441"/>
      <c r="AF60" s="441"/>
      <c r="AG60" s="440" t="str">
        <f t="shared" si="0"/>
        <v/>
      </c>
      <c r="AH60" s="440"/>
      <c r="AI60" s="440" t="str">
        <f t="shared" si="1"/>
        <v/>
      </c>
      <c r="AJ60" s="440"/>
    </row>
    <row r="61" spans="1:36" ht="10.5" customHeight="1" x14ac:dyDescent="0.25">
      <c r="A61" s="442"/>
      <c r="B61" s="442"/>
      <c r="C61" s="442"/>
      <c r="D61" s="442"/>
      <c r="E61" s="442"/>
      <c r="F61" s="442"/>
      <c r="G61" s="440"/>
      <c r="H61" s="440"/>
      <c r="I61" s="440"/>
      <c r="J61" s="440"/>
      <c r="K61" s="440"/>
      <c r="L61" s="440"/>
      <c r="M61" s="440"/>
      <c r="N61" s="440"/>
      <c r="O61" s="440"/>
      <c r="P61" s="440"/>
      <c r="Q61" s="440"/>
      <c r="R61" s="440"/>
      <c r="S61" s="440"/>
      <c r="T61" s="440"/>
      <c r="U61" s="440"/>
      <c r="V61" s="440"/>
      <c r="W61" s="440"/>
      <c r="X61" s="440"/>
      <c r="Y61" s="440"/>
      <c r="Z61" s="440"/>
      <c r="AA61" s="440"/>
      <c r="AB61" s="440"/>
      <c r="AC61" s="441"/>
      <c r="AD61" s="441"/>
      <c r="AE61" s="441"/>
      <c r="AF61" s="441"/>
      <c r="AG61" s="440" t="str">
        <f t="shared" si="0"/>
        <v/>
      </c>
      <c r="AH61" s="440"/>
      <c r="AI61" s="440" t="str">
        <f t="shared" si="1"/>
        <v/>
      </c>
      <c r="AJ61" s="440"/>
    </row>
    <row r="62" spans="1:36" ht="10.5" customHeight="1" x14ac:dyDescent="0.25">
      <c r="A62" s="442"/>
      <c r="B62" s="442"/>
      <c r="C62" s="442"/>
      <c r="D62" s="442"/>
      <c r="E62" s="442"/>
      <c r="F62" s="442"/>
      <c r="G62" s="440"/>
      <c r="H62" s="440"/>
      <c r="I62" s="440"/>
      <c r="J62" s="440"/>
      <c r="K62" s="440"/>
      <c r="L62" s="440"/>
      <c r="M62" s="440"/>
      <c r="N62" s="440"/>
      <c r="O62" s="440"/>
      <c r="P62" s="440"/>
      <c r="Q62" s="440"/>
      <c r="R62" s="440"/>
      <c r="S62" s="440"/>
      <c r="T62" s="440"/>
      <c r="U62" s="440"/>
      <c r="V62" s="440"/>
      <c r="W62" s="440"/>
      <c r="X62" s="440"/>
      <c r="Y62" s="440"/>
      <c r="Z62" s="440"/>
      <c r="AA62" s="440"/>
      <c r="AB62" s="440"/>
      <c r="AC62" s="441"/>
      <c r="AD62" s="441"/>
      <c r="AE62" s="441"/>
      <c r="AF62" s="441"/>
      <c r="AG62" s="440" t="str">
        <f t="shared" si="0"/>
        <v/>
      </c>
      <c r="AH62" s="440"/>
      <c r="AI62" s="440" t="str">
        <f t="shared" si="1"/>
        <v/>
      </c>
      <c r="AJ62" s="440"/>
    </row>
    <row r="63" spans="1:36" ht="10.5" customHeight="1" x14ac:dyDescent="0.25">
      <c r="A63" s="442"/>
      <c r="B63" s="442"/>
      <c r="C63" s="442"/>
      <c r="D63" s="442"/>
      <c r="E63" s="442"/>
      <c r="F63" s="442"/>
      <c r="G63" s="440"/>
      <c r="H63" s="440"/>
      <c r="I63" s="440"/>
      <c r="J63" s="440"/>
      <c r="K63" s="440"/>
      <c r="L63" s="440"/>
      <c r="M63" s="440"/>
      <c r="N63" s="440"/>
      <c r="O63" s="440"/>
      <c r="P63" s="440"/>
      <c r="Q63" s="440"/>
      <c r="R63" s="440"/>
      <c r="S63" s="440"/>
      <c r="T63" s="440"/>
      <c r="U63" s="440"/>
      <c r="V63" s="440"/>
      <c r="W63" s="440"/>
      <c r="X63" s="440"/>
      <c r="Y63" s="440"/>
      <c r="Z63" s="440"/>
      <c r="AA63" s="440"/>
      <c r="AB63" s="440"/>
      <c r="AC63" s="441"/>
      <c r="AD63" s="441"/>
      <c r="AE63" s="441"/>
      <c r="AF63" s="441"/>
      <c r="AG63" s="440" t="str">
        <f t="shared" si="0"/>
        <v/>
      </c>
      <c r="AH63" s="440"/>
      <c r="AI63" s="440" t="str">
        <f t="shared" si="1"/>
        <v/>
      </c>
      <c r="AJ63" s="440"/>
    </row>
    <row r="64" spans="1:36" ht="10.5" customHeight="1" x14ac:dyDescent="0.25">
      <c r="A64" s="442"/>
      <c r="B64" s="442"/>
      <c r="C64" s="442"/>
      <c r="D64" s="442"/>
      <c r="E64" s="442"/>
      <c r="F64" s="442"/>
      <c r="G64" s="440"/>
      <c r="H64" s="440"/>
      <c r="I64" s="440"/>
      <c r="J64" s="440"/>
      <c r="K64" s="440"/>
      <c r="L64" s="440"/>
      <c r="M64" s="440"/>
      <c r="N64" s="440"/>
      <c r="O64" s="440"/>
      <c r="P64" s="440"/>
      <c r="Q64" s="440"/>
      <c r="R64" s="440"/>
      <c r="S64" s="440"/>
      <c r="T64" s="440"/>
      <c r="U64" s="440"/>
      <c r="V64" s="440"/>
      <c r="W64" s="440"/>
      <c r="X64" s="440"/>
      <c r="Y64" s="440"/>
      <c r="Z64" s="440"/>
      <c r="AA64" s="440"/>
      <c r="AB64" s="440"/>
      <c r="AC64" s="441"/>
      <c r="AD64" s="441"/>
      <c r="AE64" s="441"/>
      <c r="AF64" s="441"/>
      <c r="AG64" s="440" t="str">
        <f t="shared" si="0"/>
        <v/>
      </c>
      <c r="AH64" s="440"/>
      <c r="AI64" s="440" t="str">
        <f t="shared" si="1"/>
        <v/>
      </c>
      <c r="AJ64" s="440"/>
    </row>
    <row r="65" spans="1:36" ht="10.5" customHeight="1" x14ac:dyDescent="0.25">
      <c r="A65" s="442"/>
      <c r="B65" s="442"/>
      <c r="C65" s="442"/>
      <c r="D65" s="442"/>
      <c r="E65" s="442"/>
      <c r="F65" s="442"/>
      <c r="G65" s="440"/>
      <c r="H65" s="440"/>
      <c r="I65" s="440"/>
      <c r="J65" s="440"/>
      <c r="K65" s="440"/>
      <c r="L65" s="440"/>
      <c r="M65" s="440"/>
      <c r="N65" s="440"/>
      <c r="O65" s="440"/>
      <c r="P65" s="440"/>
      <c r="Q65" s="440"/>
      <c r="R65" s="440"/>
      <c r="S65" s="440"/>
      <c r="T65" s="440"/>
      <c r="U65" s="440"/>
      <c r="V65" s="440"/>
      <c r="W65" s="440"/>
      <c r="X65" s="440"/>
      <c r="Y65" s="440"/>
      <c r="Z65" s="440"/>
      <c r="AA65" s="440"/>
      <c r="AB65" s="440"/>
      <c r="AC65" s="441"/>
      <c r="AD65" s="441"/>
      <c r="AE65" s="441"/>
      <c r="AF65" s="441"/>
      <c r="AG65" s="440" t="str">
        <f t="shared" si="0"/>
        <v/>
      </c>
      <c r="AH65" s="440"/>
      <c r="AI65" s="440" t="str">
        <f t="shared" si="1"/>
        <v/>
      </c>
      <c r="AJ65" s="440"/>
    </row>
    <row r="66" spans="1:36" ht="10.5" customHeight="1" x14ac:dyDescent="0.25">
      <c r="A66" s="442"/>
      <c r="B66" s="442"/>
      <c r="C66" s="442"/>
      <c r="D66" s="442"/>
      <c r="E66" s="442"/>
      <c r="F66" s="442"/>
      <c r="G66" s="440"/>
      <c r="H66" s="440"/>
      <c r="I66" s="440"/>
      <c r="J66" s="440"/>
      <c r="K66" s="440"/>
      <c r="L66" s="440"/>
      <c r="M66" s="440"/>
      <c r="N66" s="440"/>
      <c r="O66" s="440"/>
      <c r="P66" s="440"/>
      <c r="Q66" s="440"/>
      <c r="R66" s="440"/>
      <c r="S66" s="440"/>
      <c r="T66" s="440"/>
      <c r="U66" s="440"/>
      <c r="V66" s="440"/>
      <c r="W66" s="440"/>
      <c r="X66" s="440"/>
      <c r="Y66" s="440"/>
      <c r="Z66" s="440"/>
      <c r="AA66" s="440"/>
      <c r="AB66" s="440"/>
      <c r="AC66" s="441"/>
      <c r="AD66" s="441"/>
      <c r="AE66" s="441"/>
      <c r="AF66" s="441"/>
      <c r="AG66" s="440" t="str">
        <f t="shared" si="0"/>
        <v/>
      </c>
      <c r="AH66" s="440"/>
      <c r="AI66" s="440" t="str">
        <f t="shared" si="1"/>
        <v/>
      </c>
      <c r="AJ66" s="440"/>
    </row>
    <row r="67" spans="1:36" ht="10.5" customHeight="1" x14ac:dyDescent="0.25">
      <c r="A67" s="442"/>
      <c r="B67" s="442"/>
      <c r="C67" s="442"/>
      <c r="D67" s="442"/>
      <c r="E67" s="442"/>
      <c r="F67" s="442"/>
      <c r="G67" s="440"/>
      <c r="H67" s="440"/>
      <c r="I67" s="440"/>
      <c r="J67" s="440"/>
      <c r="K67" s="440"/>
      <c r="L67" s="440"/>
      <c r="M67" s="440"/>
      <c r="N67" s="440"/>
      <c r="O67" s="440"/>
      <c r="P67" s="440"/>
      <c r="Q67" s="440"/>
      <c r="R67" s="440"/>
      <c r="S67" s="440"/>
      <c r="T67" s="440"/>
      <c r="U67" s="440"/>
      <c r="V67" s="440"/>
      <c r="W67" s="440"/>
      <c r="X67" s="440"/>
      <c r="Y67" s="440"/>
      <c r="Z67" s="440"/>
      <c r="AA67" s="440"/>
      <c r="AB67" s="440"/>
      <c r="AC67" s="441"/>
      <c r="AD67" s="441"/>
      <c r="AE67" s="441"/>
      <c r="AF67" s="441"/>
      <c r="AG67" s="440" t="str">
        <f t="shared" si="0"/>
        <v/>
      </c>
      <c r="AH67" s="440"/>
      <c r="AI67" s="440" t="str">
        <f t="shared" si="1"/>
        <v/>
      </c>
      <c r="AJ67" s="440"/>
    </row>
    <row r="68" spans="1:36" ht="10.5" customHeight="1" x14ac:dyDescent="0.25">
      <c r="A68" s="442"/>
      <c r="B68" s="442"/>
      <c r="C68" s="442"/>
      <c r="D68" s="442"/>
      <c r="E68" s="442"/>
      <c r="F68" s="442"/>
      <c r="G68" s="440"/>
      <c r="H68" s="440"/>
      <c r="I68" s="440"/>
      <c r="J68" s="440"/>
      <c r="K68" s="440"/>
      <c r="L68" s="440"/>
      <c r="M68" s="440"/>
      <c r="N68" s="440"/>
      <c r="O68" s="440"/>
      <c r="P68" s="440"/>
      <c r="Q68" s="440"/>
      <c r="R68" s="440"/>
      <c r="S68" s="440"/>
      <c r="T68" s="440"/>
      <c r="U68" s="440"/>
      <c r="V68" s="440"/>
      <c r="W68" s="440"/>
      <c r="X68" s="440"/>
      <c r="Y68" s="440"/>
      <c r="Z68" s="440"/>
      <c r="AA68" s="440"/>
      <c r="AB68" s="440"/>
      <c r="AC68" s="441"/>
      <c r="AD68" s="441"/>
      <c r="AE68" s="441"/>
      <c r="AF68" s="441"/>
      <c r="AG68" s="440" t="str">
        <f t="shared" si="0"/>
        <v/>
      </c>
      <c r="AH68" s="440"/>
      <c r="AI68" s="440" t="str">
        <f t="shared" si="1"/>
        <v/>
      </c>
      <c r="AJ68" s="440"/>
    </row>
    <row r="69" spans="1:36" ht="10.5" customHeight="1" x14ac:dyDescent="0.25">
      <c r="A69" s="442"/>
      <c r="B69" s="442"/>
      <c r="C69" s="442"/>
      <c r="D69" s="442"/>
      <c r="E69" s="442"/>
      <c r="F69" s="442"/>
      <c r="G69" s="440"/>
      <c r="H69" s="440"/>
      <c r="I69" s="440"/>
      <c r="J69" s="440"/>
      <c r="K69" s="440"/>
      <c r="L69" s="440"/>
      <c r="M69" s="440"/>
      <c r="N69" s="440"/>
      <c r="O69" s="440"/>
      <c r="P69" s="440"/>
      <c r="Q69" s="440"/>
      <c r="R69" s="440"/>
      <c r="S69" s="440"/>
      <c r="T69" s="440"/>
      <c r="U69" s="440"/>
      <c r="V69" s="440"/>
      <c r="W69" s="440"/>
      <c r="X69" s="440"/>
      <c r="Y69" s="440"/>
      <c r="Z69" s="440"/>
      <c r="AA69" s="440"/>
      <c r="AB69" s="440"/>
      <c r="AC69" s="441"/>
      <c r="AD69" s="441"/>
      <c r="AE69" s="441"/>
      <c r="AF69" s="441"/>
      <c r="AG69" s="440" t="str">
        <f t="shared" si="0"/>
        <v/>
      </c>
      <c r="AH69" s="440"/>
      <c r="AI69" s="440" t="str">
        <f t="shared" si="1"/>
        <v/>
      </c>
      <c r="AJ69" s="440"/>
    </row>
    <row r="70" spans="1:36" ht="10.5" customHeight="1" x14ac:dyDescent="0.25">
      <c r="A70" s="442"/>
      <c r="B70" s="442"/>
      <c r="C70" s="442"/>
      <c r="D70" s="442"/>
      <c r="E70" s="442"/>
      <c r="F70" s="442"/>
      <c r="G70" s="440"/>
      <c r="H70" s="440"/>
      <c r="I70" s="440"/>
      <c r="J70" s="440"/>
      <c r="K70" s="440"/>
      <c r="L70" s="440"/>
      <c r="M70" s="440"/>
      <c r="N70" s="440"/>
      <c r="O70" s="440"/>
      <c r="P70" s="440"/>
      <c r="Q70" s="440"/>
      <c r="R70" s="440"/>
      <c r="S70" s="440"/>
      <c r="T70" s="440"/>
      <c r="U70" s="440"/>
      <c r="V70" s="440"/>
      <c r="W70" s="440"/>
      <c r="X70" s="440"/>
      <c r="Y70" s="440"/>
      <c r="Z70" s="440"/>
      <c r="AA70" s="440"/>
      <c r="AB70" s="440"/>
      <c r="AC70" s="441"/>
      <c r="AD70" s="441"/>
      <c r="AE70" s="441"/>
      <c r="AF70" s="441"/>
      <c r="AG70" s="440" t="str">
        <f t="shared" si="0"/>
        <v/>
      </c>
      <c r="AH70" s="440"/>
      <c r="AI70" s="440" t="str">
        <f t="shared" si="1"/>
        <v/>
      </c>
      <c r="AJ70" s="440"/>
    </row>
    <row r="71" spans="1:36" ht="10.5" customHeight="1" x14ac:dyDescent="0.25">
      <c r="A71" s="442"/>
      <c r="B71" s="442"/>
      <c r="C71" s="442"/>
      <c r="D71" s="442"/>
      <c r="E71" s="442"/>
      <c r="F71" s="442"/>
      <c r="G71" s="440"/>
      <c r="H71" s="440"/>
      <c r="I71" s="440"/>
      <c r="J71" s="440"/>
      <c r="K71" s="440"/>
      <c r="L71" s="440"/>
      <c r="M71" s="440"/>
      <c r="N71" s="440"/>
      <c r="O71" s="440"/>
      <c r="P71" s="440"/>
      <c r="Q71" s="440"/>
      <c r="R71" s="440"/>
      <c r="S71" s="440"/>
      <c r="T71" s="440"/>
      <c r="U71" s="440"/>
      <c r="V71" s="440"/>
      <c r="W71" s="440"/>
      <c r="X71" s="440"/>
      <c r="Y71" s="440"/>
      <c r="Z71" s="440"/>
      <c r="AA71" s="440"/>
      <c r="AB71" s="440"/>
      <c r="AC71" s="441"/>
      <c r="AD71" s="441"/>
      <c r="AE71" s="441"/>
      <c r="AF71" s="441"/>
      <c r="AG71" s="440" t="str">
        <f t="shared" si="0"/>
        <v/>
      </c>
      <c r="AH71" s="440"/>
      <c r="AI71" s="440" t="str">
        <f t="shared" si="1"/>
        <v/>
      </c>
      <c r="AJ71" s="440"/>
    </row>
    <row r="72" spans="1:36" ht="10.5" customHeight="1" x14ac:dyDescent="0.25">
      <c r="A72" s="442"/>
      <c r="B72" s="442"/>
      <c r="C72" s="442"/>
      <c r="D72" s="442"/>
      <c r="E72" s="442"/>
      <c r="F72" s="442"/>
      <c r="G72" s="440"/>
      <c r="H72" s="440"/>
      <c r="I72" s="440"/>
      <c r="J72" s="440"/>
      <c r="K72" s="440"/>
      <c r="L72" s="440"/>
      <c r="M72" s="440"/>
      <c r="N72" s="440"/>
      <c r="O72" s="440"/>
      <c r="P72" s="440"/>
      <c r="Q72" s="440"/>
      <c r="R72" s="440"/>
      <c r="S72" s="440"/>
      <c r="T72" s="440"/>
      <c r="U72" s="440"/>
      <c r="V72" s="440"/>
      <c r="W72" s="440"/>
      <c r="X72" s="440"/>
      <c r="Y72" s="440"/>
      <c r="Z72" s="440"/>
      <c r="AA72" s="440"/>
      <c r="AB72" s="440"/>
      <c r="AC72" s="441"/>
      <c r="AD72" s="441"/>
      <c r="AE72" s="441"/>
      <c r="AF72" s="441"/>
      <c r="AG72" s="440" t="str">
        <f t="shared" si="0"/>
        <v/>
      </c>
      <c r="AH72" s="440"/>
      <c r="AI72" s="440" t="str">
        <f t="shared" si="1"/>
        <v/>
      </c>
      <c r="AJ72" s="440"/>
    </row>
    <row r="73" spans="1:36" ht="10.5" customHeight="1" x14ac:dyDescent="0.25">
      <c r="A73" s="442"/>
      <c r="B73" s="442"/>
      <c r="C73" s="442"/>
      <c r="D73" s="442"/>
      <c r="E73" s="442"/>
      <c r="F73" s="442"/>
      <c r="G73" s="440"/>
      <c r="H73" s="440"/>
      <c r="I73" s="440"/>
      <c r="J73" s="440"/>
      <c r="K73" s="440"/>
      <c r="L73" s="440"/>
      <c r="M73" s="440"/>
      <c r="N73" s="440"/>
      <c r="O73" s="440"/>
      <c r="P73" s="440"/>
      <c r="Q73" s="440"/>
      <c r="R73" s="440"/>
      <c r="S73" s="440"/>
      <c r="T73" s="440"/>
      <c r="U73" s="440"/>
      <c r="V73" s="440"/>
      <c r="W73" s="440"/>
      <c r="X73" s="440"/>
      <c r="Y73" s="440"/>
      <c r="Z73" s="440"/>
      <c r="AA73" s="440"/>
      <c r="AB73" s="440"/>
      <c r="AC73" s="441"/>
      <c r="AD73" s="441"/>
      <c r="AE73" s="441"/>
      <c r="AF73" s="441"/>
      <c r="AG73" s="440" t="str">
        <f t="shared" si="0"/>
        <v/>
      </c>
      <c r="AH73" s="440"/>
      <c r="AI73" s="440" t="str">
        <f t="shared" si="1"/>
        <v/>
      </c>
      <c r="AJ73" s="440"/>
    </row>
    <row r="74" spans="1:36" ht="10.5" customHeight="1" x14ac:dyDescent="0.25">
      <c r="A74" s="442"/>
      <c r="B74" s="442"/>
      <c r="C74" s="442"/>
      <c r="D74" s="442"/>
      <c r="E74" s="442"/>
      <c r="F74" s="442"/>
      <c r="G74" s="440"/>
      <c r="H74" s="440"/>
      <c r="I74" s="440"/>
      <c r="J74" s="440"/>
      <c r="K74" s="440"/>
      <c r="L74" s="440"/>
      <c r="M74" s="440"/>
      <c r="N74" s="440"/>
      <c r="O74" s="440"/>
      <c r="P74" s="440"/>
      <c r="Q74" s="440"/>
      <c r="R74" s="440"/>
      <c r="S74" s="440"/>
      <c r="T74" s="440"/>
      <c r="U74" s="440"/>
      <c r="V74" s="440"/>
      <c r="W74" s="440"/>
      <c r="X74" s="440"/>
      <c r="Y74" s="440"/>
      <c r="Z74" s="440"/>
      <c r="AA74" s="440"/>
      <c r="AB74" s="440"/>
      <c r="AC74" s="441"/>
      <c r="AD74" s="441"/>
      <c r="AE74" s="441"/>
      <c r="AF74" s="441"/>
      <c r="AG74" s="440" t="str">
        <f t="shared" ref="AG74:AG83" si="2">IF(ISBLANK(I74)=TRUE,"",I74*12)</f>
        <v/>
      </c>
      <c r="AH74" s="440"/>
      <c r="AI74" s="440" t="str">
        <f t="shared" ref="AI74:AI83" si="3">IF(ISBLANK(K74)=TRUE,"",K74*SQRT(12))</f>
        <v/>
      </c>
      <c r="AJ74" s="440"/>
    </row>
    <row r="75" spans="1:36" ht="10.5" customHeight="1" x14ac:dyDescent="0.25">
      <c r="A75" s="442"/>
      <c r="B75" s="442"/>
      <c r="C75" s="442"/>
      <c r="D75" s="442"/>
      <c r="E75" s="442"/>
      <c r="F75" s="442"/>
      <c r="G75" s="440"/>
      <c r="H75" s="440"/>
      <c r="I75" s="440"/>
      <c r="J75" s="440"/>
      <c r="K75" s="440"/>
      <c r="L75" s="440"/>
      <c r="M75" s="440"/>
      <c r="N75" s="440"/>
      <c r="O75" s="440"/>
      <c r="P75" s="440"/>
      <c r="Q75" s="440"/>
      <c r="R75" s="440"/>
      <c r="S75" s="440"/>
      <c r="T75" s="440"/>
      <c r="U75" s="440"/>
      <c r="V75" s="440"/>
      <c r="W75" s="440"/>
      <c r="X75" s="440"/>
      <c r="Y75" s="440"/>
      <c r="Z75" s="440"/>
      <c r="AA75" s="440"/>
      <c r="AB75" s="440"/>
      <c r="AC75" s="441"/>
      <c r="AD75" s="441"/>
      <c r="AE75" s="441"/>
      <c r="AF75" s="441"/>
      <c r="AG75" s="440" t="str">
        <f t="shared" si="2"/>
        <v/>
      </c>
      <c r="AH75" s="440"/>
      <c r="AI75" s="440" t="str">
        <f t="shared" si="3"/>
        <v/>
      </c>
      <c r="AJ75" s="440"/>
    </row>
    <row r="76" spans="1:36" ht="10.5" customHeight="1" x14ac:dyDescent="0.25">
      <c r="A76" s="442"/>
      <c r="B76" s="442"/>
      <c r="C76" s="442"/>
      <c r="D76" s="442"/>
      <c r="E76" s="442"/>
      <c r="F76" s="442"/>
      <c r="G76" s="440"/>
      <c r="H76" s="440"/>
      <c r="I76" s="440"/>
      <c r="J76" s="440"/>
      <c r="K76" s="440"/>
      <c r="L76" s="440"/>
      <c r="M76" s="440"/>
      <c r="N76" s="440"/>
      <c r="O76" s="440"/>
      <c r="P76" s="440"/>
      <c r="Q76" s="440"/>
      <c r="R76" s="440"/>
      <c r="S76" s="440"/>
      <c r="T76" s="440"/>
      <c r="U76" s="440"/>
      <c r="V76" s="440"/>
      <c r="W76" s="440"/>
      <c r="X76" s="440"/>
      <c r="Y76" s="440"/>
      <c r="Z76" s="440"/>
      <c r="AA76" s="440"/>
      <c r="AB76" s="440"/>
      <c r="AC76" s="441"/>
      <c r="AD76" s="441"/>
      <c r="AE76" s="441"/>
      <c r="AF76" s="441"/>
      <c r="AG76" s="440" t="str">
        <f t="shared" si="2"/>
        <v/>
      </c>
      <c r="AH76" s="440"/>
      <c r="AI76" s="440" t="str">
        <f t="shared" si="3"/>
        <v/>
      </c>
      <c r="AJ76" s="440"/>
    </row>
    <row r="77" spans="1:36" ht="10.5" customHeight="1" x14ac:dyDescent="0.25">
      <c r="A77" s="442"/>
      <c r="B77" s="442"/>
      <c r="C77" s="442"/>
      <c r="D77" s="442"/>
      <c r="E77" s="442"/>
      <c r="F77" s="442"/>
      <c r="G77" s="440"/>
      <c r="H77" s="440"/>
      <c r="I77" s="440"/>
      <c r="J77" s="440"/>
      <c r="K77" s="440"/>
      <c r="L77" s="440"/>
      <c r="M77" s="440"/>
      <c r="N77" s="440"/>
      <c r="O77" s="440"/>
      <c r="P77" s="440"/>
      <c r="Q77" s="440"/>
      <c r="R77" s="440"/>
      <c r="S77" s="440"/>
      <c r="T77" s="440"/>
      <c r="U77" s="440"/>
      <c r="V77" s="440"/>
      <c r="W77" s="440"/>
      <c r="X77" s="440"/>
      <c r="Y77" s="440"/>
      <c r="Z77" s="440"/>
      <c r="AA77" s="440"/>
      <c r="AB77" s="440"/>
      <c r="AC77" s="441"/>
      <c r="AD77" s="441"/>
      <c r="AE77" s="441"/>
      <c r="AF77" s="441"/>
      <c r="AG77" s="440" t="str">
        <f t="shared" si="2"/>
        <v/>
      </c>
      <c r="AH77" s="440"/>
      <c r="AI77" s="440" t="str">
        <f t="shared" si="3"/>
        <v/>
      </c>
      <c r="AJ77" s="440"/>
    </row>
    <row r="78" spans="1:36" ht="10.5" customHeight="1" x14ac:dyDescent="0.25">
      <c r="A78" s="442"/>
      <c r="B78" s="442"/>
      <c r="C78" s="442"/>
      <c r="D78" s="442"/>
      <c r="E78" s="442"/>
      <c r="F78" s="442"/>
      <c r="G78" s="440"/>
      <c r="H78" s="440"/>
      <c r="I78" s="440"/>
      <c r="J78" s="440"/>
      <c r="K78" s="440"/>
      <c r="L78" s="440"/>
      <c r="M78" s="440"/>
      <c r="N78" s="440"/>
      <c r="O78" s="440"/>
      <c r="P78" s="440"/>
      <c r="Q78" s="440"/>
      <c r="R78" s="440"/>
      <c r="S78" s="440"/>
      <c r="T78" s="440"/>
      <c r="U78" s="440"/>
      <c r="V78" s="440"/>
      <c r="W78" s="440"/>
      <c r="X78" s="440"/>
      <c r="Y78" s="440"/>
      <c r="Z78" s="440"/>
      <c r="AA78" s="440"/>
      <c r="AB78" s="440"/>
      <c r="AC78" s="441"/>
      <c r="AD78" s="441"/>
      <c r="AE78" s="441"/>
      <c r="AF78" s="441"/>
      <c r="AG78" s="440" t="str">
        <f t="shared" si="2"/>
        <v/>
      </c>
      <c r="AH78" s="440"/>
      <c r="AI78" s="440" t="str">
        <f t="shared" si="3"/>
        <v/>
      </c>
      <c r="AJ78" s="440"/>
    </row>
    <row r="79" spans="1:36" ht="10.5" customHeight="1" x14ac:dyDescent="0.25">
      <c r="A79" s="442"/>
      <c r="B79" s="442"/>
      <c r="C79" s="442"/>
      <c r="D79" s="442"/>
      <c r="E79" s="442"/>
      <c r="F79" s="442"/>
      <c r="G79" s="440"/>
      <c r="H79" s="440"/>
      <c r="I79" s="440"/>
      <c r="J79" s="440"/>
      <c r="K79" s="440"/>
      <c r="L79" s="440"/>
      <c r="M79" s="440"/>
      <c r="N79" s="440"/>
      <c r="O79" s="440"/>
      <c r="P79" s="440"/>
      <c r="Q79" s="440"/>
      <c r="R79" s="440"/>
      <c r="S79" s="440"/>
      <c r="T79" s="440"/>
      <c r="U79" s="440"/>
      <c r="V79" s="440"/>
      <c r="W79" s="440"/>
      <c r="X79" s="440"/>
      <c r="Y79" s="440"/>
      <c r="Z79" s="440"/>
      <c r="AA79" s="440"/>
      <c r="AB79" s="440"/>
      <c r="AC79" s="441"/>
      <c r="AD79" s="441"/>
      <c r="AE79" s="441"/>
      <c r="AF79" s="441"/>
      <c r="AG79" s="440" t="str">
        <f t="shared" si="2"/>
        <v/>
      </c>
      <c r="AH79" s="440"/>
      <c r="AI79" s="440" t="str">
        <f t="shared" si="3"/>
        <v/>
      </c>
      <c r="AJ79" s="440"/>
    </row>
    <row r="80" spans="1:36" ht="10.5" customHeight="1" x14ac:dyDescent="0.25">
      <c r="A80" s="442"/>
      <c r="B80" s="442"/>
      <c r="C80" s="442"/>
      <c r="D80" s="442"/>
      <c r="E80" s="442"/>
      <c r="F80" s="442"/>
      <c r="G80" s="440"/>
      <c r="H80" s="440"/>
      <c r="I80" s="440"/>
      <c r="J80" s="440"/>
      <c r="K80" s="440"/>
      <c r="L80" s="440"/>
      <c r="M80" s="440"/>
      <c r="N80" s="440"/>
      <c r="O80" s="440"/>
      <c r="P80" s="440"/>
      <c r="Q80" s="440"/>
      <c r="R80" s="440"/>
      <c r="S80" s="440"/>
      <c r="T80" s="440"/>
      <c r="U80" s="440"/>
      <c r="V80" s="440"/>
      <c r="W80" s="440"/>
      <c r="X80" s="440"/>
      <c r="Y80" s="440"/>
      <c r="Z80" s="440"/>
      <c r="AA80" s="440"/>
      <c r="AB80" s="440"/>
      <c r="AC80" s="441"/>
      <c r="AD80" s="441"/>
      <c r="AE80" s="441"/>
      <c r="AF80" s="441"/>
      <c r="AG80" s="440" t="str">
        <f t="shared" si="2"/>
        <v/>
      </c>
      <c r="AH80" s="440"/>
      <c r="AI80" s="440" t="str">
        <f t="shared" si="3"/>
        <v/>
      </c>
      <c r="AJ80" s="440"/>
    </row>
    <row r="81" spans="1:36" ht="10.5" customHeight="1" x14ac:dyDescent="0.25">
      <c r="A81" s="442"/>
      <c r="B81" s="442"/>
      <c r="C81" s="442"/>
      <c r="D81" s="442"/>
      <c r="E81" s="442"/>
      <c r="F81" s="442"/>
      <c r="G81" s="440"/>
      <c r="H81" s="440"/>
      <c r="I81" s="440"/>
      <c r="J81" s="440"/>
      <c r="K81" s="440"/>
      <c r="L81" s="440"/>
      <c r="M81" s="440"/>
      <c r="N81" s="440"/>
      <c r="O81" s="440"/>
      <c r="P81" s="440"/>
      <c r="Q81" s="440"/>
      <c r="R81" s="440"/>
      <c r="S81" s="440"/>
      <c r="T81" s="440"/>
      <c r="U81" s="440"/>
      <c r="V81" s="440"/>
      <c r="W81" s="440"/>
      <c r="X81" s="440"/>
      <c r="Y81" s="440"/>
      <c r="Z81" s="440"/>
      <c r="AA81" s="440"/>
      <c r="AB81" s="440"/>
      <c r="AC81" s="441"/>
      <c r="AD81" s="441"/>
      <c r="AE81" s="441"/>
      <c r="AF81" s="441"/>
      <c r="AG81" s="440" t="str">
        <f t="shared" si="2"/>
        <v/>
      </c>
      <c r="AH81" s="440"/>
      <c r="AI81" s="440" t="str">
        <f t="shared" si="3"/>
        <v/>
      </c>
      <c r="AJ81" s="440"/>
    </row>
    <row r="82" spans="1:36" ht="10.5" customHeight="1" x14ac:dyDescent="0.25">
      <c r="A82" s="442"/>
      <c r="B82" s="442"/>
      <c r="C82" s="442"/>
      <c r="D82" s="442"/>
      <c r="E82" s="442"/>
      <c r="F82" s="442"/>
      <c r="G82" s="440"/>
      <c r="H82" s="440"/>
      <c r="I82" s="440"/>
      <c r="J82" s="440"/>
      <c r="K82" s="440"/>
      <c r="L82" s="440"/>
      <c r="M82" s="440"/>
      <c r="N82" s="440"/>
      <c r="O82" s="440"/>
      <c r="P82" s="440"/>
      <c r="Q82" s="440"/>
      <c r="R82" s="440"/>
      <c r="S82" s="440"/>
      <c r="T82" s="440"/>
      <c r="U82" s="440"/>
      <c r="V82" s="440"/>
      <c r="W82" s="440"/>
      <c r="X82" s="440"/>
      <c r="Y82" s="440"/>
      <c r="Z82" s="440"/>
      <c r="AA82" s="440"/>
      <c r="AB82" s="440"/>
      <c r="AC82" s="441"/>
      <c r="AD82" s="441"/>
      <c r="AE82" s="441"/>
      <c r="AF82" s="441"/>
      <c r="AG82" s="440" t="str">
        <f t="shared" si="2"/>
        <v/>
      </c>
      <c r="AH82" s="440"/>
      <c r="AI82" s="440" t="str">
        <f t="shared" si="3"/>
        <v/>
      </c>
      <c r="AJ82" s="440"/>
    </row>
    <row r="83" spans="1:36" ht="10.5" customHeight="1" x14ac:dyDescent="0.25">
      <c r="A83" s="442"/>
      <c r="B83" s="442"/>
      <c r="C83" s="442"/>
      <c r="D83" s="442"/>
      <c r="E83" s="442"/>
      <c r="F83" s="442"/>
      <c r="G83" s="440"/>
      <c r="H83" s="440"/>
      <c r="I83" s="440"/>
      <c r="J83" s="440"/>
      <c r="K83" s="440"/>
      <c r="L83" s="440"/>
      <c r="M83" s="440"/>
      <c r="N83" s="440"/>
      <c r="O83" s="440"/>
      <c r="P83" s="440"/>
      <c r="Q83" s="440"/>
      <c r="R83" s="440"/>
      <c r="S83" s="440"/>
      <c r="T83" s="440"/>
      <c r="U83" s="440"/>
      <c r="V83" s="440"/>
      <c r="W83" s="440"/>
      <c r="X83" s="440"/>
      <c r="Y83" s="440"/>
      <c r="Z83" s="440"/>
      <c r="AA83" s="440"/>
      <c r="AB83" s="440"/>
      <c r="AC83" s="441"/>
      <c r="AD83" s="441"/>
      <c r="AE83" s="441"/>
      <c r="AF83" s="441"/>
      <c r="AG83" s="440" t="str">
        <f t="shared" si="2"/>
        <v/>
      </c>
      <c r="AH83" s="440"/>
      <c r="AI83" s="440" t="str">
        <f t="shared" si="3"/>
        <v/>
      </c>
      <c r="AJ83" s="440"/>
    </row>
    <row r="84" spans="1:36" x14ac:dyDescent="0.25">
      <c r="G84" s="298"/>
      <c r="H84" s="298"/>
      <c r="I84" s="298"/>
      <c r="J84" s="298"/>
      <c r="K84" s="298"/>
      <c r="L84" s="298"/>
      <c r="M84" s="298"/>
      <c r="N84" s="298"/>
      <c r="O84" s="298"/>
      <c r="P84" s="298"/>
      <c r="Q84" s="298"/>
      <c r="R84" s="298"/>
      <c r="S84" s="298"/>
      <c r="T84" s="298"/>
      <c r="U84" s="298"/>
      <c r="V84" s="298"/>
      <c r="W84" s="298"/>
      <c r="X84" s="298"/>
      <c r="Y84" s="298"/>
      <c r="Z84" s="298"/>
      <c r="AA84" s="298"/>
      <c r="AB84" s="298"/>
    </row>
  </sheetData>
  <mergeCells count="1219">
    <mergeCell ref="AI82:AJ82"/>
    <mergeCell ref="AI83:AJ83"/>
    <mergeCell ref="A5:AJ5"/>
    <mergeCell ref="AI65:AJ65"/>
    <mergeCell ref="AI66:AJ66"/>
    <mergeCell ref="AI67:AJ67"/>
    <mergeCell ref="AI68:AJ68"/>
    <mergeCell ref="AI69:AJ69"/>
    <mergeCell ref="AI70:AJ70"/>
    <mergeCell ref="AI71:AJ71"/>
    <mergeCell ref="AI72:AJ72"/>
    <mergeCell ref="AI73:AJ73"/>
    <mergeCell ref="AI74:AJ74"/>
    <mergeCell ref="AI75:AJ75"/>
    <mergeCell ref="AI76:AJ76"/>
    <mergeCell ref="AI77:AJ77"/>
    <mergeCell ref="AI78:AJ78"/>
    <mergeCell ref="AI79:AJ79"/>
    <mergeCell ref="AI80:AJ80"/>
    <mergeCell ref="AI81:AJ81"/>
    <mergeCell ref="AI48:AJ48"/>
    <mergeCell ref="AI49:AJ49"/>
    <mergeCell ref="AI50:AJ50"/>
    <mergeCell ref="AI51:AJ51"/>
    <mergeCell ref="AI52:AJ52"/>
    <mergeCell ref="AI53:AJ53"/>
    <mergeCell ref="AI54:AJ54"/>
    <mergeCell ref="AI55:AJ55"/>
    <mergeCell ref="AI56:AJ56"/>
    <mergeCell ref="AI57:AJ57"/>
    <mergeCell ref="AI58:AJ58"/>
    <mergeCell ref="AI59:AJ59"/>
    <mergeCell ref="AI60:AJ60"/>
    <mergeCell ref="AI61:AJ61"/>
    <mergeCell ref="AI62:AJ62"/>
    <mergeCell ref="AI63:AJ63"/>
    <mergeCell ref="AI64:AJ64"/>
    <mergeCell ref="AI31:AJ31"/>
    <mergeCell ref="AI32:AJ32"/>
    <mergeCell ref="AI33:AJ33"/>
    <mergeCell ref="AI34:AJ34"/>
    <mergeCell ref="AI35:AJ35"/>
    <mergeCell ref="AI36:AJ36"/>
    <mergeCell ref="AI37:AJ37"/>
    <mergeCell ref="AI38:AJ38"/>
    <mergeCell ref="AI39:AJ39"/>
    <mergeCell ref="AI40:AJ40"/>
    <mergeCell ref="AI41:AJ41"/>
    <mergeCell ref="AI42:AJ42"/>
    <mergeCell ref="AI43:AJ43"/>
    <mergeCell ref="AI44:AJ44"/>
    <mergeCell ref="AI45:AJ45"/>
    <mergeCell ref="AI46:AJ46"/>
    <mergeCell ref="AI47:AJ47"/>
    <mergeCell ref="AG75:AH75"/>
    <mergeCell ref="AG76:AH76"/>
    <mergeCell ref="AG77:AH77"/>
    <mergeCell ref="AG78:AH78"/>
    <mergeCell ref="AG79:AH79"/>
    <mergeCell ref="AG80:AH80"/>
    <mergeCell ref="AG81:AH81"/>
    <mergeCell ref="AG82:AH82"/>
    <mergeCell ref="AG83:AH83"/>
    <mergeCell ref="AI8:AJ8"/>
    <mergeCell ref="AI9:AJ9"/>
    <mergeCell ref="AI10:AJ10"/>
    <mergeCell ref="AI11:AJ11"/>
    <mergeCell ref="AI12:AJ12"/>
    <mergeCell ref="AI13:AJ13"/>
    <mergeCell ref="AI14:AJ14"/>
    <mergeCell ref="AI15:AJ15"/>
    <mergeCell ref="AI16:AJ16"/>
    <mergeCell ref="AI17:AJ17"/>
    <mergeCell ref="AI18:AJ18"/>
    <mergeCell ref="AI19:AJ19"/>
    <mergeCell ref="AI20:AJ20"/>
    <mergeCell ref="AI21:AJ21"/>
    <mergeCell ref="AI22:AJ22"/>
    <mergeCell ref="AI23:AJ23"/>
    <mergeCell ref="AI24:AJ24"/>
    <mergeCell ref="AI25:AJ25"/>
    <mergeCell ref="AI26:AJ26"/>
    <mergeCell ref="AI27:AJ27"/>
    <mergeCell ref="AI28:AJ28"/>
    <mergeCell ref="AI29:AJ29"/>
    <mergeCell ref="AI30:AJ30"/>
    <mergeCell ref="AG58:AH58"/>
    <mergeCell ref="AG59:AH59"/>
    <mergeCell ref="AG60:AH60"/>
    <mergeCell ref="AG61:AH61"/>
    <mergeCell ref="AG62:AH62"/>
    <mergeCell ref="AG63:AH63"/>
    <mergeCell ref="AG64:AH64"/>
    <mergeCell ref="AG65:AH65"/>
    <mergeCell ref="AG66:AH66"/>
    <mergeCell ref="AG67:AH67"/>
    <mergeCell ref="AG68:AH68"/>
    <mergeCell ref="AG69:AH69"/>
    <mergeCell ref="AG70:AH70"/>
    <mergeCell ref="AG71:AH71"/>
    <mergeCell ref="AG72:AH72"/>
    <mergeCell ref="AG73:AH73"/>
    <mergeCell ref="AG74:AH74"/>
    <mergeCell ref="AG41:AH41"/>
    <mergeCell ref="AG42:AH42"/>
    <mergeCell ref="AG43:AH43"/>
    <mergeCell ref="AG44:AH44"/>
    <mergeCell ref="AG45:AH45"/>
    <mergeCell ref="AG46:AH46"/>
    <mergeCell ref="AG47:AH47"/>
    <mergeCell ref="AG48:AH48"/>
    <mergeCell ref="AG49:AH49"/>
    <mergeCell ref="AG50:AH50"/>
    <mergeCell ref="AG51:AH51"/>
    <mergeCell ref="AG52:AH52"/>
    <mergeCell ref="AG53:AH53"/>
    <mergeCell ref="AG54:AH54"/>
    <mergeCell ref="AG55:AH55"/>
    <mergeCell ref="AG56:AH56"/>
    <mergeCell ref="AG57:AH57"/>
    <mergeCell ref="AG24:AH24"/>
    <mergeCell ref="AG25:AH25"/>
    <mergeCell ref="AG26:AH26"/>
    <mergeCell ref="AG27:AH27"/>
    <mergeCell ref="AG28:AH28"/>
    <mergeCell ref="AG29:AH29"/>
    <mergeCell ref="AG30:AH30"/>
    <mergeCell ref="AG31:AH31"/>
    <mergeCell ref="AG32:AH32"/>
    <mergeCell ref="AG33:AH33"/>
    <mergeCell ref="AG34:AH34"/>
    <mergeCell ref="AG35:AH35"/>
    <mergeCell ref="AG36:AH36"/>
    <mergeCell ref="AG37:AH37"/>
    <mergeCell ref="AG38:AH38"/>
    <mergeCell ref="AG39:AH39"/>
    <mergeCell ref="AG40:AH40"/>
    <mergeCell ref="AG15:AH15"/>
    <mergeCell ref="AG16:AH16"/>
    <mergeCell ref="AG17:AH17"/>
    <mergeCell ref="AG18:AH18"/>
    <mergeCell ref="AG19:AH19"/>
    <mergeCell ref="AG20:AH20"/>
    <mergeCell ref="AG21:AH21"/>
    <mergeCell ref="AG22:AH22"/>
    <mergeCell ref="AG23:AH23"/>
    <mergeCell ref="G7:AF7"/>
    <mergeCell ref="AC23:AD23"/>
    <mergeCell ref="AE23:AF23"/>
    <mergeCell ref="I23:J23"/>
    <mergeCell ref="I8:J8"/>
    <mergeCell ref="I9:J9"/>
    <mergeCell ref="Y11:Z11"/>
    <mergeCell ref="AA11:AB11"/>
    <mergeCell ref="AC11:AD11"/>
    <mergeCell ref="AE11:AF11"/>
    <mergeCell ref="Y12:Z12"/>
    <mergeCell ref="AA12:AB12"/>
    <mergeCell ref="AC12:AD12"/>
    <mergeCell ref="W19:X19"/>
    <mergeCell ref="Y19:Z19"/>
    <mergeCell ref="Y13:Z13"/>
    <mergeCell ref="Y16:Z16"/>
    <mergeCell ref="AA16:AB16"/>
    <mergeCell ref="AC16:AD16"/>
    <mergeCell ref="AA19:AB19"/>
    <mergeCell ref="AC19:AD19"/>
    <mergeCell ref="AE19:AF19"/>
    <mergeCell ref="I19:J19"/>
    <mergeCell ref="W72:X72"/>
    <mergeCell ref="Y72:Z72"/>
    <mergeCell ref="AA72:AB72"/>
    <mergeCell ref="AC72:AD72"/>
    <mergeCell ref="AE72:AF72"/>
    <mergeCell ref="A71:F71"/>
    <mergeCell ref="G71:H71"/>
    <mergeCell ref="I71:J71"/>
    <mergeCell ref="K71:L71"/>
    <mergeCell ref="M71:N71"/>
    <mergeCell ref="A72:F72"/>
    <mergeCell ref="G72:H72"/>
    <mergeCell ref="I72:J72"/>
    <mergeCell ref="K72:L72"/>
    <mergeCell ref="M72:N72"/>
    <mergeCell ref="O72:P72"/>
    <mergeCell ref="Q72:R72"/>
    <mergeCell ref="S72:T72"/>
    <mergeCell ref="U72:V72"/>
    <mergeCell ref="O71:P71"/>
    <mergeCell ref="Q71:R71"/>
    <mergeCell ref="S71:T71"/>
    <mergeCell ref="U71:V71"/>
    <mergeCell ref="W71:X71"/>
    <mergeCell ref="A69:F69"/>
    <mergeCell ref="G69:H69"/>
    <mergeCell ref="I69:J69"/>
    <mergeCell ref="K69:L69"/>
    <mergeCell ref="M69:N69"/>
    <mergeCell ref="O69:P69"/>
    <mergeCell ref="Q69:R69"/>
    <mergeCell ref="S69:T69"/>
    <mergeCell ref="U69:V69"/>
    <mergeCell ref="Y71:Z71"/>
    <mergeCell ref="AA71:AB71"/>
    <mergeCell ref="AC71:AD71"/>
    <mergeCell ref="AE71:AF71"/>
    <mergeCell ref="A70:F70"/>
    <mergeCell ref="G70:H70"/>
    <mergeCell ref="I70:J70"/>
    <mergeCell ref="K70:L70"/>
    <mergeCell ref="M70:N70"/>
    <mergeCell ref="O70:P70"/>
    <mergeCell ref="Q70:R70"/>
    <mergeCell ref="S70:T70"/>
    <mergeCell ref="U70:V70"/>
    <mergeCell ref="W69:X69"/>
    <mergeCell ref="Y69:Z69"/>
    <mergeCell ref="AA69:AB69"/>
    <mergeCell ref="AC69:AD69"/>
    <mergeCell ref="AE69:AF69"/>
    <mergeCell ref="W70:X70"/>
    <mergeCell ref="Y70:Z70"/>
    <mergeCell ref="AA70:AB70"/>
    <mergeCell ref="AC70:AD70"/>
    <mergeCell ref="AE70:AF70"/>
    <mergeCell ref="W68:X68"/>
    <mergeCell ref="Y68:Z68"/>
    <mergeCell ref="AA68:AB68"/>
    <mergeCell ref="AC68:AD68"/>
    <mergeCell ref="AE68:AF68"/>
    <mergeCell ref="A67:F67"/>
    <mergeCell ref="G67:H67"/>
    <mergeCell ref="I67:J67"/>
    <mergeCell ref="K67:L67"/>
    <mergeCell ref="M67:N67"/>
    <mergeCell ref="A68:F68"/>
    <mergeCell ref="G68:H68"/>
    <mergeCell ref="I68:J68"/>
    <mergeCell ref="K68:L68"/>
    <mergeCell ref="M68:N68"/>
    <mergeCell ref="O68:P68"/>
    <mergeCell ref="Q68:R68"/>
    <mergeCell ref="S68:T68"/>
    <mergeCell ref="U68:V68"/>
    <mergeCell ref="O67:P67"/>
    <mergeCell ref="Q67:R67"/>
    <mergeCell ref="S67:T67"/>
    <mergeCell ref="U67:V67"/>
    <mergeCell ref="W67:X67"/>
    <mergeCell ref="A65:F65"/>
    <mergeCell ref="G65:H65"/>
    <mergeCell ref="I65:J65"/>
    <mergeCell ref="K65:L65"/>
    <mergeCell ref="M65:N65"/>
    <mergeCell ref="O65:P65"/>
    <mergeCell ref="Q65:R65"/>
    <mergeCell ref="S65:T65"/>
    <mergeCell ref="U65:V65"/>
    <mergeCell ref="Y67:Z67"/>
    <mergeCell ref="AA67:AB67"/>
    <mergeCell ref="AC67:AD67"/>
    <mergeCell ref="AE67:AF67"/>
    <mergeCell ref="A66:F66"/>
    <mergeCell ref="G66:H66"/>
    <mergeCell ref="I66:J66"/>
    <mergeCell ref="K66:L66"/>
    <mergeCell ref="M66:N66"/>
    <mergeCell ref="O66:P66"/>
    <mergeCell ref="Q66:R66"/>
    <mergeCell ref="S66:T66"/>
    <mergeCell ref="U66:V66"/>
    <mergeCell ref="W65:X65"/>
    <mergeCell ref="Y65:Z65"/>
    <mergeCell ref="AA65:AB65"/>
    <mergeCell ref="AC65:AD65"/>
    <mergeCell ref="AE65:AF65"/>
    <mergeCell ref="W66:X66"/>
    <mergeCell ref="Y66:Z66"/>
    <mergeCell ref="AA66:AB66"/>
    <mergeCell ref="AC66:AD66"/>
    <mergeCell ref="AE66:AF66"/>
    <mergeCell ref="W64:X64"/>
    <mergeCell ref="Y64:Z64"/>
    <mergeCell ref="AA64:AB64"/>
    <mergeCell ref="AC64:AD64"/>
    <mergeCell ref="AE64:AF64"/>
    <mergeCell ref="A63:F63"/>
    <mergeCell ref="G63:H63"/>
    <mergeCell ref="I63:J63"/>
    <mergeCell ref="K63:L63"/>
    <mergeCell ref="M63:N63"/>
    <mergeCell ref="A64:F64"/>
    <mergeCell ref="G64:H64"/>
    <mergeCell ref="I64:J64"/>
    <mergeCell ref="K64:L64"/>
    <mergeCell ref="M64:N64"/>
    <mergeCell ref="O64:P64"/>
    <mergeCell ref="Q64:R64"/>
    <mergeCell ref="S64:T64"/>
    <mergeCell ref="U64:V64"/>
    <mergeCell ref="O63:P63"/>
    <mergeCell ref="Q63:R63"/>
    <mergeCell ref="S63:T63"/>
    <mergeCell ref="U63:V63"/>
    <mergeCell ref="W63:X63"/>
    <mergeCell ref="A61:F61"/>
    <mergeCell ref="G61:H61"/>
    <mergeCell ref="I61:J61"/>
    <mergeCell ref="K61:L61"/>
    <mergeCell ref="M61:N61"/>
    <mergeCell ref="O61:P61"/>
    <mergeCell ref="Q61:R61"/>
    <mergeCell ref="S61:T61"/>
    <mergeCell ref="U61:V61"/>
    <mergeCell ref="Y63:Z63"/>
    <mergeCell ref="AA63:AB63"/>
    <mergeCell ref="AC63:AD63"/>
    <mergeCell ref="AE63:AF63"/>
    <mergeCell ref="A62:F62"/>
    <mergeCell ref="G62:H62"/>
    <mergeCell ref="I62:J62"/>
    <mergeCell ref="K62:L62"/>
    <mergeCell ref="M62:N62"/>
    <mergeCell ref="O62:P62"/>
    <mergeCell ref="Q62:R62"/>
    <mergeCell ref="S62:T62"/>
    <mergeCell ref="U62:V62"/>
    <mergeCell ref="W61:X61"/>
    <mergeCell ref="Y61:Z61"/>
    <mergeCell ref="AA61:AB61"/>
    <mergeCell ref="AC61:AD61"/>
    <mergeCell ref="AE61:AF61"/>
    <mergeCell ref="W62:X62"/>
    <mergeCell ref="Y62:Z62"/>
    <mergeCell ref="AA62:AB62"/>
    <mergeCell ref="AC62:AD62"/>
    <mergeCell ref="AE62:AF62"/>
    <mergeCell ref="W60:X60"/>
    <mergeCell ref="Y60:Z60"/>
    <mergeCell ref="AA60:AB60"/>
    <mergeCell ref="AC60:AD60"/>
    <mergeCell ref="AE60:AF60"/>
    <mergeCell ref="A59:F59"/>
    <mergeCell ref="G59:H59"/>
    <mergeCell ref="I59:J59"/>
    <mergeCell ref="K59:L59"/>
    <mergeCell ref="M59:N59"/>
    <mergeCell ref="A60:F60"/>
    <mergeCell ref="G60:H60"/>
    <mergeCell ref="I60:J60"/>
    <mergeCell ref="K60:L60"/>
    <mergeCell ref="M60:N60"/>
    <mergeCell ref="O60:P60"/>
    <mergeCell ref="Q60:R60"/>
    <mergeCell ref="S60:T60"/>
    <mergeCell ref="U60:V60"/>
    <mergeCell ref="O59:P59"/>
    <mergeCell ref="Q59:R59"/>
    <mergeCell ref="S59:T59"/>
    <mergeCell ref="U59:V59"/>
    <mergeCell ref="W59:X59"/>
    <mergeCell ref="A57:F57"/>
    <mergeCell ref="G57:H57"/>
    <mergeCell ref="I57:J57"/>
    <mergeCell ref="K57:L57"/>
    <mergeCell ref="M57:N57"/>
    <mergeCell ref="O57:P57"/>
    <mergeCell ref="Q57:R57"/>
    <mergeCell ref="S57:T57"/>
    <mergeCell ref="U57:V57"/>
    <mergeCell ref="Y59:Z59"/>
    <mergeCell ref="AA59:AB59"/>
    <mergeCell ref="AC59:AD59"/>
    <mergeCell ref="AE59:AF59"/>
    <mergeCell ref="A58:F58"/>
    <mergeCell ref="G58:H58"/>
    <mergeCell ref="I58:J58"/>
    <mergeCell ref="K58:L58"/>
    <mergeCell ref="M58:N58"/>
    <mergeCell ref="O58:P58"/>
    <mergeCell ref="Q58:R58"/>
    <mergeCell ref="S58:T58"/>
    <mergeCell ref="U58:V58"/>
    <mergeCell ref="W57:X57"/>
    <mergeCell ref="Y57:Z57"/>
    <mergeCell ref="AA57:AB57"/>
    <mergeCell ref="AC57:AD57"/>
    <mergeCell ref="AE57:AF57"/>
    <mergeCell ref="W58:X58"/>
    <mergeCell ref="Y58:Z58"/>
    <mergeCell ref="AA58:AB58"/>
    <mergeCell ref="AC58:AD58"/>
    <mergeCell ref="AE58:AF58"/>
    <mergeCell ref="W56:X56"/>
    <mergeCell ref="Y56:Z56"/>
    <mergeCell ref="AA56:AB56"/>
    <mergeCell ref="AC56:AD56"/>
    <mergeCell ref="AE56:AF56"/>
    <mergeCell ref="A55:F55"/>
    <mergeCell ref="G55:H55"/>
    <mergeCell ref="I55:J55"/>
    <mergeCell ref="K55:L55"/>
    <mergeCell ref="M55:N55"/>
    <mergeCell ref="A56:F56"/>
    <mergeCell ref="G56:H56"/>
    <mergeCell ref="I56:J56"/>
    <mergeCell ref="K56:L56"/>
    <mergeCell ref="M56:N56"/>
    <mergeCell ref="O56:P56"/>
    <mergeCell ref="Q56:R56"/>
    <mergeCell ref="S56:T56"/>
    <mergeCell ref="U56:V56"/>
    <mergeCell ref="O55:P55"/>
    <mergeCell ref="Q55:R55"/>
    <mergeCell ref="S55:T55"/>
    <mergeCell ref="U55:V55"/>
    <mergeCell ref="W55:X55"/>
    <mergeCell ref="A53:F53"/>
    <mergeCell ref="G53:H53"/>
    <mergeCell ref="I53:J53"/>
    <mergeCell ref="K53:L53"/>
    <mergeCell ref="M53:N53"/>
    <mergeCell ref="O53:P53"/>
    <mergeCell ref="Q53:R53"/>
    <mergeCell ref="S53:T53"/>
    <mergeCell ref="U53:V53"/>
    <mergeCell ref="Y55:Z55"/>
    <mergeCell ref="AA55:AB55"/>
    <mergeCell ref="AC55:AD55"/>
    <mergeCell ref="AE55:AF55"/>
    <mergeCell ref="A54:F54"/>
    <mergeCell ref="G54:H54"/>
    <mergeCell ref="I54:J54"/>
    <mergeCell ref="K54:L54"/>
    <mergeCell ref="M54:N54"/>
    <mergeCell ref="O54:P54"/>
    <mergeCell ref="Q54:R54"/>
    <mergeCell ref="S54:T54"/>
    <mergeCell ref="U54:V54"/>
    <mergeCell ref="W53:X53"/>
    <mergeCell ref="Y53:Z53"/>
    <mergeCell ref="AA53:AB53"/>
    <mergeCell ref="AC53:AD53"/>
    <mergeCell ref="AE53:AF53"/>
    <mergeCell ref="W54:X54"/>
    <mergeCell ref="Y54:Z54"/>
    <mergeCell ref="AA54:AB54"/>
    <mergeCell ref="AC54:AD54"/>
    <mergeCell ref="AE54:AF54"/>
    <mergeCell ref="W52:X52"/>
    <mergeCell ref="Y52:Z52"/>
    <mergeCell ref="AA52:AB52"/>
    <mergeCell ref="AC52:AD52"/>
    <mergeCell ref="AE52:AF52"/>
    <mergeCell ref="A51:F51"/>
    <mergeCell ref="G51:H51"/>
    <mergeCell ref="I51:J51"/>
    <mergeCell ref="K51:L51"/>
    <mergeCell ref="M51:N51"/>
    <mergeCell ref="A52:F52"/>
    <mergeCell ref="G52:H52"/>
    <mergeCell ref="I52:J52"/>
    <mergeCell ref="K52:L52"/>
    <mergeCell ref="M52:N52"/>
    <mergeCell ref="O52:P52"/>
    <mergeCell ref="Q52:R52"/>
    <mergeCell ref="S52:T52"/>
    <mergeCell ref="U52:V52"/>
    <mergeCell ref="O51:P51"/>
    <mergeCell ref="Q51:R51"/>
    <mergeCell ref="S51:T51"/>
    <mergeCell ref="U51:V51"/>
    <mergeCell ref="W51:X51"/>
    <mergeCell ref="A49:F49"/>
    <mergeCell ref="G49:H49"/>
    <mergeCell ref="I49:J49"/>
    <mergeCell ref="K49:L49"/>
    <mergeCell ref="M49:N49"/>
    <mergeCell ref="O49:P49"/>
    <mergeCell ref="Q49:R49"/>
    <mergeCell ref="S49:T49"/>
    <mergeCell ref="U49:V49"/>
    <mergeCell ref="Y51:Z51"/>
    <mergeCell ref="AA51:AB51"/>
    <mergeCell ref="AC51:AD51"/>
    <mergeCell ref="AE51:AF51"/>
    <mergeCell ref="A50:F50"/>
    <mergeCell ref="G50:H50"/>
    <mergeCell ref="I50:J50"/>
    <mergeCell ref="K50:L50"/>
    <mergeCell ref="M50:N50"/>
    <mergeCell ref="O50:P50"/>
    <mergeCell ref="Q50:R50"/>
    <mergeCell ref="S50:T50"/>
    <mergeCell ref="U50:V50"/>
    <mergeCell ref="W49:X49"/>
    <mergeCell ref="Y49:Z49"/>
    <mergeCell ref="AA49:AB49"/>
    <mergeCell ref="AC49:AD49"/>
    <mergeCell ref="AE49:AF49"/>
    <mergeCell ref="W50:X50"/>
    <mergeCell ref="Y50:Z50"/>
    <mergeCell ref="AA50:AB50"/>
    <mergeCell ref="AC50:AD50"/>
    <mergeCell ref="AE50:AF50"/>
    <mergeCell ref="W48:X48"/>
    <mergeCell ref="Y48:Z48"/>
    <mergeCell ref="AA48:AB48"/>
    <mergeCell ref="AC48:AD48"/>
    <mergeCell ref="AE48:AF48"/>
    <mergeCell ref="A47:F47"/>
    <mergeCell ref="G47:H47"/>
    <mergeCell ref="I47:J47"/>
    <mergeCell ref="K47:L47"/>
    <mergeCell ref="M47:N47"/>
    <mergeCell ref="A48:F48"/>
    <mergeCell ref="G48:H48"/>
    <mergeCell ref="I48:J48"/>
    <mergeCell ref="K48:L48"/>
    <mergeCell ref="M48:N48"/>
    <mergeCell ref="O48:P48"/>
    <mergeCell ref="Q48:R48"/>
    <mergeCell ref="S48:T48"/>
    <mergeCell ref="U48:V48"/>
    <mergeCell ref="O47:P47"/>
    <mergeCell ref="Q47:R47"/>
    <mergeCell ref="S47:T47"/>
    <mergeCell ref="U47:V47"/>
    <mergeCell ref="W47:X47"/>
    <mergeCell ref="A45:F45"/>
    <mergeCell ref="G45:H45"/>
    <mergeCell ref="I45:J45"/>
    <mergeCell ref="K45:L45"/>
    <mergeCell ref="M45:N45"/>
    <mergeCell ref="O45:P45"/>
    <mergeCell ref="Q45:R45"/>
    <mergeCell ref="S45:T45"/>
    <mergeCell ref="U45:V45"/>
    <mergeCell ref="Y47:Z47"/>
    <mergeCell ref="AA47:AB47"/>
    <mergeCell ref="AC47:AD47"/>
    <mergeCell ref="AE47:AF47"/>
    <mergeCell ref="A46:F46"/>
    <mergeCell ref="G46:H46"/>
    <mergeCell ref="I46:J46"/>
    <mergeCell ref="K46:L46"/>
    <mergeCell ref="M46:N46"/>
    <mergeCell ref="O46:P46"/>
    <mergeCell ref="Q46:R46"/>
    <mergeCell ref="S46:T46"/>
    <mergeCell ref="U46:V46"/>
    <mergeCell ref="W45:X45"/>
    <mergeCell ref="Y45:Z45"/>
    <mergeCell ref="AA45:AB45"/>
    <mergeCell ref="AC45:AD45"/>
    <mergeCell ref="AE45:AF45"/>
    <mergeCell ref="W46:X46"/>
    <mergeCell ref="Y46:Z46"/>
    <mergeCell ref="AA46:AB46"/>
    <mergeCell ref="AC46:AD46"/>
    <mergeCell ref="AE46:AF46"/>
    <mergeCell ref="W44:X44"/>
    <mergeCell ref="Y44:Z44"/>
    <mergeCell ref="AA44:AB44"/>
    <mergeCell ref="AC44:AD44"/>
    <mergeCell ref="AE44:AF44"/>
    <mergeCell ref="A43:F43"/>
    <mergeCell ref="G43:H43"/>
    <mergeCell ref="I43:J43"/>
    <mergeCell ref="K43:L43"/>
    <mergeCell ref="M43:N43"/>
    <mergeCell ref="A44:F44"/>
    <mergeCell ref="G44:H44"/>
    <mergeCell ref="I44:J44"/>
    <mergeCell ref="K44:L44"/>
    <mergeCell ref="M44:N44"/>
    <mergeCell ref="O44:P44"/>
    <mergeCell ref="Q44:R44"/>
    <mergeCell ref="S44:T44"/>
    <mergeCell ref="U44:V44"/>
    <mergeCell ref="O43:P43"/>
    <mergeCell ref="Q43:R43"/>
    <mergeCell ref="S43:T43"/>
    <mergeCell ref="U43:V43"/>
    <mergeCell ref="W43:X43"/>
    <mergeCell ref="A41:F41"/>
    <mergeCell ref="G41:H41"/>
    <mergeCell ref="I41:J41"/>
    <mergeCell ref="K41:L41"/>
    <mergeCell ref="M41:N41"/>
    <mergeCell ref="O41:P41"/>
    <mergeCell ref="Q41:R41"/>
    <mergeCell ref="S41:T41"/>
    <mergeCell ref="U41:V41"/>
    <mergeCell ref="Y43:Z43"/>
    <mergeCell ref="AA43:AB43"/>
    <mergeCell ref="AC43:AD43"/>
    <mergeCell ref="AE43:AF43"/>
    <mergeCell ref="A42:F42"/>
    <mergeCell ref="G42:H42"/>
    <mergeCell ref="I42:J42"/>
    <mergeCell ref="K42:L42"/>
    <mergeCell ref="M42:N42"/>
    <mergeCell ref="O42:P42"/>
    <mergeCell ref="Q42:R42"/>
    <mergeCell ref="S42:T42"/>
    <mergeCell ref="U42:V42"/>
    <mergeCell ref="W41:X41"/>
    <mergeCell ref="Y41:Z41"/>
    <mergeCell ref="AA41:AB41"/>
    <mergeCell ref="AC41:AD41"/>
    <mergeCell ref="AE41:AF41"/>
    <mergeCell ref="W42:X42"/>
    <mergeCell ref="Y42:Z42"/>
    <mergeCell ref="AA42:AB42"/>
    <mergeCell ref="AC42:AD42"/>
    <mergeCell ref="AE42:AF42"/>
    <mergeCell ref="W40:X40"/>
    <mergeCell ref="Y40:Z40"/>
    <mergeCell ref="AA40:AB40"/>
    <mergeCell ref="AC40:AD40"/>
    <mergeCell ref="AE40:AF40"/>
    <mergeCell ref="A39:F39"/>
    <mergeCell ref="G39:H39"/>
    <mergeCell ref="I39:J39"/>
    <mergeCell ref="K39:L39"/>
    <mergeCell ref="M39:N39"/>
    <mergeCell ref="A40:F40"/>
    <mergeCell ref="G40:H40"/>
    <mergeCell ref="I40:J40"/>
    <mergeCell ref="K40:L40"/>
    <mergeCell ref="M40:N40"/>
    <mergeCell ref="O40:P40"/>
    <mergeCell ref="Q40:R40"/>
    <mergeCell ref="S40:T40"/>
    <mergeCell ref="U40:V40"/>
    <mergeCell ref="O39:P39"/>
    <mergeCell ref="Q39:R39"/>
    <mergeCell ref="S39:T39"/>
    <mergeCell ref="U39:V39"/>
    <mergeCell ref="W39:X39"/>
    <mergeCell ref="A37:F37"/>
    <mergeCell ref="G37:H37"/>
    <mergeCell ref="I37:J37"/>
    <mergeCell ref="K37:L37"/>
    <mergeCell ref="M37:N37"/>
    <mergeCell ref="O37:P37"/>
    <mergeCell ref="Q37:R37"/>
    <mergeCell ref="S37:T37"/>
    <mergeCell ref="U37:V37"/>
    <mergeCell ref="Y39:Z39"/>
    <mergeCell ref="AA39:AB39"/>
    <mergeCell ref="AC39:AD39"/>
    <mergeCell ref="AE39:AF39"/>
    <mergeCell ref="A38:F38"/>
    <mergeCell ref="G38:H38"/>
    <mergeCell ref="I38:J38"/>
    <mergeCell ref="K38:L38"/>
    <mergeCell ref="M38:N38"/>
    <mergeCell ref="O38:P38"/>
    <mergeCell ref="Q38:R38"/>
    <mergeCell ref="S38:T38"/>
    <mergeCell ref="U38:V38"/>
    <mergeCell ref="W37:X37"/>
    <mergeCell ref="Y37:Z37"/>
    <mergeCell ref="AA37:AB37"/>
    <mergeCell ref="AC37:AD37"/>
    <mergeCell ref="AE37:AF37"/>
    <mergeCell ref="W38:X38"/>
    <mergeCell ref="Y38:Z38"/>
    <mergeCell ref="AA38:AB38"/>
    <mergeCell ref="AC38:AD38"/>
    <mergeCell ref="AE38:AF38"/>
    <mergeCell ref="W36:X36"/>
    <mergeCell ref="Y36:Z36"/>
    <mergeCell ref="AA36:AB36"/>
    <mergeCell ref="AC36:AD36"/>
    <mergeCell ref="AE36:AF36"/>
    <mergeCell ref="A35:F35"/>
    <mergeCell ref="G35:H35"/>
    <mergeCell ref="I35:J35"/>
    <mergeCell ref="K35:L35"/>
    <mergeCell ref="M35:N35"/>
    <mergeCell ref="A36:F36"/>
    <mergeCell ref="G36:H36"/>
    <mergeCell ref="I36:J36"/>
    <mergeCell ref="K36:L36"/>
    <mergeCell ref="M36:N36"/>
    <mergeCell ref="O36:P36"/>
    <mergeCell ref="Q36:R36"/>
    <mergeCell ref="S36:T36"/>
    <mergeCell ref="U36:V36"/>
    <mergeCell ref="O35:P35"/>
    <mergeCell ref="Q35:R35"/>
    <mergeCell ref="S35:T35"/>
    <mergeCell ref="U35:V35"/>
    <mergeCell ref="W35:X35"/>
    <mergeCell ref="A33:F33"/>
    <mergeCell ref="G33:H33"/>
    <mergeCell ref="I33:J33"/>
    <mergeCell ref="K33:L33"/>
    <mergeCell ref="M33:N33"/>
    <mergeCell ref="O33:P33"/>
    <mergeCell ref="Q33:R33"/>
    <mergeCell ref="S33:T33"/>
    <mergeCell ref="U33:V33"/>
    <mergeCell ref="Y35:Z35"/>
    <mergeCell ref="AA35:AB35"/>
    <mergeCell ref="AC35:AD35"/>
    <mergeCell ref="AE35:AF35"/>
    <mergeCell ref="A34:F34"/>
    <mergeCell ref="G34:H34"/>
    <mergeCell ref="I34:J34"/>
    <mergeCell ref="K34:L34"/>
    <mergeCell ref="M34:N34"/>
    <mergeCell ref="O34:P34"/>
    <mergeCell ref="Q34:R34"/>
    <mergeCell ref="S34:T34"/>
    <mergeCell ref="U34:V34"/>
    <mergeCell ref="W33:X33"/>
    <mergeCell ref="Y33:Z33"/>
    <mergeCell ref="AA33:AB33"/>
    <mergeCell ref="AC33:AD33"/>
    <mergeCell ref="AE33:AF33"/>
    <mergeCell ref="W34:X34"/>
    <mergeCell ref="Y34:Z34"/>
    <mergeCell ref="AA34:AB34"/>
    <mergeCell ref="AC34:AD34"/>
    <mergeCell ref="AE34:AF34"/>
    <mergeCell ref="W32:X32"/>
    <mergeCell ref="Y32:Z32"/>
    <mergeCell ref="AA32:AB32"/>
    <mergeCell ref="AC32:AD32"/>
    <mergeCell ref="AE32:AF32"/>
    <mergeCell ref="A31:F31"/>
    <mergeCell ref="G31:H31"/>
    <mergeCell ref="I31:J31"/>
    <mergeCell ref="K31:L31"/>
    <mergeCell ref="M31:N31"/>
    <mergeCell ref="A32:F32"/>
    <mergeCell ref="G32:H32"/>
    <mergeCell ref="I32:J32"/>
    <mergeCell ref="K32:L32"/>
    <mergeCell ref="M32:N32"/>
    <mergeCell ref="O32:P32"/>
    <mergeCell ref="Q32:R32"/>
    <mergeCell ref="S32:T32"/>
    <mergeCell ref="U32:V32"/>
    <mergeCell ref="O31:P31"/>
    <mergeCell ref="Q31:R31"/>
    <mergeCell ref="S31:T31"/>
    <mergeCell ref="U31:V31"/>
    <mergeCell ref="W31:X31"/>
    <mergeCell ref="A29:F29"/>
    <mergeCell ref="G29:H29"/>
    <mergeCell ref="I29:J29"/>
    <mergeCell ref="K29:L29"/>
    <mergeCell ref="M29:N29"/>
    <mergeCell ref="O29:P29"/>
    <mergeCell ref="Q29:R29"/>
    <mergeCell ref="S29:T29"/>
    <mergeCell ref="U29:V29"/>
    <mergeCell ref="Y31:Z31"/>
    <mergeCell ref="AA31:AB31"/>
    <mergeCell ref="AC31:AD31"/>
    <mergeCell ref="AE31:AF31"/>
    <mergeCell ref="A30:F30"/>
    <mergeCell ref="G30:H30"/>
    <mergeCell ref="I30:J30"/>
    <mergeCell ref="K30:L30"/>
    <mergeCell ref="M30:N30"/>
    <mergeCell ref="O30:P30"/>
    <mergeCell ref="Q30:R30"/>
    <mergeCell ref="S30:T30"/>
    <mergeCell ref="U30:V30"/>
    <mergeCell ref="W29:X29"/>
    <mergeCell ref="Y29:Z29"/>
    <mergeCell ref="AA29:AB29"/>
    <mergeCell ref="AC29:AD29"/>
    <mergeCell ref="AE29:AF29"/>
    <mergeCell ref="W30:X30"/>
    <mergeCell ref="Y30:Z30"/>
    <mergeCell ref="AA30:AB30"/>
    <mergeCell ref="AC30:AD30"/>
    <mergeCell ref="AE30:AF30"/>
    <mergeCell ref="M8:N8"/>
    <mergeCell ref="W9:X9"/>
    <mergeCell ref="Y9:Z9"/>
    <mergeCell ref="AA9:AB9"/>
    <mergeCell ref="AC9:AD9"/>
    <mergeCell ref="AE9:AF9"/>
    <mergeCell ref="S9:T9"/>
    <mergeCell ref="AA8:AB8"/>
    <mergeCell ref="S8:T8"/>
    <mergeCell ref="U8:V8"/>
    <mergeCell ref="AE13:AF13"/>
    <mergeCell ref="AE16:AF16"/>
    <mergeCell ref="W8:X8"/>
    <mergeCell ref="Y8:Z8"/>
    <mergeCell ref="AC8:AD8"/>
    <mergeCell ref="AE8:AF8"/>
    <mergeCell ref="AC14:AD14"/>
    <mergeCell ref="AE14:AF14"/>
    <mergeCell ref="M10:N10"/>
    <mergeCell ref="O10:P10"/>
    <mergeCell ref="Q10:R10"/>
    <mergeCell ref="I16:J16"/>
    <mergeCell ref="O13:P13"/>
    <mergeCell ref="Q13:R13"/>
    <mergeCell ref="K15:L15"/>
    <mergeCell ref="K16:L16"/>
    <mergeCell ref="U13:V13"/>
    <mergeCell ref="U15:V15"/>
    <mergeCell ref="U16:V16"/>
    <mergeCell ref="S15:T15"/>
    <mergeCell ref="AC25:AD25"/>
    <mergeCell ref="W16:X16"/>
    <mergeCell ref="Y21:Z21"/>
    <mergeCell ref="AA21:AB21"/>
    <mergeCell ref="W15:X15"/>
    <mergeCell ref="Y15:Z15"/>
    <mergeCell ref="Y24:Z24"/>
    <mergeCell ref="AA24:AB24"/>
    <mergeCell ref="AC24:AD24"/>
    <mergeCell ref="I24:J24"/>
    <mergeCell ref="AC21:AD21"/>
    <mergeCell ref="I21:J21"/>
    <mergeCell ref="W22:X22"/>
    <mergeCell ref="Y22:Z22"/>
    <mergeCell ref="AA22:AB22"/>
    <mergeCell ref="AC22:AD22"/>
    <mergeCell ref="O24:P24"/>
    <mergeCell ref="I15:J15"/>
    <mergeCell ref="I14:J14"/>
    <mergeCell ref="Y23:Z23"/>
    <mergeCell ref="AA23:AB23"/>
    <mergeCell ref="Q23:R23"/>
    <mergeCell ref="U24:V24"/>
    <mergeCell ref="AE25:AF25"/>
    <mergeCell ref="K27:L27"/>
    <mergeCell ref="W27:X27"/>
    <mergeCell ref="I25:J25"/>
    <mergeCell ref="I26:J26"/>
    <mergeCell ref="I27:J27"/>
    <mergeCell ref="Q21:R21"/>
    <mergeCell ref="I20:J20"/>
    <mergeCell ref="AC20:AD20"/>
    <mergeCell ref="AE20:AF20"/>
    <mergeCell ref="O18:P18"/>
    <mergeCell ref="O19:P19"/>
    <mergeCell ref="U17:V17"/>
    <mergeCell ref="U18:V18"/>
    <mergeCell ref="U19:V19"/>
    <mergeCell ref="U20:V20"/>
    <mergeCell ref="Q20:R20"/>
    <mergeCell ref="K19:L19"/>
    <mergeCell ref="K20:L20"/>
    <mergeCell ref="I18:J18"/>
    <mergeCell ref="M17:N17"/>
    <mergeCell ref="Q24:R24"/>
    <mergeCell ref="Q25:R25"/>
    <mergeCell ref="O25:P25"/>
    <mergeCell ref="M25:N25"/>
    <mergeCell ref="K24:L24"/>
    <mergeCell ref="K25:L25"/>
    <mergeCell ref="W25:X25"/>
    <mergeCell ref="M19:N19"/>
    <mergeCell ref="M20:N20"/>
    <mergeCell ref="W24:X24"/>
    <mergeCell ref="W21:X21"/>
    <mergeCell ref="A9:F9"/>
    <mergeCell ref="A10:F10"/>
    <mergeCell ref="A23:F23"/>
    <mergeCell ref="A12:F12"/>
    <mergeCell ref="A13:F13"/>
    <mergeCell ref="A11:F11"/>
    <mergeCell ref="K11:L11"/>
    <mergeCell ref="K12:L12"/>
    <mergeCell ref="Q12:R12"/>
    <mergeCell ref="O11:P11"/>
    <mergeCell ref="O12:P12"/>
    <mergeCell ref="M11:N11"/>
    <mergeCell ref="M12:N12"/>
    <mergeCell ref="M9:N9"/>
    <mergeCell ref="O9:P9"/>
    <mergeCell ref="Q9:R9"/>
    <mergeCell ref="K9:L9"/>
    <mergeCell ref="G9:H9"/>
    <mergeCell ref="I10:J10"/>
    <mergeCell ref="I11:J11"/>
    <mergeCell ref="I12:J12"/>
    <mergeCell ref="I13:J13"/>
    <mergeCell ref="O15:P15"/>
    <mergeCell ref="O16:P16"/>
    <mergeCell ref="Q14:R14"/>
    <mergeCell ref="Q15:R15"/>
    <mergeCell ref="Q16:R16"/>
    <mergeCell ref="M14:N14"/>
    <mergeCell ref="O14:P14"/>
    <mergeCell ref="A17:F17"/>
    <mergeCell ref="G15:H15"/>
    <mergeCell ref="G16:H16"/>
    <mergeCell ref="AA28:AB28"/>
    <mergeCell ref="AC28:AD28"/>
    <mergeCell ref="AE28:AF28"/>
    <mergeCell ref="I28:J28"/>
    <mergeCell ref="W26:X26"/>
    <mergeCell ref="Y26:Z26"/>
    <mergeCell ref="AA26:AB26"/>
    <mergeCell ref="AC26:AD26"/>
    <mergeCell ref="AE26:AF26"/>
    <mergeCell ref="W28:X28"/>
    <mergeCell ref="Y28:Z28"/>
    <mergeCell ref="AE17:AF17"/>
    <mergeCell ref="W18:X18"/>
    <mergeCell ref="Y18:Z18"/>
    <mergeCell ref="AA18:AB18"/>
    <mergeCell ref="AC18:AD18"/>
    <mergeCell ref="AE18:AF18"/>
    <mergeCell ref="Y27:Z27"/>
    <mergeCell ref="AA27:AB27"/>
    <mergeCell ref="AC27:AD27"/>
    <mergeCell ref="AE27:AF27"/>
    <mergeCell ref="Y25:Z25"/>
    <mergeCell ref="AA25:AB25"/>
    <mergeCell ref="O20:P20"/>
    <mergeCell ref="O21:P21"/>
    <mergeCell ref="W20:X20"/>
    <mergeCell ref="Y20:Z20"/>
    <mergeCell ref="AA20:AB20"/>
    <mergeCell ref="K17:L17"/>
    <mergeCell ref="Y17:Z17"/>
    <mergeCell ref="AA17:AB17"/>
    <mergeCell ref="K18:L18"/>
    <mergeCell ref="W23:X23"/>
    <mergeCell ref="AA15:AB15"/>
    <mergeCell ref="AC15:AD15"/>
    <mergeCell ref="AE15:AF15"/>
    <mergeCell ref="O17:P17"/>
    <mergeCell ref="W14:X14"/>
    <mergeCell ref="Y14:Z14"/>
    <mergeCell ref="U14:V14"/>
    <mergeCell ref="U23:V23"/>
    <mergeCell ref="U21:V21"/>
    <mergeCell ref="S22:T22"/>
    <mergeCell ref="S23:T23"/>
    <mergeCell ref="AE24:AF24"/>
    <mergeCell ref="AE21:AF21"/>
    <mergeCell ref="AE22:AF22"/>
    <mergeCell ref="W17:X17"/>
    <mergeCell ref="AC17:AD17"/>
    <mergeCell ref="U28:V28"/>
    <mergeCell ref="M26:N26"/>
    <mergeCell ref="M27:N27"/>
    <mergeCell ref="M28:N28"/>
    <mergeCell ref="Q26:R26"/>
    <mergeCell ref="Q27:R27"/>
    <mergeCell ref="S14:T14"/>
    <mergeCell ref="S16:T16"/>
    <mergeCell ref="S17:T17"/>
    <mergeCell ref="S18:T18"/>
    <mergeCell ref="S19:T19"/>
    <mergeCell ref="Q17:R17"/>
    <mergeCell ref="Q18:R18"/>
    <mergeCell ref="U22:V22"/>
    <mergeCell ref="O22:P22"/>
    <mergeCell ref="U25:V25"/>
    <mergeCell ref="M23:N23"/>
    <mergeCell ref="M24:N24"/>
    <mergeCell ref="M21:N21"/>
    <mergeCell ref="U26:V26"/>
    <mergeCell ref="O26:P26"/>
    <mergeCell ref="O27:P27"/>
    <mergeCell ref="U27:V27"/>
    <mergeCell ref="Q19:R19"/>
    <mergeCell ref="M18:N18"/>
    <mergeCell ref="G17:H17"/>
    <mergeCell ref="G18:H18"/>
    <mergeCell ref="A20:F20"/>
    <mergeCell ref="A21:F21"/>
    <mergeCell ref="G26:H26"/>
    <mergeCell ref="G27:H27"/>
    <mergeCell ref="S21:T21"/>
    <mergeCell ref="A28:F28"/>
    <mergeCell ref="A27:F27"/>
    <mergeCell ref="A26:F26"/>
    <mergeCell ref="S24:T24"/>
    <mergeCell ref="S25:T25"/>
    <mergeCell ref="S26:T26"/>
    <mergeCell ref="O23:P23"/>
    <mergeCell ref="S20:T20"/>
    <mergeCell ref="K21:L21"/>
    <mergeCell ref="K22:L22"/>
    <mergeCell ref="K23:L23"/>
    <mergeCell ref="A22:F22"/>
    <mergeCell ref="Q28:R28"/>
    <mergeCell ref="M22:N22"/>
    <mergeCell ref="Q22:R22"/>
    <mergeCell ref="O28:P28"/>
    <mergeCell ref="S27:T27"/>
    <mergeCell ref="K26:L26"/>
    <mergeCell ref="I17:J17"/>
    <mergeCell ref="S28:T28"/>
    <mergeCell ref="I22:J22"/>
    <mergeCell ref="B1:J2"/>
    <mergeCell ref="U9:V9"/>
    <mergeCell ref="O8:P8"/>
    <mergeCell ref="G8:H8"/>
    <mergeCell ref="Q8:R8"/>
    <mergeCell ref="K8:L8"/>
    <mergeCell ref="U10:V10"/>
    <mergeCell ref="U11:V11"/>
    <mergeCell ref="G10:H10"/>
    <mergeCell ref="G11:H11"/>
    <mergeCell ref="G12:H12"/>
    <mergeCell ref="G13:H13"/>
    <mergeCell ref="G14:H14"/>
    <mergeCell ref="S10:T10"/>
    <mergeCell ref="S11:T11"/>
    <mergeCell ref="S12:T12"/>
    <mergeCell ref="S13:T13"/>
    <mergeCell ref="M13:N13"/>
    <mergeCell ref="K14:L14"/>
    <mergeCell ref="A14:F14"/>
    <mergeCell ref="A4:AJ4"/>
    <mergeCell ref="AG8:AH8"/>
    <mergeCell ref="AG9:AH9"/>
    <mergeCell ref="AG10:AH10"/>
    <mergeCell ref="AG11:AH11"/>
    <mergeCell ref="AG12:AH12"/>
    <mergeCell ref="AG13:AH13"/>
    <mergeCell ref="AG14:AH14"/>
    <mergeCell ref="AA14:AB14"/>
    <mergeCell ref="W11:X11"/>
    <mergeCell ref="W12:X12"/>
    <mergeCell ref="W13:X13"/>
    <mergeCell ref="Q73:R73"/>
    <mergeCell ref="S73:T73"/>
    <mergeCell ref="U73:V73"/>
    <mergeCell ref="AA13:AB13"/>
    <mergeCell ref="AC13:AD13"/>
    <mergeCell ref="U12:V12"/>
    <mergeCell ref="K13:L13"/>
    <mergeCell ref="K10:L10"/>
    <mergeCell ref="W10:X10"/>
    <mergeCell ref="Y10:Z10"/>
    <mergeCell ref="AA10:AB10"/>
    <mergeCell ref="AC10:AD10"/>
    <mergeCell ref="AE10:AF10"/>
    <mergeCell ref="Q11:R11"/>
    <mergeCell ref="AE12:AF12"/>
    <mergeCell ref="G28:H28"/>
    <mergeCell ref="A18:F18"/>
    <mergeCell ref="A19:F19"/>
    <mergeCell ref="G24:H24"/>
    <mergeCell ref="G25:H25"/>
    <mergeCell ref="G19:H19"/>
    <mergeCell ref="G20:H20"/>
    <mergeCell ref="G21:H21"/>
    <mergeCell ref="G22:H22"/>
    <mergeCell ref="G23:H23"/>
    <mergeCell ref="A24:F24"/>
    <mergeCell ref="A25:F25"/>
    <mergeCell ref="K28:L28"/>
    <mergeCell ref="M15:N15"/>
    <mergeCell ref="M16:N16"/>
    <mergeCell ref="A15:F15"/>
    <mergeCell ref="A16:F16"/>
    <mergeCell ref="AC77:AD77"/>
    <mergeCell ref="AE77:AF77"/>
    <mergeCell ref="M75:N75"/>
    <mergeCell ref="O75:P75"/>
    <mergeCell ref="Q75:R75"/>
    <mergeCell ref="S75:T75"/>
    <mergeCell ref="U75:V75"/>
    <mergeCell ref="W73:X73"/>
    <mergeCell ref="Y73:Z73"/>
    <mergeCell ref="AA73:AB73"/>
    <mergeCell ref="AC73:AD73"/>
    <mergeCell ref="AE73:AF73"/>
    <mergeCell ref="A74:F74"/>
    <mergeCell ref="G74:H74"/>
    <mergeCell ref="I74:J74"/>
    <mergeCell ref="K74:L74"/>
    <mergeCell ref="M74:N74"/>
    <mergeCell ref="O74:P74"/>
    <mergeCell ref="Q74:R74"/>
    <mergeCell ref="S74:T74"/>
    <mergeCell ref="U74:V74"/>
    <mergeCell ref="W74:X74"/>
    <mergeCell ref="Y74:Z74"/>
    <mergeCell ref="AA74:AB74"/>
    <mergeCell ref="AC74:AD74"/>
    <mergeCell ref="AE74:AF74"/>
    <mergeCell ref="A73:F73"/>
    <mergeCell ref="G73:H73"/>
    <mergeCell ref="I73:J73"/>
    <mergeCell ref="K73:L73"/>
    <mergeCell ref="M73:N73"/>
    <mergeCell ref="O73:P73"/>
    <mergeCell ref="W75:X75"/>
    <mergeCell ref="Y75:Z75"/>
    <mergeCell ref="AA75:AB75"/>
    <mergeCell ref="AC75:AD75"/>
    <mergeCell ref="AE75:AF75"/>
    <mergeCell ref="A76:F76"/>
    <mergeCell ref="G76:H76"/>
    <mergeCell ref="I76:J76"/>
    <mergeCell ref="K76:L76"/>
    <mergeCell ref="M76:N76"/>
    <mergeCell ref="O76:P76"/>
    <mergeCell ref="Q76:R76"/>
    <mergeCell ref="S76:T76"/>
    <mergeCell ref="U76:V76"/>
    <mergeCell ref="W76:X76"/>
    <mergeCell ref="Y76:Z76"/>
    <mergeCell ref="AA76:AB76"/>
    <mergeCell ref="AC76:AD76"/>
    <mergeCell ref="AE76:AF76"/>
    <mergeCell ref="A75:F75"/>
    <mergeCell ref="G75:H75"/>
    <mergeCell ref="I75:J75"/>
    <mergeCell ref="K75:L75"/>
    <mergeCell ref="A78:F78"/>
    <mergeCell ref="G78:H78"/>
    <mergeCell ref="I78:J78"/>
    <mergeCell ref="K78:L78"/>
    <mergeCell ref="M78:N78"/>
    <mergeCell ref="O78:P78"/>
    <mergeCell ref="Q78:R78"/>
    <mergeCell ref="S78:T78"/>
    <mergeCell ref="U78:V78"/>
    <mergeCell ref="W78:X78"/>
    <mergeCell ref="Y78:Z78"/>
    <mergeCell ref="AA78:AB78"/>
    <mergeCell ref="AC78:AD78"/>
    <mergeCell ref="AE78:AF78"/>
    <mergeCell ref="A77:F77"/>
    <mergeCell ref="G77:H77"/>
    <mergeCell ref="S80:T80"/>
    <mergeCell ref="U80:V80"/>
    <mergeCell ref="W80:X80"/>
    <mergeCell ref="Y80:Z80"/>
    <mergeCell ref="AA80:AB80"/>
    <mergeCell ref="K79:L79"/>
    <mergeCell ref="M79:N79"/>
    <mergeCell ref="O79:P79"/>
    <mergeCell ref="Q79:R79"/>
    <mergeCell ref="S79:T79"/>
    <mergeCell ref="U79:V79"/>
    <mergeCell ref="W77:X77"/>
    <mergeCell ref="Y77:Z77"/>
    <mergeCell ref="AA77:AB77"/>
    <mergeCell ref="S77:T77"/>
    <mergeCell ref="U77:V77"/>
    <mergeCell ref="K82:L82"/>
    <mergeCell ref="M82:N82"/>
    <mergeCell ref="O82:P82"/>
    <mergeCell ref="Q82:R82"/>
    <mergeCell ref="S82:T82"/>
    <mergeCell ref="I77:J77"/>
    <mergeCell ref="K77:L77"/>
    <mergeCell ref="M77:N77"/>
    <mergeCell ref="O77:P77"/>
    <mergeCell ref="Q77:R77"/>
    <mergeCell ref="AE82:AF82"/>
    <mergeCell ref="A81:F81"/>
    <mergeCell ref="G81:H81"/>
    <mergeCell ref="I81:J81"/>
    <mergeCell ref="K81:L81"/>
    <mergeCell ref="M81:N81"/>
    <mergeCell ref="O81:P81"/>
    <mergeCell ref="Q81:R81"/>
    <mergeCell ref="S81:T81"/>
    <mergeCell ref="U81:V81"/>
    <mergeCell ref="W79:X79"/>
    <mergeCell ref="Y79:Z79"/>
    <mergeCell ref="AA79:AB79"/>
    <mergeCell ref="AC79:AD79"/>
    <mergeCell ref="AE79:AF79"/>
    <mergeCell ref="A80:F80"/>
    <mergeCell ref="G80:H80"/>
    <mergeCell ref="I80:J80"/>
    <mergeCell ref="K80:L80"/>
    <mergeCell ref="M80:N80"/>
    <mergeCell ref="O80:P80"/>
    <mergeCell ref="Q80:R80"/>
    <mergeCell ref="U82:V82"/>
    <mergeCell ref="W82:X82"/>
    <mergeCell ref="Y82:Z82"/>
    <mergeCell ref="AA82:AB82"/>
    <mergeCell ref="AC82:AD82"/>
    <mergeCell ref="AC80:AD80"/>
    <mergeCell ref="AE80:AF80"/>
    <mergeCell ref="A79:F79"/>
    <mergeCell ref="G79:H79"/>
    <mergeCell ref="I79:J79"/>
    <mergeCell ref="W83:X83"/>
    <mergeCell ref="Y83:Z83"/>
    <mergeCell ref="AA83:AB83"/>
    <mergeCell ref="AC83:AD83"/>
    <mergeCell ref="AE83:AF83"/>
    <mergeCell ref="A83:F83"/>
    <mergeCell ref="G83:H83"/>
    <mergeCell ref="I83:J83"/>
    <mergeCell ref="K83:L83"/>
    <mergeCell ref="M83:N83"/>
    <mergeCell ref="O83:P83"/>
    <mergeCell ref="Q83:R83"/>
    <mergeCell ref="S83:T83"/>
    <mergeCell ref="U83:V83"/>
    <mergeCell ref="W81:X81"/>
    <mergeCell ref="Y81:Z81"/>
    <mergeCell ref="AA81:AB81"/>
    <mergeCell ref="AC81:AD81"/>
    <mergeCell ref="AE81:AF81"/>
    <mergeCell ref="A82:F82"/>
    <mergeCell ref="G82:H82"/>
    <mergeCell ref="I82:J82"/>
  </mergeCells>
  <conditionalFormatting sqref="A9:AJ83">
    <cfRule type="expression" dxfId="119" priority="3">
      <formula>ISBLANK($A9)</formula>
    </cfRule>
  </conditionalFormatting>
  <conditionalFormatting sqref="M9:N83">
    <cfRule type="dataBar" priority="167">
      <dataBar>
        <cfvo type="min"/>
        <cfvo type="max"/>
        <color rgb="FF638EC6"/>
      </dataBar>
      <extLst>
        <ext xmlns:x14="http://schemas.microsoft.com/office/spreadsheetml/2009/9/main" uri="{B025F937-C7B1-47D3-B67F-A62EFF666E3E}">
          <x14:id>{B9640887-919A-4398-B11D-C0D954CFC9EE}</x14:id>
        </ext>
      </extLst>
    </cfRule>
  </conditionalFormatting>
  <conditionalFormatting sqref="O9:P83">
    <cfRule type="dataBar" priority="171">
      <dataBar>
        <cfvo type="min"/>
        <cfvo type="max"/>
        <color rgb="FF638EC6"/>
      </dataBar>
      <extLst>
        <ext xmlns:x14="http://schemas.microsoft.com/office/spreadsheetml/2009/9/main" uri="{B025F937-C7B1-47D3-B67F-A62EFF666E3E}">
          <x14:id>{CAA8EB74-3E83-4559-B958-BEAA26DC99F0}</x14:id>
        </ext>
      </extLst>
    </cfRule>
  </conditionalFormatting>
  <conditionalFormatting sqref="Q9:R83">
    <cfRule type="dataBar" priority="169">
      <dataBar>
        <cfvo type="min"/>
        <cfvo type="max"/>
        <color rgb="FF638EC6"/>
      </dataBar>
      <extLst>
        <ext xmlns:x14="http://schemas.microsoft.com/office/spreadsheetml/2009/9/main" uri="{B025F937-C7B1-47D3-B67F-A62EFF666E3E}">
          <x14:id>{6316BECA-2344-4086-AAA8-8D0E9FE93275}</x14:id>
        </ext>
      </extLst>
    </cfRule>
  </conditionalFormatting>
  <conditionalFormatting sqref="S9:T83">
    <cfRule type="dataBar" priority="165">
      <dataBar>
        <cfvo type="min"/>
        <cfvo type="max"/>
        <color rgb="FF638EC6"/>
      </dataBar>
      <extLst>
        <ext xmlns:x14="http://schemas.microsoft.com/office/spreadsheetml/2009/9/main" uri="{B025F937-C7B1-47D3-B67F-A62EFF666E3E}">
          <x14:id>{0478BFB6-C635-4499-B62A-4A3C3998290F}</x14:id>
        </ext>
      </extLst>
    </cfRule>
  </conditionalFormatting>
  <dataValidations disablePrompts="1" count="14">
    <dataValidation allowBlank="1" showInputMessage="1" showErrorMessage="1" prompt="The average of the historical returns of the asset" sqref="I8:J8" xr:uid="{00000000-0002-0000-0400-000000000000}"/>
    <dataValidation allowBlank="1" showInputMessage="1" showErrorMessage="1" prompt="The volatility of the asset returns around the mean" sqref="K8:L8" xr:uid="{00000000-0002-0000-0400-000001000000}"/>
    <dataValidation allowBlank="1" showInputMessage="1" showErrorMessage="1" prompt="Return per unit of risk, where risk is defined as standard deviation" sqref="M8:N8" xr:uid="{00000000-0002-0000-0400-000002000000}"/>
    <dataValidation allowBlank="1" showInputMessage="1" showErrorMessage="1" prompt="Return per unit of risk, where risk is defined as expected tail loss" sqref="O8:P8" xr:uid="{00000000-0002-0000-0400-000003000000}"/>
    <dataValidation allowBlank="1" showInputMessage="1" showErrorMessage="1" prompt="Tail return per unit of tail risk, where tail return is defined as expected tail return (ETR) and tail loss is defined as expected tail loss (ETL)" sqref="Q8:R8" xr:uid="{00000000-0002-0000-0400-000004000000}"/>
    <dataValidation allowBlank="1" showInputMessage="1" showErrorMessage="1" prompt="The degree of asymmetry of a distribution around its mean" sqref="S8:T8" xr:uid="{00000000-0002-0000-0400-000005000000}"/>
    <dataValidation allowBlank="1" showInputMessage="1" showErrorMessage="1" prompt="The degree to which a distribution is more or less peaked than a normal distribution" sqref="U8:V8" xr:uid="{00000000-0002-0000-0400-000006000000}"/>
    <dataValidation allowBlank="1" showInputMessage="1" showErrorMessage="1" prompt="The volatility of the positive returns of the asset" sqref="W8:X8" xr:uid="{00000000-0002-0000-0400-000007000000}"/>
    <dataValidation allowBlank="1" showInputMessage="1" showErrorMessage="1" prompt="The maximum amount of loss from an asset high through the drawdown and back to the point the asset high is reached again" sqref="Y8:Z8" xr:uid="{00000000-0002-0000-0400-000008000000}"/>
    <dataValidation allowBlank="1" showInputMessage="1" showErrorMessage="1" prompt="The volatility of the negative returns of the asset" sqref="AA8:AB8" xr:uid="{00000000-0002-0000-0400-000009000000}"/>
    <dataValidation allowBlank="1" showInputMessage="1" showErrorMessage="1" prompt="The number of non-negative returns" sqref="AC8:AD8" xr:uid="{00000000-0002-0000-0400-00000A000000}"/>
    <dataValidation allowBlank="1" showInputMessage="1" showErrorMessage="1" prompt="The number of negative returns" sqref="AE8:AF8" xr:uid="{00000000-0002-0000-0400-00000B000000}"/>
    <dataValidation allowBlank="1" showInputMessage="1" showErrorMessage="1" prompt="Annualized Mean Return (%)" sqref="AG8:AH8" xr:uid="{00000000-0002-0000-0400-00000C000000}"/>
    <dataValidation allowBlank="1" showInputMessage="1" showErrorMessage="1" prompt="Annualized Standard Deviation_x000a_" sqref="AI8:AJ8" xr:uid="{00000000-0002-0000-0400-00000D000000}"/>
  </dataValidations>
  <pageMargins left="0.7" right="0.7" top="0" bottom="0" header="0" footer="0"/>
  <pageSetup scale="66"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dataBar" id="{B9640887-919A-4398-B11D-C0D954CFC9EE}">
            <x14:dataBar minLength="0" maxLength="100" gradient="0">
              <x14:cfvo type="autoMin"/>
              <x14:cfvo type="autoMax"/>
              <x14:negativeFillColor rgb="FFFF0000"/>
              <x14:axisColor rgb="FF000000"/>
            </x14:dataBar>
          </x14:cfRule>
          <xm:sqref>M9:N83</xm:sqref>
        </x14:conditionalFormatting>
        <x14:conditionalFormatting xmlns:xm="http://schemas.microsoft.com/office/excel/2006/main">
          <x14:cfRule type="dataBar" id="{CAA8EB74-3E83-4559-B958-BEAA26DC99F0}">
            <x14:dataBar minLength="0" maxLength="100" gradient="0">
              <x14:cfvo type="autoMin"/>
              <x14:cfvo type="autoMax"/>
              <x14:negativeFillColor rgb="FFFF0000"/>
              <x14:axisColor rgb="FF000000"/>
            </x14:dataBar>
          </x14:cfRule>
          <xm:sqref>O9:P83</xm:sqref>
        </x14:conditionalFormatting>
        <x14:conditionalFormatting xmlns:xm="http://schemas.microsoft.com/office/excel/2006/main">
          <x14:cfRule type="dataBar" id="{6316BECA-2344-4086-AAA8-8D0E9FE93275}">
            <x14:dataBar minLength="0" maxLength="100" gradient="0">
              <x14:cfvo type="autoMin"/>
              <x14:cfvo type="autoMax"/>
              <x14:negativeFillColor rgb="FFFF0000"/>
              <x14:axisColor rgb="FF000000"/>
            </x14:dataBar>
          </x14:cfRule>
          <xm:sqref>Q9:R83</xm:sqref>
        </x14:conditionalFormatting>
        <x14:conditionalFormatting xmlns:xm="http://schemas.microsoft.com/office/excel/2006/main">
          <x14:cfRule type="dataBar" id="{0478BFB6-C635-4499-B62A-4A3C3998290F}">
            <x14:dataBar minLength="0" maxLength="100" gradient="0">
              <x14:cfvo type="autoMin"/>
              <x14:cfvo type="autoMax"/>
              <x14:negativeFillColor theme="5" tint="0.39997558519241921"/>
              <x14:axisColor rgb="FF000000"/>
            </x14:dataBar>
          </x14:cfRule>
          <xm:sqref>S9:T83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I86"/>
  <sheetViews>
    <sheetView showGridLines="0" zoomScaleNormal="100" workbookViewId="0">
      <selection activeCell="A9" sqref="A9:F9"/>
    </sheetView>
  </sheetViews>
  <sheetFormatPr defaultRowHeight="15" x14ac:dyDescent="0.25"/>
  <cols>
    <col min="1" max="35" width="5" style="41" customWidth="1"/>
    <col min="36" max="16384" width="9.140625" style="41"/>
  </cols>
  <sheetData>
    <row r="1" spans="1:35" x14ac:dyDescent="0.25">
      <c r="B1" s="386"/>
      <c r="C1" s="386"/>
      <c r="D1" s="386"/>
      <c r="E1" s="386"/>
      <c r="F1" s="386"/>
      <c r="G1" s="386"/>
      <c r="H1" s="386"/>
      <c r="I1" s="386"/>
      <c r="J1" s="386"/>
    </row>
    <row r="2" spans="1:35" x14ac:dyDescent="0.25">
      <c r="B2" s="386"/>
      <c r="C2" s="386"/>
      <c r="D2" s="386"/>
      <c r="E2" s="386"/>
      <c r="F2" s="386"/>
      <c r="G2" s="386"/>
      <c r="H2" s="386"/>
      <c r="I2" s="386"/>
      <c r="J2" s="386"/>
    </row>
    <row r="3" spans="1:35" ht="6" customHeight="1" x14ac:dyDescent="0.25">
      <c r="B3" s="98"/>
      <c r="C3" s="98"/>
      <c r="D3" s="98"/>
      <c r="E3" s="98"/>
      <c r="F3" s="98"/>
      <c r="G3" s="98"/>
      <c r="H3" s="98"/>
      <c r="I3" s="98"/>
      <c r="J3" s="98"/>
    </row>
    <row r="4" spans="1:35" ht="11.25" customHeight="1" x14ac:dyDescent="0.25">
      <c r="A4" s="395" t="s">
        <v>168</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10.5" customHeight="1" x14ac:dyDescent="0.25">
      <c r="A5" s="379" t="s">
        <v>235</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row>
    <row r="6" spans="1:35" ht="5.25" customHeight="1" x14ac:dyDescent="0.25">
      <c r="A6" s="117"/>
      <c r="B6" s="117"/>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5" ht="11.25" customHeight="1" x14ac:dyDescent="0.25">
      <c r="A7" s="99"/>
      <c r="B7" s="99"/>
      <c r="C7" s="99"/>
      <c r="D7" s="99"/>
      <c r="E7" s="99"/>
      <c r="F7" s="99"/>
      <c r="G7" s="452" t="s">
        <v>61</v>
      </c>
      <c r="H7" s="452"/>
      <c r="I7" s="452"/>
      <c r="J7" s="452"/>
      <c r="K7" s="452"/>
      <c r="L7" s="452"/>
      <c r="M7" s="452"/>
      <c r="N7" s="452"/>
      <c r="O7" s="452"/>
      <c r="P7" s="452"/>
      <c r="Q7" s="452"/>
      <c r="R7" s="452"/>
      <c r="S7" s="452"/>
      <c r="T7" s="452"/>
      <c r="U7" s="452"/>
      <c r="V7" s="452"/>
      <c r="W7" s="452"/>
      <c r="X7" s="452"/>
      <c r="Y7" s="452"/>
      <c r="Z7" s="452"/>
      <c r="AA7" s="452"/>
      <c r="AB7" s="452"/>
      <c r="AC7" s="452"/>
      <c r="AD7" s="452"/>
      <c r="AE7" s="452"/>
      <c r="AF7" s="452"/>
      <c r="AG7" s="452"/>
      <c r="AH7" s="452"/>
      <c r="AI7" s="452"/>
    </row>
    <row r="8" spans="1:35" ht="22.5" customHeight="1" x14ac:dyDescent="0.25">
      <c r="A8" s="53"/>
      <c r="B8" s="53"/>
      <c r="C8" s="53"/>
      <c r="D8" s="53"/>
      <c r="E8" s="53"/>
      <c r="F8" s="53"/>
      <c r="G8" s="368" t="s">
        <v>3</v>
      </c>
      <c r="H8" s="369"/>
      <c r="I8" s="368" t="s">
        <v>56</v>
      </c>
      <c r="J8" s="369"/>
      <c r="K8" s="367" t="s">
        <v>57</v>
      </c>
      <c r="L8" s="369"/>
      <c r="M8" s="367" t="s">
        <v>58</v>
      </c>
      <c r="N8" s="369"/>
      <c r="O8" s="450" t="s">
        <v>131</v>
      </c>
      <c r="P8" s="451"/>
      <c r="Q8" s="453" t="s">
        <v>179</v>
      </c>
      <c r="R8" s="460"/>
      <c r="S8" s="461" t="s">
        <v>174</v>
      </c>
      <c r="T8" s="462"/>
      <c r="U8" s="453" t="s">
        <v>132</v>
      </c>
      <c r="V8" s="460"/>
      <c r="W8" s="453" t="s">
        <v>64</v>
      </c>
      <c r="X8" s="454"/>
      <c r="Y8" s="455" t="s">
        <v>122</v>
      </c>
      <c r="Z8" s="455"/>
      <c r="AA8" s="455" t="s">
        <v>30</v>
      </c>
      <c r="AB8" s="455"/>
      <c r="AC8" s="166"/>
      <c r="AD8" s="289"/>
      <c r="AE8" s="289"/>
      <c r="AF8" s="289"/>
      <c r="AG8" s="289"/>
      <c r="AH8" s="289"/>
      <c r="AI8" s="289"/>
    </row>
    <row r="9" spans="1:35" ht="10.5" customHeight="1" x14ac:dyDescent="0.25">
      <c r="A9" s="449" t="s">
        <v>351</v>
      </c>
      <c r="B9" s="456"/>
      <c r="C9" s="456"/>
      <c r="D9" s="456"/>
      <c r="E9" s="456"/>
      <c r="F9" s="456"/>
      <c r="G9" s="448">
        <v>100</v>
      </c>
      <c r="H9" s="457"/>
      <c r="I9" s="448">
        <v>2.4409616834619952</v>
      </c>
      <c r="J9" s="458"/>
      <c r="K9" s="448">
        <v>0.87394068373343181</v>
      </c>
      <c r="L9" s="458"/>
      <c r="M9" s="448">
        <v>0.28728807745321827</v>
      </c>
      <c r="N9" s="458"/>
      <c r="O9" s="448">
        <v>100</v>
      </c>
      <c r="P9" s="459"/>
      <c r="Q9" s="448">
        <v>100</v>
      </c>
      <c r="R9" s="459"/>
      <c r="S9" s="448">
        <v>100</v>
      </c>
      <c r="T9" s="463"/>
      <c r="U9" s="448" t="s">
        <v>294</v>
      </c>
      <c r="V9" s="463"/>
      <c r="W9" s="448" t="s">
        <v>294</v>
      </c>
      <c r="X9" s="463"/>
      <c r="Y9" s="448" t="s">
        <v>294</v>
      </c>
      <c r="Z9" s="457"/>
      <c r="AA9" s="448">
        <v>100</v>
      </c>
      <c r="AB9" s="457"/>
      <c r="AC9" s="290"/>
      <c r="AD9" s="290"/>
      <c r="AE9" s="290"/>
      <c r="AF9" s="290"/>
      <c r="AG9" s="290"/>
      <c r="AH9" s="290"/>
      <c r="AI9" s="290"/>
    </row>
    <row r="10" spans="1:35" ht="10.5" customHeight="1" x14ac:dyDescent="0.25">
      <c r="A10" s="449" t="s">
        <v>322</v>
      </c>
      <c r="B10" s="442"/>
      <c r="C10" s="442"/>
      <c r="D10" s="442"/>
      <c r="E10" s="442"/>
      <c r="F10" s="442"/>
      <c r="G10" s="448">
        <v>2.1508199127308192</v>
      </c>
      <c r="H10" s="440"/>
      <c r="I10" s="448">
        <v>5.1194605760911838</v>
      </c>
      <c r="J10" s="440"/>
      <c r="K10" s="448">
        <v>3.7155406943697011</v>
      </c>
      <c r="L10" s="440"/>
      <c r="M10" s="448">
        <v>2.5626743232349036</v>
      </c>
      <c r="N10" s="440"/>
      <c r="O10" s="448">
        <v>1.7959470863853331</v>
      </c>
      <c r="P10" s="440"/>
      <c r="Q10" s="448">
        <v>1.8814123717764768</v>
      </c>
      <c r="R10" s="440"/>
      <c r="S10" s="448">
        <v>1.8035227915651266</v>
      </c>
      <c r="T10" s="440"/>
      <c r="U10" s="448">
        <v>0.62705205788520435</v>
      </c>
      <c r="V10" s="440"/>
      <c r="W10" s="448">
        <v>0.76447256455201174</v>
      </c>
      <c r="X10" s="440"/>
      <c r="Y10" s="448">
        <v>2.0468147999761719</v>
      </c>
      <c r="Z10" s="440"/>
      <c r="AA10" s="448">
        <v>1.208776486387928</v>
      </c>
      <c r="AB10" s="440"/>
      <c r="AC10" s="257"/>
      <c r="AD10" s="257"/>
      <c r="AE10" s="257"/>
      <c r="AF10" s="257"/>
      <c r="AG10" s="257"/>
      <c r="AH10" s="257"/>
      <c r="AI10" s="257"/>
    </row>
    <row r="11" spans="1:35" ht="10.5" customHeight="1" x14ac:dyDescent="0.25">
      <c r="A11" s="442" t="s">
        <v>330</v>
      </c>
      <c r="B11" s="442"/>
      <c r="C11" s="442"/>
      <c r="D11" s="442"/>
      <c r="E11" s="442"/>
      <c r="F11" s="442"/>
      <c r="G11" s="440">
        <v>0.63216726934408507</v>
      </c>
      <c r="H11" s="440"/>
      <c r="I11" s="440">
        <v>9.3011359627456436</v>
      </c>
      <c r="J11" s="440"/>
      <c r="K11" s="440">
        <v>7.4569555387268398</v>
      </c>
      <c r="L11" s="440"/>
      <c r="M11" s="440">
        <v>5.5038922476040248</v>
      </c>
      <c r="N11" s="440"/>
      <c r="O11" s="440">
        <v>0.15244034450433269</v>
      </c>
      <c r="P11" s="440"/>
      <c r="Q11" s="440">
        <v>-0.35162447286244924</v>
      </c>
      <c r="R11" s="440"/>
      <c r="S11" s="440">
        <v>0.36461956351597213</v>
      </c>
      <c r="T11" s="440"/>
      <c r="U11" s="440">
        <v>0.18108481106104202</v>
      </c>
      <c r="V11" s="440"/>
      <c r="W11" s="440">
        <v>-0.48610383221778891</v>
      </c>
      <c r="X11" s="440"/>
      <c r="Y11" s="440">
        <v>1.4078906434156011</v>
      </c>
      <c r="Z11" s="440"/>
      <c r="AA11" s="440">
        <v>0.15861722977898879</v>
      </c>
      <c r="AB11" s="440"/>
      <c r="AC11" s="447"/>
      <c r="AD11" s="447"/>
      <c r="AE11" s="447"/>
      <c r="AF11" s="447"/>
      <c r="AG11" s="447"/>
      <c r="AH11" s="447"/>
      <c r="AI11" s="256"/>
    </row>
    <row r="12" spans="1:35" ht="10.5" customHeight="1" x14ac:dyDescent="0.25">
      <c r="A12" s="442" t="s">
        <v>337</v>
      </c>
      <c r="B12" s="442"/>
      <c r="C12" s="442"/>
      <c r="D12" s="442"/>
      <c r="E12" s="442"/>
      <c r="F12" s="442"/>
      <c r="G12" s="440">
        <v>1.5186526433867344</v>
      </c>
      <c r="H12" s="440"/>
      <c r="I12" s="440">
        <v>6.3420869671898084</v>
      </c>
      <c r="J12" s="440"/>
      <c r="K12" s="440">
        <v>4.7769625137575993</v>
      </c>
      <c r="L12" s="440"/>
      <c r="M12" s="440">
        <v>3.3566352968248947</v>
      </c>
      <c r="N12" s="440"/>
      <c r="O12" s="440">
        <v>1.6435067418810068</v>
      </c>
      <c r="P12" s="440"/>
      <c r="Q12" s="440">
        <v>2.2330368446394151</v>
      </c>
      <c r="R12" s="440"/>
      <c r="S12" s="440">
        <v>1.4389032280490128</v>
      </c>
      <c r="T12" s="440"/>
      <c r="U12" s="440">
        <v>0.8126941781353062</v>
      </c>
      <c r="V12" s="440"/>
      <c r="W12" s="440">
        <v>1.2850481348084899</v>
      </c>
      <c r="X12" s="440"/>
      <c r="Y12" s="440">
        <v>2.3127788050627949</v>
      </c>
      <c r="Z12" s="440"/>
      <c r="AA12" s="440">
        <v>1.0501592566131197</v>
      </c>
      <c r="AB12" s="440"/>
      <c r="AC12" s="447"/>
      <c r="AD12" s="447"/>
      <c r="AE12" s="447"/>
      <c r="AF12" s="447"/>
      <c r="AG12" s="447"/>
      <c r="AH12" s="447"/>
      <c r="AI12" s="256"/>
    </row>
    <row r="13" spans="1:35" ht="10.5" customHeight="1" x14ac:dyDescent="0.25">
      <c r="A13" s="449" t="s">
        <v>320</v>
      </c>
      <c r="B13" s="442"/>
      <c r="C13" s="442"/>
      <c r="D13" s="442"/>
      <c r="E13" s="442"/>
      <c r="F13" s="442"/>
      <c r="G13" s="448">
        <v>6.6920935905961025</v>
      </c>
      <c r="H13" s="440"/>
      <c r="I13" s="448">
        <v>4.6156240557381212</v>
      </c>
      <c r="J13" s="440"/>
      <c r="K13" s="448">
        <v>3.9996908641371176</v>
      </c>
      <c r="L13" s="440"/>
      <c r="M13" s="448">
        <v>2.4511342248826895</v>
      </c>
      <c r="N13" s="440"/>
      <c r="O13" s="448">
        <v>10.070044061729213</v>
      </c>
      <c r="P13" s="440"/>
      <c r="Q13" s="448">
        <v>18.998553636777704</v>
      </c>
      <c r="R13" s="440"/>
      <c r="S13" s="448">
        <v>6.9948531633509665</v>
      </c>
      <c r="T13" s="440"/>
      <c r="U13" s="448">
        <v>1.1300130887324948</v>
      </c>
      <c r="V13" s="440"/>
      <c r="W13" s="448">
        <v>2.4810784144745837</v>
      </c>
      <c r="X13" s="440"/>
      <c r="Y13" s="448">
        <v>2.5513941671670177</v>
      </c>
      <c r="Z13" s="440"/>
      <c r="AA13" s="448">
        <v>5.0733679392458439</v>
      </c>
      <c r="AB13" s="440"/>
      <c r="AC13" s="447"/>
      <c r="AD13" s="447"/>
      <c r="AE13" s="447"/>
      <c r="AF13" s="447"/>
      <c r="AG13" s="447"/>
      <c r="AH13" s="447"/>
      <c r="AI13" s="256"/>
    </row>
    <row r="14" spans="1:35" ht="10.5" customHeight="1" x14ac:dyDescent="0.25">
      <c r="A14" s="442" t="s">
        <v>326</v>
      </c>
      <c r="B14" s="442"/>
      <c r="C14" s="442"/>
      <c r="D14" s="442"/>
      <c r="E14" s="442"/>
      <c r="F14" s="442"/>
      <c r="G14" s="440">
        <v>7.4708538114854242E-2</v>
      </c>
      <c r="H14" s="440"/>
      <c r="I14" s="440">
        <v>2.6701565357731827</v>
      </c>
      <c r="J14" s="440"/>
      <c r="K14" s="440">
        <v>0.76548263883658985</v>
      </c>
      <c r="L14" s="440"/>
      <c r="M14" s="440">
        <v>0.33810438482245742</v>
      </c>
      <c r="N14" s="440"/>
      <c r="O14" s="440">
        <v>1.4358306428949062E-2</v>
      </c>
      <c r="P14" s="440"/>
      <c r="Q14" s="440">
        <v>-4.1206617878793136E-2</v>
      </c>
      <c r="R14" s="440"/>
      <c r="S14" s="440">
        <v>3.4903800877601476E-2</v>
      </c>
      <c r="T14" s="440"/>
      <c r="U14" s="440">
        <v>0.14432683517284745</v>
      </c>
      <c r="V14" s="440"/>
      <c r="W14" s="440">
        <v>-0.48203512894296996</v>
      </c>
      <c r="X14" s="440"/>
      <c r="Y14" s="440">
        <v>1.1404163794294959</v>
      </c>
      <c r="Z14" s="440"/>
      <c r="AA14" s="440">
        <v>6.9549359679003178E-2</v>
      </c>
      <c r="AB14" s="440"/>
      <c r="AC14" s="447"/>
      <c r="AD14" s="447"/>
      <c r="AE14" s="447"/>
      <c r="AF14" s="447"/>
      <c r="AG14" s="447"/>
      <c r="AH14" s="447"/>
      <c r="AI14" s="256"/>
    </row>
    <row r="15" spans="1:35" ht="10.5" customHeight="1" x14ac:dyDescent="0.25">
      <c r="A15" s="442" t="s">
        <v>329</v>
      </c>
      <c r="B15" s="442"/>
      <c r="C15" s="442"/>
      <c r="D15" s="442"/>
      <c r="E15" s="442"/>
      <c r="F15" s="442"/>
      <c r="G15" s="440">
        <v>0.31241514888606614</v>
      </c>
      <c r="H15" s="440"/>
      <c r="I15" s="440">
        <v>3.7858316868015107</v>
      </c>
      <c r="J15" s="440"/>
      <c r="K15" s="440">
        <v>0.83186560675629906</v>
      </c>
      <c r="L15" s="440"/>
      <c r="M15" s="440">
        <v>0.45820667373982493</v>
      </c>
      <c r="N15" s="440"/>
      <c r="O15" s="440">
        <v>0.11343669309418496</v>
      </c>
      <c r="P15" s="440"/>
      <c r="Q15" s="440">
        <v>-7.715614201097723E-2</v>
      </c>
      <c r="R15" s="440"/>
      <c r="S15" s="440">
        <v>0.19093010871863222</v>
      </c>
      <c r="T15" s="440"/>
      <c r="U15" s="440">
        <v>0.27266888490959423</v>
      </c>
      <c r="V15" s="440"/>
      <c r="W15" s="440">
        <v>-0.21583425689737501</v>
      </c>
      <c r="X15" s="440"/>
      <c r="Y15" s="440">
        <v>1.4917749067647776</v>
      </c>
      <c r="Z15" s="440"/>
      <c r="AA15" s="440">
        <v>0.28285447508524209</v>
      </c>
      <c r="AB15" s="440"/>
      <c r="AC15" s="447"/>
      <c r="AD15" s="447"/>
      <c r="AE15" s="447"/>
      <c r="AF15" s="447"/>
      <c r="AG15" s="447"/>
      <c r="AH15" s="447"/>
      <c r="AI15" s="256"/>
    </row>
    <row r="16" spans="1:35" ht="10.5" customHeight="1" x14ac:dyDescent="0.25">
      <c r="A16" s="442" t="s">
        <v>341</v>
      </c>
      <c r="B16" s="442"/>
      <c r="C16" s="442"/>
      <c r="D16" s="442"/>
      <c r="E16" s="442"/>
      <c r="F16" s="442"/>
      <c r="G16" s="440">
        <v>6.1233379465673921E-2</v>
      </c>
      <c r="H16" s="440"/>
      <c r="I16" s="440">
        <v>3.2682706937249728</v>
      </c>
      <c r="J16" s="440"/>
      <c r="K16" s="440">
        <v>4.3808600057519413</v>
      </c>
      <c r="L16" s="440"/>
      <c r="M16" s="440">
        <v>3.0140197422560799</v>
      </c>
      <c r="N16" s="440"/>
      <c r="O16" s="440">
        <v>5.3289549695594629E-2</v>
      </c>
      <c r="P16" s="440"/>
      <c r="Q16" s="440">
        <v>0.14474074781001958</v>
      </c>
      <c r="R16" s="440"/>
      <c r="S16" s="440">
        <v>1.9131273721564413E-2</v>
      </c>
      <c r="T16" s="440"/>
      <c r="U16" s="440">
        <v>0.65353361493851447</v>
      </c>
      <c r="V16" s="440"/>
      <c r="W16" s="440">
        <v>2.0657822450594341</v>
      </c>
      <c r="X16" s="440"/>
      <c r="Y16" s="440">
        <v>0.762634800131201</v>
      </c>
      <c r="Z16" s="440"/>
      <c r="AA16" s="440">
        <v>-4.5952032335456697E-3</v>
      </c>
      <c r="AB16" s="440"/>
      <c r="AC16" s="447"/>
      <c r="AD16" s="447"/>
      <c r="AE16" s="447"/>
      <c r="AF16" s="447"/>
      <c r="AG16" s="447"/>
      <c r="AH16" s="447"/>
      <c r="AI16" s="256"/>
    </row>
    <row r="17" spans="1:35" ht="10.5" customHeight="1" x14ac:dyDescent="0.25">
      <c r="A17" s="442" t="s">
        <v>310</v>
      </c>
      <c r="B17" s="442"/>
      <c r="C17" s="442"/>
      <c r="D17" s="442"/>
      <c r="E17" s="442"/>
      <c r="F17" s="442"/>
      <c r="G17" s="440">
        <v>2.0217776167760064</v>
      </c>
      <c r="H17" s="440"/>
      <c r="I17" s="440">
        <v>3.8398541687657772</v>
      </c>
      <c r="J17" s="440"/>
      <c r="K17" s="440">
        <v>3.6400699976120388</v>
      </c>
      <c r="L17" s="440"/>
      <c r="M17" s="440">
        <v>2.379854804223025</v>
      </c>
      <c r="N17" s="440"/>
      <c r="O17" s="440">
        <v>-0.37425994964682785</v>
      </c>
      <c r="P17" s="440"/>
      <c r="Q17" s="440">
        <v>-1.5395183276857445</v>
      </c>
      <c r="R17" s="440"/>
      <c r="S17" s="440">
        <v>2.8637600861786409E-2</v>
      </c>
      <c r="T17" s="440"/>
      <c r="U17" s="440">
        <v>-0.13901257234755304</v>
      </c>
      <c r="V17" s="440"/>
      <c r="W17" s="440">
        <v>-0.66547759197340295</v>
      </c>
      <c r="X17" s="440"/>
      <c r="Y17" s="440">
        <v>3.4575160902893518E-2</v>
      </c>
      <c r="Z17" s="440"/>
      <c r="AA17" s="440">
        <v>0.73649478675554592</v>
      </c>
      <c r="AB17" s="440"/>
      <c r="AC17" s="447"/>
      <c r="AD17" s="447"/>
      <c r="AE17" s="447"/>
      <c r="AF17" s="447"/>
      <c r="AG17" s="447"/>
      <c r="AH17" s="447"/>
      <c r="AI17" s="256"/>
    </row>
    <row r="18" spans="1:35" ht="10.5" customHeight="1" x14ac:dyDescent="0.25">
      <c r="A18" s="442" t="s">
        <v>305</v>
      </c>
      <c r="B18" s="442"/>
      <c r="C18" s="442"/>
      <c r="D18" s="442"/>
      <c r="E18" s="442"/>
      <c r="F18" s="442"/>
      <c r="G18" s="440">
        <v>2.451922259654467</v>
      </c>
      <c r="H18" s="440"/>
      <c r="I18" s="440">
        <v>6.3598224785798907</v>
      </c>
      <c r="J18" s="440"/>
      <c r="K18" s="440">
        <v>7.0560158515357578</v>
      </c>
      <c r="L18" s="440"/>
      <c r="M18" s="440">
        <v>4.627355703771463</v>
      </c>
      <c r="N18" s="440"/>
      <c r="O18" s="440">
        <v>5.7525972069284963</v>
      </c>
      <c r="P18" s="440"/>
      <c r="Q18" s="440">
        <v>12.799680806506162</v>
      </c>
      <c r="R18" s="440"/>
      <c r="S18" s="440">
        <v>3.1550345274786862</v>
      </c>
      <c r="T18" s="440"/>
      <c r="U18" s="440">
        <v>1.7618599311303809</v>
      </c>
      <c r="V18" s="440"/>
      <c r="W18" s="440">
        <v>4.5622008412224346</v>
      </c>
      <c r="X18" s="440"/>
      <c r="Y18" s="440">
        <v>3.1409309007457722</v>
      </c>
      <c r="Z18" s="440"/>
      <c r="AA18" s="440">
        <v>1.3572665803187773</v>
      </c>
      <c r="AB18" s="440"/>
      <c r="AC18" s="447"/>
      <c r="AD18" s="447"/>
      <c r="AE18" s="447"/>
      <c r="AF18" s="447"/>
      <c r="AG18" s="447"/>
      <c r="AH18" s="447"/>
      <c r="AI18" s="256"/>
    </row>
    <row r="19" spans="1:35" ht="10.5" customHeight="1" x14ac:dyDescent="0.25">
      <c r="A19" s="442" t="s">
        <v>346</v>
      </c>
      <c r="B19" s="442"/>
      <c r="C19" s="442"/>
      <c r="D19" s="442"/>
      <c r="E19" s="442"/>
      <c r="F19" s="442"/>
      <c r="G19" s="440">
        <v>0.99540528455700705</v>
      </c>
      <c r="H19" s="440"/>
      <c r="I19" s="440">
        <v>8.9126465537698216</v>
      </c>
      <c r="J19" s="440"/>
      <c r="K19" s="440">
        <v>2.7710747800858471</v>
      </c>
      <c r="L19" s="440"/>
      <c r="M19" s="440">
        <v>1.8439552340617893</v>
      </c>
      <c r="N19" s="440"/>
      <c r="O19" s="440">
        <v>1.1026730452126889</v>
      </c>
      <c r="P19" s="440"/>
      <c r="Q19" s="440">
        <v>0.16993092174530189</v>
      </c>
      <c r="R19" s="440"/>
      <c r="S19" s="440">
        <v>1.5147636934134165</v>
      </c>
      <c r="T19" s="440"/>
      <c r="U19" s="440">
        <v>0.83188046408107552</v>
      </c>
      <c r="V19" s="440"/>
      <c r="W19" s="440">
        <v>0.1491950547596631</v>
      </c>
      <c r="X19" s="440"/>
      <c r="Y19" s="440">
        <v>3.7145474235321654</v>
      </c>
      <c r="Z19" s="440"/>
      <c r="AA19" s="440">
        <v>1.6657154011252184</v>
      </c>
      <c r="AB19" s="440"/>
      <c r="AC19" s="447"/>
      <c r="AD19" s="447"/>
      <c r="AE19" s="447"/>
      <c r="AF19" s="447"/>
      <c r="AG19" s="447"/>
      <c r="AH19" s="447"/>
      <c r="AI19" s="256"/>
    </row>
    <row r="20" spans="1:35" ht="10.5" customHeight="1" x14ac:dyDescent="0.25">
      <c r="A20" s="442" t="s">
        <v>304</v>
      </c>
      <c r="B20" s="442"/>
      <c r="C20" s="442"/>
      <c r="D20" s="442"/>
      <c r="E20" s="442"/>
      <c r="F20" s="442"/>
      <c r="G20" s="440">
        <v>0.77463136314202918</v>
      </c>
      <c r="H20" s="440"/>
      <c r="I20" s="440">
        <v>14.922522799689464</v>
      </c>
      <c r="J20" s="440"/>
      <c r="K20" s="440">
        <v>13.930754524461729</v>
      </c>
      <c r="L20" s="440"/>
      <c r="M20" s="440">
        <v>8.906480031121955</v>
      </c>
      <c r="N20" s="440"/>
      <c r="O20" s="440">
        <v>3.4079492100161675</v>
      </c>
      <c r="P20" s="440"/>
      <c r="Q20" s="440">
        <v>7.5420822482864773</v>
      </c>
      <c r="R20" s="440"/>
      <c r="S20" s="440">
        <v>2.0514521582783924</v>
      </c>
      <c r="T20" s="440"/>
      <c r="U20" s="440">
        <v>3.3037878077405223</v>
      </c>
      <c r="V20" s="440"/>
      <c r="W20" s="440">
        <v>8.5089925743591461</v>
      </c>
      <c r="X20" s="440"/>
      <c r="Y20" s="440">
        <v>6.4643859674125403</v>
      </c>
      <c r="Z20" s="440"/>
      <c r="AA20" s="440">
        <v>0.96608253951645262</v>
      </c>
      <c r="AB20" s="440"/>
      <c r="AC20" s="447"/>
      <c r="AD20" s="447"/>
      <c r="AE20" s="447"/>
      <c r="AF20" s="447"/>
      <c r="AG20" s="447"/>
      <c r="AH20" s="447"/>
      <c r="AI20" s="256"/>
    </row>
    <row r="21" spans="1:35" ht="10.5" customHeight="1" x14ac:dyDescent="0.25">
      <c r="A21" s="449" t="s">
        <v>318</v>
      </c>
      <c r="B21" s="442"/>
      <c r="C21" s="442"/>
      <c r="D21" s="442"/>
      <c r="E21" s="442"/>
      <c r="F21" s="442"/>
      <c r="G21" s="448">
        <v>13.58995647854081</v>
      </c>
      <c r="H21" s="440"/>
      <c r="I21" s="448">
        <v>3.9051153397372085</v>
      </c>
      <c r="J21" s="440"/>
      <c r="K21" s="448">
        <v>2.1224447795391344</v>
      </c>
      <c r="L21" s="440"/>
      <c r="M21" s="448">
        <v>1.2364200235705947</v>
      </c>
      <c r="N21" s="440"/>
      <c r="O21" s="448">
        <v>19.710672315067256</v>
      </c>
      <c r="P21" s="440"/>
      <c r="Q21" s="448">
        <v>25.089922983019019</v>
      </c>
      <c r="R21" s="440"/>
      <c r="S21" s="448">
        <v>17.643214073794869</v>
      </c>
      <c r="T21" s="440"/>
      <c r="U21" s="448">
        <v>1.0891745405043893</v>
      </c>
      <c r="V21" s="440"/>
      <c r="W21" s="448">
        <v>1.6134786363166522</v>
      </c>
      <c r="X21" s="440"/>
      <c r="Y21" s="448">
        <v>3.1689880387221785</v>
      </c>
      <c r="Z21" s="440"/>
      <c r="AA21" s="448">
        <v>14.166789314842912</v>
      </c>
      <c r="AB21" s="440"/>
      <c r="AC21" s="447"/>
      <c r="AD21" s="447"/>
      <c r="AE21" s="447"/>
      <c r="AF21" s="447"/>
      <c r="AG21" s="447"/>
      <c r="AH21" s="447"/>
      <c r="AI21" s="256"/>
    </row>
    <row r="22" spans="1:35" ht="10.5" customHeight="1" x14ac:dyDescent="0.25">
      <c r="A22" s="442" t="s">
        <v>323</v>
      </c>
      <c r="B22" s="442"/>
      <c r="C22" s="442"/>
      <c r="D22" s="442"/>
      <c r="E22" s="442"/>
      <c r="F22" s="442"/>
      <c r="G22" s="440">
        <v>3.1198357228620521</v>
      </c>
      <c r="H22" s="440"/>
      <c r="I22" s="440">
        <v>6.5984077414247722</v>
      </c>
      <c r="J22" s="440"/>
      <c r="K22" s="440">
        <v>4.742545930674269</v>
      </c>
      <c r="L22" s="440"/>
      <c r="M22" s="440">
        <v>3.4770724710781908</v>
      </c>
      <c r="N22" s="440"/>
      <c r="O22" s="440">
        <v>2.3976872029364871</v>
      </c>
      <c r="P22" s="440"/>
      <c r="Q22" s="440">
        <v>0.28308841571643062</v>
      </c>
      <c r="R22" s="440"/>
      <c r="S22" s="440">
        <v>3.0713060027957493</v>
      </c>
      <c r="T22" s="440"/>
      <c r="U22" s="440">
        <v>0.57713167145819322</v>
      </c>
      <c r="V22" s="440"/>
      <c r="W22" s="440">
        <v>7.9299843185739863E-2</v>
      </c>
      <c r="X22" s="440"/>
      <c r="Y22" s="440">
        <v>2.4029919960445145</v>
      </c>
      <c r="Z22" s="440"/>
      <c r="AA22" s="440">
        <v>3.5615792291295243</v>
      </c>
      <c r="AB22" s="440"/>
      <c r="AC22" s="447"/>
      <c r="AD22" s="447"/>
      <c r="AE22" s="447"/>
      <c r="AF22" s="447"/>
      <c r="AG22" s="447"/>
      <c r="AH22" s="447"/>
      <c r="AI22" s="256"/>
    </row>
    <row r="23" spans="1:35" ht="10.5" customHeight="1" x14ac:dyDescent="0.25">
      <c r="A23" s="442" t="s">
        <v>332</v>
      </c>
      <c r="B23" s="442"/>
      <c r="C23" s="442"/>
      <c r="D23" s="442"/>
      <c r="E23" s="442"/>
      <c r="F23" s="442"/>
      <c r="G23" s="440">
        <v>6.2542639622975651</v>
      </c>
      <c r="H23" s="440"/>
      <c r="I23" s="440">
        <v>5.927527049046577</v>
      </c>
      <c r="J23" s="440"/>
      <c r="K23" s="440">
        <v>3.4348902101010381</v>
      </c>
      <c r="L23" s="440"/>
      <c r="M23" s="440">
        <v>2.2758594799370258</v>
      </c>
      <c r="N23" s="440"/>
      <c r="O23" s="440">
        <v>12.382165039495179</v>
      </c>
      <c r="P23" s="440"/>
      <c r="Q23" s="440">
        <v>17.27161087065906</v>
      </c>
      <c r="R23" s="440"/>
      <c r="S23" s="440">
        <v>10.564452198559481</v>
      </c>
      <c r="T23" s="440"/>
      <c r="U23" s="440">
        <v>1.4867381671547932</v>
      </c>
      <c r="V23" s="440"/>
      <c r="W23" s="440">
        <v>2.413451607491222</v>
      </c>
      <c r="X23" s="440"/>
      <c r="Y23" s="440">
        <v>4.1231747139077148</v>
      </c>
      <c r="Z23" s="440"/>
      <c r="AA23" s="440">
        <v>6.9793223635067401</v>
      </c>
      <c r="AB23" s="440"/>
      <c r="AC23" s="447"/>
      <c r="AD23" s="447"/>
      <c r="AE23" s="447"/>
      <c r="AF23" s="447"/>
      <c r="AG23" s="447"/>
      <c r="AH23" s="447"/>
      <c r="AI23" s="256"/>
    </row>
    <row r="24" spans="1:35" ht="10.5" customHeight="1" x14ac:dyDescent="0.25">
      <c r="A24" s="442" t="s">
        <v>333</v>
      </c>
      <c r="B24" s="442"/>
      <c r="C24" s="442"/>
      <c r="D24" s="442"/>
      <c r="E24" s="442"/>
      <c r="F24" s="442"/>
      <c r="G24" s="440">
        <v>2.9943734177995665</v>
      </c>
      <c r="H24" s="440"/>
      <c r="I24" s="440">
        <v>4.6356783635142396</v>
      </c>
      <c r="J24" s="440"/>
      <c r="K24" s="440">
        <v>3.2401947073168347</v>
      </c>
      <c r="L24" s="440"/>
      <c r="M24" s="440">
        <v>2.4520613186068019</v>
      </c>
      <c r="N24" s="440"/>
      <c r="O24" s="440">
        <v>2.3198141166535606</v>
      </c>
      <c r="P24" s="440"/>
      <c r="Q24" s="440">
        <v>2.8757318884935712</v>
      </c>
      <c r="R24" s="440"/>
      <c r="S24" s="440">
        <v>2.1396314760176671</v>
      </c>
      <c r="T24" s="440"/>
      <c r="U24" s="440">
        <v>0.58178341591435923</v>
      </c>
      <c r="V24" s="440"/>
      <c r="W24" s="440">
        <v>0.83931385375139567</v>
      </c>
      <c r="X24" s="440"/>
      <c r="Y24" s="440">
        <v>1.7441907607924025</v>
      </c>
      <c r="Z24" s="440"/>
      <c r="AA24" s="440">
        <v>1.8338777356838847</v>
      </c>
      <c r="AB24" s="440"/>
      <c r="AC24" s="447"/>
      <c r="AD24" s="447"/>
      <c r="AE24" s="447"/>
      <c r="AF24" s="447"/>
      <c r="AG24" s="447"/>
      <c r="AH24" s="447"/>
      <c r="AI24" s="256"/>
    </row>
    <row r="25" spans="1:35" ht="10.5" customHeight="1" x14ac:dyDescent="0.25">
      <c r="A25" s="442" t="s">
        <v>308</v>
      </c>
      <c r="B25" s="442"/>
      <c r="C25" s="442"/>
      <c r="D25" s="442"/>
      <c r="E25" s="442"/>
      <c r="F25" s="442"/>
      <c r="G25" s="440">
        <v>1.2214833755816248</v>
      </c>
      <c r="H25" s="440"/>
      <c r="I25" s="440">
        <v>8.4583731961866739</v>
      </c>
      <c r="J25" s="440"/>
      <c r="K25" s="440">
        <v>7.0638950966932734</v>
      </c>
      <c r="L25" s="440"/>
      <c r="M25" s="440">
        <v>4.7321993384846994</v>
      </c>
      <c r="N25" s="440"/>
      <c r="O25" s="440">
        <v>2.611005955981776</v>
      </c>
      <c r="P25" s="440"/>
      <c r="Q25" s="440">
        <v>4.6594918081542032</v>
      </c>
      <c r="R25" s="440"/>
      <c r="S25" s="440">
        <v>1.867824396422195</v>
      </c>
      <c r="T25" s="440"/>
      <c r="U25" s="440">
        <v>1.6052194414074674</v>
      </c>
      <c r="V25" s="440"/>
      <c r="W25" s="440">
        <v>3.3337493887132088</v>
      </c>
      <c r="X25" s="440"/>
      <c r="Y25" s="440">
        <v>3.7325827549074546</v>
      </c>
      <c r="Z25" s="440"/>
      <c r="AA25" s="440">
        <v>1.7920099865033443</v>
      </c>
      <c r="AB25" s="440"/>
      <c r="AC25" s="447"/>
      <c r="AD25" s="447"/>
      <c r="AE25" s="447"/>
      <c r="AF25" s="447"/>
      <c r="AG25" s="447"/>
      <c r="AH25" s="447"/>
      <c r="AI25" s="256"/>
    </row>
    <row r="26" spans="1:35" ht="10.5" customHeight="1" x14ac:dyDescent="0.25">
      <c r="A26" s="449" t="s">
        <v>319</v>
      </c>
      <c r="B26" s="442"/>
      <c r="C26" s="442"/>
      <c r="D26" s="442"/>
      <c r="E26" s="442"/>
      <c r="F26" s="442"/>
      <c r="G26" s="448">
        <v>8.6928087975345498</v>
      </c>
      <c r="H26" s="440"/>
      <c r="I26" s="448">
        <v>3.5783583160049037</v>
      </c>
      <c r="J26" s="440"/>
      <c r="K26" s="448">
        <v>1.8599090737869584</v>
      </c>
      <c r="L26" s="440"/>
      <c r="M26" s="448">
        <v>1.091804944788699</v>
      </c>
      <c r="N26" s="440"/>
      <c r="O26" s="448">
        <v>3.9988349886373133</v>
      </c>
      <c r="P26" s="440"/>
      <c r="Q26" s="448">
        <v>-0.68603623674334091</v>
      </c>
      <c r="R26" s="440"/>
      <c r="S26" s="448">
        <v>5.8903197003391696</v>
      </c>
      <c r="T26" s="440"/>
      <c r="U26" s="448">
        <v>0.34545180423960736</v>
      </c>
      <c r="V26" s="440"/>
      <c r="W26" s="448">
        <v>-6.8971375279234068E-2</v>
      </c>
      <c r="X26" s="440"/>
      <c r="Y26" s="448">
        <v>1.6540159834123103</v>
      </c>
      <c r="Z26" s="440"/>
      <c r="AA26" s="448">
        <v>7.6480692497216065</v>
      </c>
      <c r="AB26" s="440"/>
      <c r="AC26" s="447"/>
      <c r="AD26" s="447"/>
      <c r="AE26" s="447"/>
      <c r="AF26" s="447"/>
      <c r="AG26" s="447"/>
      <c r="AH26" s="447"/>
      <c r="AI26" s="256"/>
    </row>
    <row r="27" spans="1:35" ht="10.5" customHeight="1" x14ac:dyDescent="0.25">
      <c r="A27" s="442" t="s">
        <v>335</v>
      </c>
      <c r="B27" s="442"/>
      <c r="C27" s="442"/>
      <c r="D27" s="442"/>
      <c r="E27" s="442"/>
      <c r="F27" s="442"/>
      <c r="G27" s="440">
        <v>2.131973446106199</v>
      </c>
      <c r="H27" s="440"/>
      <c r="I27" s="440">
        <v>5.8251330719384153</v>
      </c>
      <c r="J27" s="440"/>
      <c r="K27" s="440">
        <v>2.7928737768332046</v>
      </c>
      <c r="L27" s="440"/>
      <c r="M27" s="440">
        <v>2.0623956176365255</v>
      </c>
      <c r="N27" s="440"/>
      <c r="O27" s="440">
        <v>1.2154528993516418</v>
      </c>
      <c r="P27" s="440"/>
      <c r="Q27" s="440">
        <v>0.13394920978005598</v>
      </c>
      <c r="R27" s="440"/>
      <c r="S27" s="440">
        <v>1.6517269468354885</v>
      </c>
      <c r="T27" s="440"/>
      <c r="U27" s="440">
        <v>0.42812486491735985</v>
      </c>
      <c r="V27" s="440"/>
      <c r="W27" s="440">
        <v>5.4908593816934047E-2</v>
      </c>
      <c r="X27" s="440"/>
      <c r="Y27" s="440">
        <v>1.8911127604008025</v>
      </c>
      <c r="Z27" s="440"/>
      <c r="AA27" s="440">
        <v>1.9773571849973341</v>
      </c>
      <c r="AB27" s="440"/>
      <c r="AC27" s="447"/>
      <c r="AD27" s="447"/>
      <c r="AE27" s="447"/>
      <c r="AF27" s="447"/>
      <c r="AG27" s="447"/>
      <c r="AH27" s="447"/>
      <c r="AI27" s="256"/>
    </row>
    <row r="28" spans="1:35" ht="10.5" customHeight="1" x14ac:dyDescent="0.25">
      <c r="A28" s="442" t="s">
        <v>336</v>
      </c>
      <c r="B28" s="442"/>
      <c r="C28" s="442"/>
      <c r="D28" s="442"/>
      <c r="E28" s="442"/>
      <c r="F28" s="442"/>
      <c r="G28" s="440">
        <v>1.7445328407307517</v>
      </c>
      <c r="H28" s="440"/>
      <c r="I28" s="440">
        <v>3.8501111138169009</v>
      </c>
      <c r="J28" s="440"/>
      <c r="K28" s="440">
        <v>2.4596144762667915</v>
      </c>
      <c r="L28" s="440"/>
      <c r="M28" s="440">
        <v>1.6013121679649522</v>
      </c>
      <c r="N28" s="440"/>
      <c r="O28" s="440">
        <v>1.0850768421764683</v>
      </c>
      <c r="P28" s="440"/>
      <c r="Q28" s="440">
        <v>1.7525497243171342</v>
      </c>
      <c r="R28" s="440"/>
      <c r="S28" s="440">
        <v>0.90102320319918072</v>
      </c>
      <c r="T28" s="440"/>
      <c r="U28" s="440">
        <v>0.46708449874468694</v>
      </c>
      <c r="V28" s="440"/>
      <c r="W28" s="440">
        <v>0.87795681949155957</v>
      </c>
      <c r="X28" s="440"/>
      <c r="Y28" s="440">
        <v>1.2607175190798505</v>
      </c>
      <c r="Z28" s="440"/>
      <c r="AA28" s="440">
        <v>1.1725873055368776</v>
      </c>
      <c r="AB28" s="440"/>
      <c r="AC28" s="447"/>
      <c r="AD28" s="447"/>
      <c r="AE28" s="447"/>
      <c r="AF28" s="447"/>
      <c r="AG28" s="447"/>
      <c r="AH28" s="447"/>
      <c r="AI28" s="256"/>
    </row>
    <row r="29" spans="1:35" ht="10.5" customHeight="1" x14ac:dyDescent="0.25">
      <c r="A29" s="442" t="s">
        <v>339</v>
      </c>
      <c r="B29" s="442"/>
      <c r="C29" s="442"/>
      <c r="D29" s="442"/>
      <c r="E29" s="442"/>
      <c r="F29" s="442"/>
      <c r="G29" s="440">
        <v>4.8163025106975992</v>
      </c>
      <c r="H29" s="440"/>
      <c r="I29" s="440">
        <v>5.0335553300918212</v>
      </c>
      <c r="J29" s="440"/>
      <c r="K29" s="440">
        <v>3.4209342867465131</v>
      </c>
      <c r="L29" s="440"/>
      <c r="M29" s="440">
        <v>2.1363007489362595</v>
      </c>
      <c r="N29" s="440"/>
      <c r="O29" s="440">
        <v>1.6983052471091793</v>
      </c>
      <c r="P29" s="440"/>
      <c r="Q29" s="440">
        <v>-2.5725351708336208</v>
      </c>
      <c r="R29" s="440"/>
      <c r="S29" s="440">
        <v>3.3375695503040532</v>
      </c>
      <c r="T29" s="440"/>
      <c r="U29" s="440">
        <v>0.26479885536830983</v>
      </c>
      <c r="V29" s="440"/>
      <c r="W29" s="440">
        <v>-0.46679857445270523</v>
      </c>
      <c r="X29" s="440"/>
      <c r="Y29" s="440">
        <v>1.6915215292408392</v>
      </c>
      <c r="Z29" s="440"/>
      <c r="AA29" s="440">
        <v>4.4981247592072213</v>
      </c>
      <c r="AB29" s="440"/>
      <c r="AC29" s="447"/>
      <c r="AD29" s="447"/>
      <c r="AE29" s="447"/>
      <c r="AF29" s="447"/>
      <c r="AG29" s="447"/>
      <c r="AH29" s="447"/>
      <c r="AI29" s="256"/>
    </row>
    <row r="30" spans="1:35" ht="10.5" customHeight="1" x14ac:dyDescent="0.25">
      <c r="A30" s="449" t="s">
        <v>317</v>
      </c>
      <c r="B30" s="442"/>
      <c r="C30" s="442"/>
      <c r="D30" s="442"/>
      <c r="E30" s="442"/>
      <c r="F30" s="442"/>
      <c r="G30" s="448">
        <v>14.563052203855554</v>
      </c>
      <c r="H30" s="440"/>
      <c r="I30" s="448">
        <v>4.3491625942524426</v>
      </c>
      <c r="J30" s="440"/>
      <c r="K30" s="448">
        <v>3.4310471599777626</v>
      </c>
      <c r="L30" s="440"/>
      <c r="M30" s="448">
        <v>2.0355398690328985</v>
      </c>
      <c r="N30" s="440"/>
      <c r="O30" s="448">
        <v>22.373706188915925</v>
      </c>
      <c r="P30" s="440"/>
      <c r="Q30" s="448">
        <v>35.780904503456256</v>
      </c>
      <c r="R30" s="440"/>
      <c r="S30" s="448">
        <v>17.542421771426675</v>
      </c>
      <c r="T30" s="440"/>
      <c r="U30" s="448">
        <v>1.1537179069550207</v>
      </c>
      <c r="V30" s="440"/>
      <c r="W30" s="448">
        <v>2.147241368679035</v>
      </c>
      <c r="X30" s="440"/>
      <c r="Y30" s="448">
        <v>2.940343739744713</v>
      </c>
      <c r="Z30" s="440"/>
      <c r="AA30" s="448">
        <v>14.956385170382621</v>
      </c>
      <c r="AB30" s="440"/>
      <c r="AC30" s="447"/>
      <c r="AD30" s="447"/>
      <c r="AE30" s="447"/>
      <c r="AF30" s="447"/>
      <c r="AG30" s="447"/>
      <c r="AH30" s="447"/>
      <c r="AI30" s="256"/>
    </row>
    <row r="31" spans="1:35" ht="10.5" customHeight="1" x14ac:dyDescent="0.25">
      <c r="A31" s="442" t="s">
        <v>312</v>
      </c>
      <c r="B31" s="442"/>
      <c r="C31" s="442"/>
      <c r="D31" s="442"/>
      <c r="E31" s="442"/>
      <c r="F31" s="442"/>
      <c r="G31" s="440">
        <v>2.6002025632982382</v>
      </c>
      <c r="H31" s="440"/>
      <c r="I31" s="440">
        <v>4.3235598320392921</v>
      </c>
      <c r="J31" s="440"/>
      <c r="K31" s="440">
        <v>2.4269259976265944</v>
      </c>
      <c r="L31" s="440"/>
      <c r="M31" s="440">
        <v>1.7571541763608756</v>
      </c>
      <c r="N31" s="440"/>
      <c r="O31" s="440">
        <v>0.91589207027756114</v>
      </c>
      <c r="P31" s="440"/>
      <c r="Q31" s="440">
        <v>-1.7935204515218881</v>
      </c>
      <c r="R31" s="440"/>
      <c r="S31" s="440">
        <v>1.808041741768756</v>
      </c>
      <c r="T31" s="440"/>
      <c r="U31" s="440">
        <v>0.26451556101518625</v>
      </c>
      <c r="V31" s="440"/>
      <c r="W31" s="440">
        <v>-0.60281091627904182</v>
      </c>
      <c r="X31" s="440"/>
      <c r="Y31" s="440">
        <v>1.6973141539247178</v>
      </c>
      <c r="Z31" s="440"/>
      <c r="AA31" s="440">
        <v>2.4690797091450829</v>
      </c>
      <c r="AB31" s="440"/>
      <c r="AC31" s="447"/>
      <c r="AD31" s="447"/>
      <c r="AE31" s="447"/>
      <c r="AF31" s="447"/>
      <c r="AG31" s="447"/>
      <c r="AH31" s="447"/>
      <c r="AI31" s="256"/>
    </row>
    <row r="32" spans="1:35" ht="10.5" customHeight="1" x14ac:dyDescent="0.25">
      <c r="A32" s="442" t="s">
        <v>307</v>
      </c>
      <c r="B32" s="442"/>
      <c r="C32" s="442"/>
      <c r="D32" s="442"/>
      <c r="E32" s="442"/>
      <c r="F32" s="442"/>
      <c r="G32" s="440">
        <v>2.9539219988021599</v>
      </c>
      <c r="H32" s="440"/>
      <c r="I32" s="440">
        <v>5.1956671389179254</v>
      </c>
      <c r="J32" s="440"/>
      <c r="K32" s="440">
        <v>5.0577046377523027</v>
      </c>
      <c r="L32" s="440"/>
      <c r="M32" s="440">
        <v>3.2481937466295685</v>
      </c>
      <c r="N32" s="440"/>
      <c r="O32" s="440">
        <v>6.458378267448146</v>
      </c>
      <c r="P32" s="440"/>
      <c r="Q32" s="440">
        <v>12.454063299520126</v>
      </c>
      <c r="R32" s="440"/>
      <c r="S32" s="440">
        <v>4.2246702460988628</v>
      </c>
      <c r="T32" s="440"/>
      <c r="U32" s="440">
        <v>1.6418692303993967</v>
      </c>
      <c r="V32" s="440"/>
      <c r="W32" s="440">
        <v>3.6846310090976009</v>
      </c>
      <c r="X32" s="440"/>
      <c r="Y32" s="440">
        <v>3.4910394384723138</v>
      </c>
      <c r="Z32" s="440"/>
      <c r="AA32" s="440">
        <v>2.3210596936177375</v>
      </c>
      <c r="AB32" s="440"/>
      <c r="AC32" s="447"/>
      <c r="AD32" s="447"/>
      <c r="AE32" s="447"/>
      <c r="AF32" s="447"/>
      <c r="AG32" s="447"/>
      <c r="AH32" s="447"/>
      <c r="AI32" s="256"/>
    </row>
    <row r="33" spans="1:35" ht="10.5" customHeight="1" x14ac:dyDescent="0.25">
      <c r="A33" s="442" t="s">
        <v>342</v>
      </c>
      <c r="B33" s="442"/>
      <c r="C33" s="442"/>
      <c r="D33" s="442"/>
      <c r="E33" s="442"/>
      <c r="F33" s="442"/>
      <c r="G33" s="440">
        <v>2.6503264412856242</v>
      </c>
      <c r="H33" s="440"/>
      <c r="I33" s="440">
        <v>4.965067064575801</v>
      </c>
      <c r="J33" s="440"/>
      <c r="K33" s="440">
        <v>4.4883521034497109</v>
      </c>
      <c r="L33" s="440"/>
      <c r="M33" s="440">
        <v>3.0839706177361315</v>
      </c>
      <c r="N33" s="440"/>
      <c r="O33" s="440">
        <v>4.1082382905113235</v>
      </c>
      <c r="P33" s="440"/>
      <c r="Q33" s="440">
        <v>7.9169232747051348</v>
      </c>
      <c r="R33" s="440"/>
      <c r="S33" s="440">
        <v>2.7220868833344016</v>
      </c>
      <c r="T33" s="440"/>
      <c r="U33" s="440">
        <v>1.1640465976439374</v>
      </c>
      <c r="V33" s="440"/>
      <c r="W33" s="440">
        <v>2.6105921263060146</v>
      </c>
      <c r="X33" s="440"/>
      <c r="Y33" s="440">
        <v>2.5070533492661542</v>
      </c>
      <c r="Z33" s="440"/>
      <c r="AA33" s="440">
        <v>1.5837362137734388</v>
      </c>
      <c r="AB33" s="440"/>
      <c r="AC33" s="447"/>
      <c r="AD33" s="447"/>
      <c r="AE33" s="447"/>
      <c r="AF33" s="447"/>
      <c r="AG33" s="447"/>
      <c r="AH33" s="447"/>
      <c r="AI33" s="256"/>
    </row>
    <row r="34" spans="1:35" ht="10.5" customHeight="1" x14ac:dyDescent="0.25">
      <c r="A34" s="442" t="s">
        <v>306</v>
      </c>
      <c r="B34" s="442"/>
      <c r="C34" s="442"/>
      <c r="D34" s="442"/>
      <c r="E34" s="442"/>
      <c r="F34" s="442"/>
      <c r="G34" s="440">
        <v>0.86866099113325401</v>
      </c>
      <c r="H34" s="440"/>
      <c r="I34" s="440">
        <v>7.4179307809778328</v>
      </c>
      <c r="J34" s="440"/>
      <c r="K34" s="440">
        <v>8.3670448265526609</v>
      </c>
      <c r="L34" s="440"/>
      <c r="M34" s="440">
        <v>5.6305164942922037</v>
      </c>
      <c r="N34" s="440"/>
      <c r="O34" s="440">
        <v>1.6024930208915003</v>
      </c>
      <c r="P34" s="440"/>
      <c r="Q34" s="440">
        <v>3.9419553973865011</v>
      </c>
      <c r="R34" s="440"/>
      <c r="S34" s="440">
        <v>0.76642304776837422</v>
      </c>
      <c r="T34" s="440"/>
      <c r="U34" s="440">
        <v>1.3853513642716708</v>
      </c>
      <c r="V34" s="440"/>
      <c r="W34" s="440">
        <v>3.9659144711266996</v>
      </c>
      <c r="X34" s="440"/>
      <c r="Y34" s="440">
        <v>2.1536702027843031</v>
      </c>
      <c r="Z34" s="440"/>
      <c r="AA34" s="440">
        <v>0.44874509210608371</v>
      </c>
      <c r="AB34" s="440"/>
      <c r="AC34" s="447"/>
      <c r="AD34" s="447"/>
      <c r="AE34" s="447"/>
      <c r="AF34" s="447"/>
      <c r="AG34" s="447"/>
      <c r="AH34" s="447"/>
      <c r="AI34" s="256"/>
    </row>
    <row r="35" spans="1:35" ht="10.5" customHeight="1" x14ac:dyDescent="0.25">
      <c r="A35" s="442" t="s">
        <v>345</v>
      </c>
      <c r="B35" s="442"/>
      <c r="C35" s="442"/>
      <c r="D35" s="442"/>
      <c r="E35" s="442"/>
      <c r="F35" s="442"/>
      <c r="G35" s="440">
        <v>5.4899402093362788</v>
      </c>
      <c r="H35" s="440"/>
      <c r="I35" s="440">
        <v>9.0678231322512293</v>
      </c>
      <c r="J35" s="440"/>
      <c r="K35" s="440">
        <v>8.1055211254339454</v>
      </c>
      <c r="L35" s="440"/>
      <c r="M35" s="440">
        <v>5.1141843904699114</v>
      </c>
      <c r="N35" s="440"/>
      <c r="O35" s="440">
        <v>9.2887045397875116</v>
      </c>
      <c r="P35" s="440"/>
      <c r="Q35" s="440">
        <v>13.261482983365591</v>
      </c>
      <c r="R35" s="440"/>
      <c r="S35" s="440">
        <v>8.0211998524535915</v>
      </c>
      <c r="T35" s="440"/>
      <c r="U35" s="440">
        <v>1.2705789129085776</v>
      </c>
      <c r="V35" s="440"/>
      <c r="W35" s="440">
        <v>2.111088475260992</v>
      </c>
      <c r="X35" s="440"/>
      <c r="Y35" s="440">
        <v>3.5664216273126561</v>
      </c>
      <c r="Z35" s="440"/>
      <c r="AA35" s="440">
        <v>8.1337644617462139</v>
      </c>
      <c r="AB35" s="440"/>
      <c r="AC35" s="447"/>
      <c r="AD35" s="447"/>
      <c r="AE35" s="447"/>
      <c r="AF35" s="447"/>
      <c r="AG35" s="447"/>
      <c r="AH35" s="447"/>
      <c r="AI35" s="256"/>
    </row>
    <row r="36" spans="1:35" ht="10.5" customHeight="1" x14ac:dyDescent="0.25">
      <c r="A36" s="449" t="s">
        <v>315</v>
      </c>
      <c r="B36" s="442"/>
      <c r="C36" s="442"/>
      <c r="D36" s="442"/>
      <c r="E36" s="442"/>
      <c r="F36" s="442"/>
      <c r="G36" s="448">
        <v>29.910413520474709</v>
      </c>
      <c r="H36" s="440"/>
      <c r="I36" s="448">
        <v>2.8191769950907108</v>
      </c>
      <c r="J36" s="440"/>
      <c r="K36" s="448">
        <v>0.43733416309822415</v>
      </c>
      <c r="L36" s="440"/>
      <c r="M36" s="448">
        <v>6.4970295377808629E-2</v>
      </c>
      <c r="N36" s="440"/>
      <c r="O36" s="448">
        <v>23.408816309324905</v>
      </c>
      <c r="P36" s="440"/>
      <c r="Q36" s="448">
        <v>4.7744053189444582</v>
      </c>
      <c r="R36" s="440"/>
      <c r="S36" s="448">
        <v>29.906161524189269</v>
      </c>
      <c r="T36" s="440"/>
      <c r="U36" s="448">
        <v>0.58772091420490524</v>
      </c>
      <c r="V36" s="440"/>
      <c r="W36" s="448">
        <v>0.13950148318753869</v>
      </c>
      <c r="X36" s="440"/>
      <c r="Y36" s="448">
        <v>2.4406146819067112</v>
      </c>
      <c r="Z36" s="440"/>
      <c r="AA36" s="448">
        <v>35.043116094677835</v>
      </c>
      <c r="AB36" s="440"/>
      <c r="AC36" s="447"/>
      <c r="AD36" s="447"/>
      <c r="AE36" s="447"/>
      <c r="AF36" s="447"/>
      <c r="AG36" s="447"/>
      <c r="AH36" s="447"/>
      <c r="AI36" s="256"/>
    </row>
    <row r="37" spans="1:35" ht="10.5" customHeight="1" x14ac:dyDescent="0.25">
      <c r="A37" s="442" t="s">
        <v>328</v>
      </c>
      <c r="B37" s="442"/>
      <c r="C37" s="442"/>
      <c r="D37" s="442"/>
      <c r="E37" s="442"/>
      <c r="F37" s="442"/>
      <c r="G37" s="440">
        <v>5.0884559134344611</v>
      </c>
      <c r="H37" s="440"/>
      <c r="I37" s="440">
        <v>2.9313840605035502</v>
      </c>
      <c r="J37" s="440"/>
      <c r="K37" s="440">
        <v>0.78851122682890296</v>
      </c>
      <c r="L37" s="440"/>
      <c r="M37" s="440">
        <v>0.48237991986409545</v>
      </c>
      <c r="N37" s="440"/>
      <c r="O37" s="440">
        <v>2.7960348414088805</v>
      </c>
      <c r="P37" s="440"/>
      <c r="Q37" s="440">
        <v>-1.0718946273533785</v>
      </c>
      <c r="R37" s="440"/>
      <c r="S37" s="440">
        <v>4.0326767293305466</v>
      </c>
      <c r="T37" s="440"/>
      <c r="U37" s="440">
        <v>0.412639379582385</v>
      </c>
      <c r="V37" s="440"/>
      <c r="W37" s="440">
        <v>-0.18409756111793116</v>
      </c>
      <c r="X37" s="440"/>
      <c r="Y37" s="440">
        <v>1.9344983125619279</v>
      </c>
      <c r="Z37" s="440"/>
      <c r="AA37" s="440">
        <v>4.895561280723232</v>
      </c>
      <c r="AB37" s="440"/>
      <c r="AC37" s="447"/>
      <c r="AD37" s="447"/>
      <c r="AE37" s="447"/>
      <c r="AF37" s="447"/>
      <c r="AG37" s="447"/>
      <c r="AH37" s="447"/>
      <c r="AI37" s="256"/>
    </row>
    <row r="38" spans="1:35" ht="10.5" customHeight="1" x14ac:dyDescent="0.25">
      <c r="A38" s="442" t="s">
        <v>331</v>
      </c>
      <c r="B38" s="442"/>
      <c r="C38" s="442"/>
      <c r="D38" s="442"/>
      <c r="E38" s="442"/>
      <c r="F38" s="442"/>
      <c r="G38" s="440">
        <v>1.9781361566591196</v>
      </c>
      <c r="H38" s="440"/>
      <c r="I38" s="440">
        <v>7.2772998837533187</v>
      </c>
      <c r="J38" s="440"/>
      <c r="K38" s="440">
        <v>4.931014472059136</v>
      </c>
      <c r="L38" s="440"/>
      <c r="M38" s="440">
        <v>3.1093604323758073</v>
      </c>
      <c r="N38" s="440"/>
      <c r="O38" s="440">
        <v>3.5968452643582669</v>
      </c>
      <c r="P38" s="440"/>
      <c r="Q38" s="440">
        <v>5.0199836889153575</v>
      </c>
      <c r="R38" s="440"/>
      <c r="S38" s="440">
        <v>3.1043284106614486</v>
      </c>
      <c r="T38" s="440"/>
      <c r="U38" s="440">
        <v>1.3654622025908845</v>
      </c>
      <c r="V38" s="440"/>
      <c r="W38" s="440">
        <v>2.2178291229613043</v>
      </c>
      <c r="X38" s="440"/>
      <c r="Y38" s="440">
        <v>3.8306497142769138</v>
      </c>
      <c r="Z38" s="440"/>
      <c r="AA38" s="440">
        <v>3.5880296660212845</v>
      </c>
      <c r="AB38" s="440"/>
      <c r="AC38" s="447"/>
      <c r="AD38" s="447"/>
      <c r="AE38" s="447"/>
      <c r="AF38" s="447"/>
      <c r="AG38" s="447"/>
      <c r="AH38" s="447"/>
      <c r="AI38" s="256"/>
    </row>
    <row r="39" spans="1:35" ht="10.5" customHeight="1" x14ac:dyDescent="0.25">
      <c r="A39" s="442" t="s">
        <v>311</v>
      </c>
      <c r="B39" s="442"/>
      <c r="C39" s="442"/>
      <c r="D39" s="442"/>
      <c r="E39" s="442"/>
      <c r="F39" s="442"/>
      <c r="G39" s="440">
        <v>9.3802814854689185</v>
      </c>
      <c r="H39" s="440"/>
      <c r="I39" s="440">
        <v>3.7708930219102266</v>
      </c>
      <c r="J39" s="440"/>
      <c r="K39" s="440">
        <v>0.48750976905702625</v>
      </c>
      <c r="L39" s="440"/>
      <c r="M39" s="440">
        <v>0.14986527111693349</v>
      </c>
      <c r="N39" s="440"/>
      <c r="O39" s="440">
        <v>5.5487737727082846</v>
      </c>
      <c r="P39" s="440"/>
      <c r="Q39" s="440">
        <v>-7.0757864472449414</v>
      </c>
      <c r="R39" s="440"/>
      <c r="S39" s="440">
        <v>9.7672503944406657</v>
      </c>
      <c r="T39" s="440"/>
      <c r="U39" s="440">
        <v>0.44421708388188796</v>
      </c>
      <c r="V39" s="440"/>
      <c r="W39" s="440">
        <v>-0.65923582946166093</v>
      </c>
      <c r="X39" s="440"/>
      <c r="Y39" s="440">
        <v>2.5416597574968138</v>
      </c>
      <c r="Z39" s="440"/>
      <c r="AA39" s="440">
        <v>14.257919411432203</v>
      </c>
      <c r="AB39" s="440"/>
      <c r="AC39" s="447"/>
      <c r="AD39" s="447"/>
      <c r="AE39" s="447"/>
      <c r="AF39" s="447"/>
      <c r="AG39" s="447"/>
      <c r="AH39" s="447"/>
      <c r="AI39" s="256"/>
    </row>
    <row r="40" spans="1:35" ht="10.5" customHeight="1" x14ac:dyDescent="0.25">
      <c r="A40" s="442" t="s">
        <v>309</v>
      </c>
      <c r="B40" s="442"/>
      <c r="C40" s="442"/>
      <c r="D40" s="442"/>
      <c r="E40" s="442"/>
      <c r="F40" s="442"/>
      <c r="G40" s="440">
        <v>1.9130169420027179</v>
      </c>
      <c r="H40" s="440"/>
      <c r="I40" s="440">
        <v>10.993401656113178</v>
      </c>
      <c r="J40" s="440"/>
      <c r="K40" s="440">
        <v>2.6308364697053221</v>
      </c>
      <c r="L40" s="440"/>
      <c r="M40" s="440">
        <v>2.0295883986626406</v>
      </c>
      <c r="N40" s="440"/>
      <c r="O40" s="440">
        <v>0.51031425781855022</v>
      </c>
      <c r="P40" s="440"/>
      <c r="Q40" s="440">
        <v>-4.9577198765206525</v>
      </c>
      <c r="R40" s="440"/>
      <c r="S40" s="440">
        <v>2.6406144756086971</v>
      </c>
      <c r="T40" s="440"/>
      <c r="U40" s="440">
        <v>0.20032400543548382</v>
      </c>
      <c r="V40" s="440"/>
      <c r="W40" s="440">
        <v>-2.264879627312316</v>
      </c>
      <c r="X40" s="440"/>
      <c r="Y40" s="440">
        <v>3.3693579049059874</v>
      </c>
      <c r="Z40" s="440"/>
      <c r="AA40" s="440">
        <v>2.6393618840441597</v>
      </c>
      <c r="AB40" s="440"/>
      <c r="AC40" s="447"/>
      <c r="AD40" s="447"/>
      <c r="AE40" s="447"/>
      <c r="AF40" s="447"/>
      <c r="AG40" s="447"/>
      <c r="AH40" s="447"/>
      <c r="AI40" s="256"/>
    </row>
    <row r="41" spans="1:35" ht="10.5" customHeight="1" x14ac:dyDescent="0.25">
      <c r="A41" s="442" t="s">
        <v>334</v>
      </c>
      <c r="B41" s="442"/>
      <c r="C41" s="442"/>
      <c r="D41" s="442"/>
      <c r="E41" s="442"/>
      <c r="F41" s="442"/>
      <c r="G41" s="440">
        <v>7.9690284301623793</v>
      </c>
      <c r="H41" s="440"/>
      <c r="I41" s="440">
        <v>2.2611581261179348</v>
      </c>
      <c r="J41" s="440"/>
      <c r="K41" s="440">
        <v>1.0260205159563607</v>
      </c>
      <c r="L41" s="440"/>
      <c r="M41" s="440">
        <v>0.54199297716149841</v>
      </c>
      <c r="N41" s="440"/>
      <c r="O41" s="440">
        <v>3.5949209756822418</v>
      </c>
      <c r="P41" s="440"/>
      <c r="Q41" s="440">
        <v>1.4674244042017675</v>
      </c>
      <c r="R41" s="440"/>
      <c r="S41" s="440">
        <v>4.3730822650611465</v>
      </c>
      <c r="T41" s="440"/>
      <c r="U41" s="440">
        <v>0.33876464644349297</v>
      </c>
      <c r="V41" s="440"/>
      <c r="W41" s="440">
        <v>0.16092826100120697</v>
      </c>
      <c r="X41" s="440"/>
      <c r="Y41" s="440">
        <v>1.3395015893328883</v>
      </c>
      <c r="Z41" s="440"/>
      <c r="AA41" s="440">
        <v>6.0516123493410134</v>
      </c>
      <c r="AB41" s="440"/>
      <c r="AC41" s="447"/>
      <c r="AD41" s="447"/>
      <c r="AE41" s="447"/>
      <c r="AF41" s="447"/>
      <c r="AG41" s="447"/>
      <c r="AH41" s="447"/>
      <c r="AI41" s="256"/>
    </row>
    <row r="42" spans="1:35" ht="10.5" customHeight="1" x14ac:dyDescent="0.25">
      <c r="A42" s="442" t="s">
        <v>349</v>
      </c>
      <c r="B42" s="442"/>
      <c r="C42" s="442"/>
      <c r="D42" s="442"/>
      <c r="E42" s="442"/>
      <c r="F42" s="442"/>
      <c r="G42" s="440">
        <v>3.5814945927471151</v>
      </c>
      <c r="H42" s="440"/>
      <c r="I42" s="440">
        <v>5.3137176795341912</v>
      </c>
      <c r="J42" s="440"/>
      <c r="K42" s="440">
        <v>3.4169140000583909</v>
      </c>
      <c r="L42" s="440"/>
      <c r="M42" s="440">
        <v>2.0442512877938523</v>
      </c>
      <c r="N42" s="440"/>
      <c r="O42" s="440">
        <v>7.3619271973486518</v>
      </c>
      <c r="P42" s="440"/>
      <c r="Q42" s="440">
        <v>11.392398176958878</v>
      </c>
      <c r="R42" s="440"/>
      <c r="S42" s="440">
        <v>5.988209249087836</v>
      </c>
      <c r="T42" s="440"/>
      <c r="U42" s="440">
        <v>1.5436233081717392</v>
      </c>
      <c r="V42" s="440"/>
      <c r="W42" s="440">
        <v>2.7799232957931466</v>
      </c>
      <c r="X42" s="440"/>
      <c r="Y42" s="440">
        <v>4.0812540549906284</v>
      </c>
      <c r="Z42" s="440"/>
      <c r="AA42" s="440">
        <v>3.6106315031666507</v>
      </c>
      <c r="AB42" s="440"/>
      <c r="AC42" s="447"/>
      <c r="AD42" s="447"/>
      <c r="AE42" s="447"/>
      <c r="AF42" s="447"/>
      <c r="AG42" s="447"/>
      <c r="AH42" s="447"/>
      <c r="AI42" s="256"/>
    </row>
    <row r="43" spans="1:35" ht="10.5" customHeight="1" x14ac:dyDescent="0.25">
      <c r="A43" s="449" t="s">
        <v>316</v>
      </c>
      <c r="B43" s="442"/>
      <c r="C43" s="442"/>
      <c r="D43" s="442"/>
      <c r="E43" s="442"/>
      <c r="F43" s="442"/>
      <c r="G43" s="448">
        <v>19.285614181228112</v>
      </c>
      <c r="H43" s="440"/>
      <c r="I43" s="448">
        <v>2.6842430317382648</v>
      </c>
      <c r="J43" s="440"/>
      <c r="K43" s="448">
        <v>1.0659068284365358</v>
      </c>
      <c r="L43" s="440"/>
      <c r="M43" s="448">
        <v>0.55109764035685682</v>
      </c>
      <c r="N43" s="440"/>
      <c r="O43" s="448">
        <v>13.377017093309526</v>
      </c>
      <c r="P43" s="440"/>
      <c r="Q43" s="448">
        <v>8.0898124116242265</v>
      </c>
      <c r="R43" s="440"/>
      <c r="S43" s="448">
        <v>15.164867257958901</v>
      </c>
      <c r="T43" s="440"/>
      <c r="U43" s="448">
        <v>0.52088268005203409</v>
      </c>
      <c r="V43" s="440"/>
      <c r="W43" s="448">
        <v>0.36659533493995389</v>
      </c>
      <c r="X43" s="440"/>
      <c r="Y43" s="448">
        <v>1.9194026990074271</v>
      </c>
      <c r="Z43" s="440"/>
      <c r="AA43" s="448">
        <v>16.935270300199647</v>
      </c>
      <c r="AB43" s="440"/>
      <c r="AC43" s="447"/>
      <c r="AD43" s="447"/>
      <c r="AE43" s="447"/>
      <c r="AF43" s="447"/>
      <c r="AG43" s="447"/>
      <c r="AH43" s="447"/>
      <c r="AI43" s="256"/>
    </row>
    <row r="44" spans="1:35" ht="10.5" customHeight="1" x14ac:dyDescent="0.25">
      <c r="A44" s="442" t="s">
        <v>324</v>
      </c>
      <c r="B44" s="442"/>
      <c r="C44" s="442"/>
      <c r="D44" s="442"/>
      <c r="E44" s="442"/>
      <c r="F44" s="442"/>
      <c r="G44" s="440">
        <v>0.38382851098378462</v>
      </c>
      <c r="H44" s="440"/>
      <c r="I44" s="440">
        <v>5.5097515758401494</v>
      </c>
      <c r="J44" s="440"/>
      <c r="K44" s="440">
        <v>7.9312234857139678</v>
      </c>
      <c r="L44" s="440"/>
      <c r="M44" s="440">
        <v>6.2419573200654721</v>
      </c>
      <c r="N44" s="440"/>
      <c r="O44" s="440">
        <v>0.34556594002350288</v>
      </c>
      <c r="P44" s="440"/>
      <c r="Q44" s="440">
        <v>0.87266335500103254</v>
      </c>
      <c r="R44" s="440"/>
      <c r="S44" s="440">
        <v>0.13637968814458337</v>
      </c>
      <c r="T44" s="440"/>
      <c r="U44" s="440">
        <v>0.67609513124563136</v>
      </c>
      <c r="V44" s="440"/>
      <c r="W44" s="440">
        <v>1.9869707103934462</v>
      </c>
      <c r="X44" s="440"/>
      <c r="Y44" s="440">
        <v>0.86730814318660321</v>
      </c>
      <c r="Z44" s="440"/>
      <c r="AA44" s="440">
        <v>-0.24213290708209947</v>
      </c>
      <c r="AB44" s="440"/>
      <c r="AC44" s="447"/>
      <c r="AD44" s="447"/>
      <c r="AE44" s="447"/>
      <c r="AF44" s="447"/>
      <c r="AG44" s="447"/>
      <c r="AH44" s="447"/>
      <c r="AI44" s="256"/>
    </row>
    <row r="45" spans="1:35" ht="10.5" customHeight="1" x14ac:dyDescent="0.25">
      <c r="A45" s="442" t="s">
        <v>325</v>
      </c>
      <c r="B45" s="442"/>
      <c r="C45" s="442"/>
      <c r="D45" s="442"/>
      <c r="E45" s="442"/>
      <c r="F45" s="442"/>
      <c r="G45" s="440">
        <v>2.2527338817128491</v>
      </c>
      <c r="H45" s="440"/>
      <c r="I45" s="440">
        <v>2.2502986494086663</v>
      </c>
      <c r="J45" s="440"/>
      <c r="K45" s="440">
        <v>1.2642433646333884</v>
      </c>
      <c r="L45" s="440"/>
      <c r="M45" s="440">
        <v>0.59643531016901896</v>
      </c>
      <c r="N45" s="440"/>
      <c r="O45" s="440">
        <v>1.3085266261212334</v>
      </c>
      <c r="P45" s="440"/>
      <c r="Q45" s="440">
        <v>1.3099146695672548</v>
      </c>
      <c r="R45" s="440"/>
      <c r="S45" s="440">
        <v>1.289262456271294</v>
      </c>
      <c r="T45" s="440"/>
      <c r="U45" s="440">
        <v>0.4362011259307278</v>
      </c>
      <c r="V45" s="440"/>
      <c r="W45" s="440">
        <v>0.50817707819248614</v>
      </c>
      <c r="X45" s="440"/>
      <c r="Y45" s="440">
        <v>1.3969871369322615</v>
      </c>
      <c r="Z45" s="440"/>
      <c r="AA45" s="440">
        <v>1.8349079149752938</v>
      </c>
      <c r="AB45" s="440"/>
      <c r="AC45" s="447"/>
      <c r="AD45" s="447"/>
      <c r="AE45" s="447"/>
      <c r="AF45" s="447"/>
      <c r="AG45" s="447"/>
      <c r="AH45" s="447"/>
      <c r="AI45" s="256"/>
    </row>
    <row r="46" spans="1:35" ht="10.5" customHeight="1" x14ac:dyDescent="0.25">
      <c r="A46" s="442" t="s">
        <v>327</v>
      </c>
      <c r="B46" s="442"/>
      <c r="C46" s="442"/>
      <c r="D46" s="442"/>
      <c r="E46" s="442"/>
      <c r="F46" s="442"/>
      <c r="G46" s="440">
        <v>2.3161392028527477</v>
      </c>
      <c r="H46" s="440"/>
      <c r="I46" s="440">
        <v>7.4303884620403826</v>
      </c>
      <c r="J46" s="440"/>
      <c r="K46" s="440">
        <v>3.4752883508877841</v>
      </c>
      <c r="L46" s="440"/>
      <c r="M46" s="440">
        <v>2.6045395663189863</v>
      </c>
      <c r="N46" s="440"/>
      <c r="O46" s="440">
        <v>2.5245637530078779</v>
      </c>
      <c r="P46" s="440"/>
      <c r="Q46" s="440">
        <v>0.79315571983354283</v>
      </c>
      <c r="R46" s="440"/>
      <c r="S46" s="440">
        <v>3.1458068477975369</v>
      </c>
      <c r="T46" s="440"/>
      <c r="U46" s="440">
        <v>0.81853224784519762</v>
      </c>
      <c r="V46" s="440"/>
      <c r="W46" s="440">
        <v>0.29927866651738322</v>
      </c>
      <c r="X46" s="440"/>
      <c r="Y46" s="440">
        <v>3.3153421735568975</v>
      </c>
      <c r="Z46" s="440"/>
      <c r="AA46" s="440">
        <v>3.0235302568950777</v>
      </c>
      <c r="AB46" s="440"/>
      <c r="AC46" s="447"/>
      <c r="AD46" s="447"/>
      <c r="AE46" s="447"/>
      <c r="AF46" s="447"/>
      <c r="AG46" s="447"/>
      <c r="AH46" s="447"/>
      <c r="AI46" s="256"/>
    </row>
    <row r="47" spans="1:35" ht="10.5" customHeight="1" x14ac:dyDescent="0.25">
      <c r="A47" s="442" t="s">
        <v>340</v>
      </c>
      <c r="B47" s="442"/>
      <c r="C47" s="442"/>
      <c r="D47" s="442"/>
      <c r="E47" s="442"/>
      <c r="F47" s="442"/>
      <c r="G47" s="440">
        <v>0.70577308237002512</v>
      </c>
      <c r="H47" s="440"/>
      <c r="I47" s="440">
        <v>4.0287762480508027</v>
      </c>
      <c r="J47" s="440"/>
      <c r="K47" s="440">
        <v>4.7464735234768902</v>
      </c>
      <c r="L47" s="440"/>
      <c r="M47" s="440">
        <v>3.1405757189947203</v>
      </c>
      <c r="N47" s="440"/>
      <c r="O47" s="440">
        <v>0.25348232300789136</v>
      </c>
      <c r="P47" s="440"/>
      <c r="Q47" s="440">
        <v>0.3368264338216162</v>
      </c>
      <c r="R47" s="440"/>
      <c r="S47" s="440">
        <v>0.22717667692601945</v>
      </c>
      <c r="T47" s="440"/>
      <c r="U47" s="440">
        <v>0.26970978132508283</v>
      </c>
      <c r="V47" s="440"/>
      <c r="W47" s="440">
        <v>0.41708352334018872</v>
      </c>
      <c r="X47" s="440"/>
      <c r="Y47" s="440">
        <v>0.78570517579176968</v>
      </c>
      <c r="Z47" s="440"/>
      <c r="AA47" s="440">
        <v>7.2403093841330424E-2</v>
      </c>
      <c r="AB47" s="440"/>
      <c r="AC47" s="447"/>
      <c r="AD47" s="447"/>
      <c r="AE47" s="447"/>
      <c r="AF47" s="447"/>
      <c r="AG47" s="447"/>
      <c r="AH47" s="447"/>
      <c r="AI47" s="256"/>
    </row>
    <row r="48" spans="1:35" ht="10.5" customHeight="1" x14ac:dyDescent="0.25">
      <c r="A48" s="442" t="s">
        <v>343</v>
      </c>
      <c r="B48" s="442"/>
      <c r="C48" s="442"/>
      <c r="D48" s="442"/>
      <c r="E48" s="442"/>
      <c r="F48" s="442"/>
      <c r="G48" s="440">
        <v>3.7762458905684366</v>
      </c>
      <c r="H48" s="440"/>
      <c r="I48" s="440">
        <v>7.07482149398313</v>
      </c>
      <c r="J48" s="440"/>
      <c r="K48" s="440">
        <v>4.4918695665710162</v>
      </c>
      <c r="L48" s="440"/>
      <c r="M48" s="440">
        <v>3.2593904097032889</v>
      </c>
      <c r="N48" s="440"/>
      <c r="O48" s="440">
        <v>2.6448898437067108</v>
      </c>
      <c r="P48" s="440"/>
      <c r="Q48" s="440">
        <v>0.95403144294634068</v>
      </c>
      <c r="R48" s="440"/>
      <c r="S48" s="440">
        <v>3.3372762721579425</v>
      </c>
      <c r="T48" s="440"/>
      <c r="U48" s="440">
        <v>0.52597055535524118</v>
      </c>
      <c r="V48" s="440"/>
      <c r="W48" s="440">
        <v>0.22079253197842122</v>
      </c>
      <c r="X48" s="440"/>
      <c r="Y48" s="440">
        <v>2.1572121476014914</v>
      </c>
      <c r="Z48" s="440"/>
      <c r="AA48" s="440">
        <v>3.280469383471857</v>
      </c>
      <c r="AB48" s="440"/>
      <c r="AC48" s="447"/>
      <c r="AD48" s="447"/>
      <c r="AE48" s="447"/>
      <c r="AF48" s="447"/>
      <c r="AG48" s="447"/>
      <c r="AH48" s="447"/>
      <c r="AI48" s="256"/>
    </row>
    <row r="49" spans="1:35" ht="10.5" customHeight="1" x14ac:dyDescent="0.25">
      <c r="A49" s="442" t="s">
        <v>344</v>
      </c>
      <c r="B49" s="442"/>
      <c r="C49" s="442"/>
      <c r="D49" s="442"/>
      <c r="E49" s="442"/>
      <c r="F49" s="442"/>
      <c r="G49" s="440">
        <v>2.4542567512496194</v>
      </c>
      <c r="H49" s="440"/>
      <c r="I49" s="440">
        <v>2.0163229893343626</v>
      </c>
      <c r="J49" s="440"/>
      <c r="K49" s="440">
        <v>1.6689175659118316</v>
      </c>
      <c r="L49" s="440"/>
      <c r="M49" s="440">
        <v>0.90335399250713877</v>
      </c>
      <c r="N49" s="440"/>
      <c r="O49" s="440">
        <v>0.26872506595206191</v>
      </c>
      <c r="P49" s="440"/>
      <c r="Q49" s="440">
        <v>-0.5382587975228198</v>
      </c>
      <c r="R49" s="440"/>
      <c r="S49" s="440">
        <v>0.55649157969454932</v>
      </c>
      <c r="T49" s="440"/>
      <c r="U49" s="440">
        <v>8.222469910602935E-2</v>
      </c>
      <c r="V49" s="440"/>
      <c r="W49" s="440">
        <v>-0.19166953958387264</v>
      </c>
      <c r="X49" s="440"/>
      <c r="Y49" s="440">
        <v>0.55347698341341012</v>
      </c>
      <c r="Z49" s="440"/>
      <c r="AA49" s="440">
        <v>1.2363597292834982</v>
      </c>
      <c r="AB49" s="440"/>
      <c r="AC49" s="447"/>
      <c r="AD49" s="447"/>
      <c r="AE49" s="447"/>
      <c r="AF49" s="447"/>
      <c r="AG49" s="447"/>
      <c r="AH49" s="447"/>
      <c r="AI49" s="256"/>
    </row>
    <row r="50" spans="1:35" ht="10.5" customHeight="1" x14ac:dyDescent="0.25">
      <c r="A50" s="442" t="s">
        <v>347</v>
      </c>
      <c r="B50" s="442"/>
      <c r="C50" s="442"/>
      <c r="D50" s="442"/>
      <c r="E50" s="442"/>
      <c r="F50" s="442"/>
      <c r="G50" s="440">
        <v>3.5329347545007139</v>
      </c>
      <c r="H50" s="440"/>
      <c r="I50" s="440">
        <v>5.0908022914898821</v>
      </c>
      <c r="J50" s="440"/>
      <c r="K50" s="440">
        <v>3.2971003679545086</v>
      </c>
      <c r="L50" s="440"/>
      <c r="M50" s="440">
        <v>1.9155632829618296</v>
      </c>
      <c r="N50" s="440"/>
      <c r="O50" s="440">
        <v>1.8873319114398663</v>
      </c>
      <c r="P50" s="440"/>
      <c r="Q50" s="440">
        <v>-0.86672468950971437</v>
      </c>
      <c r="R50" s="440"/>
      <c r="S50" s="440">
        <v>2.834087126669508</v>
      </c>
      <c r="T50" s="440"/>
      <c r="U50" s="440">
        <v>0.40116845431613923</v>
      </c>
      <c r="V50" s="440"/>
      <c r="W50" s="440">
        <v>-0.21440134630106125</v>
      </c>
      <c r="X50" s="440"/>
      <c r="Y50" s="440">
        <v>1.9581165700782517</v>
      </c>
      <c r="Z50" s="440"/>
      <c r="AA50" s="440">
        <v>4.6061412149235172</v>
      </c>
      <c r="AB50" s="440"/>
      <c r="AC50" s="447"/>
      <c r="AD50" s="447"/>
      <c r="AE50" s="447"/>
      <c r="AF50" s="447"/>
      <c r="AG50" s="447"/>
      <c r="AH50" s="447"/>
      <c r="AI50" s="256"/>
    </row>
    <row r="51" spans="1:35" ht="10.5" customHeight="1" x14ac:dyDescent="0.25">
      <c r="A51" s="442" t="s">
        <v>348</v>
      </c>
      <c r="B51" s="442"/>
      <c r="C51" s="442"/>
      <c r="D51" s="442"/>
      <c r="E51" s="442"/>
      <c r="F51" s="442"/>
      <c r="G51" s="440">
        <v>3.8637021069899324</v>
      </c>
      <c r="H51" s="440"/>
      <c r="I51" s="440">
        <v>4.6937614431678654</v>
      </c>
      <c r="J51" s="440"/>
      <c r="K51" s="440">
        <v>3.8178726244337602</v>
      </c>
      <c r="L51" s="440"/>
      <c r="M51" s="440">
        <v>2.5721663440996134</v>
      </c>
      <c r="N51" s="440"/>
      <c r="O51" s="440">
        <v>4.1439316300503428</v>
      </c>
      <c r="P51" s="440"/>
      <c r="Q51" s="440">
        <v>5.2282042774751307</v>
      </c>
      <c r="R51" s="440"/>
      <c r="S51" s="440">
        <v>3.6383866102991256</v>
      </c>
      <c r="T51" s="440"/>
      <c r="U51" s="440">
        <v>0.80542119820128499</v>
      </c>
      <c r="V51" s="440"/>
      <c r="W51" s="440">
        <v>1.1825809274189345</v>
      </c>
      <c r="X51" s="440"/>
      <c r="Y51" s="440">
        <v>2.29861466009354</v>
      </c>
      <c r="Z51" s="440"/>
      <c r="AA51" s="440">
        <v>3.1235916138820499</v>
      </c>
      <c r="AB51" s="440"/>
      <c r="AC51" s="447"/>
      <c r="AD51" s="447"/>
      <c r="AE51" s="447"/>
      <c r="AF51" s="447"/>
      <c r="AG51" s="447"/>
      <c r="AH51" s="447"/>
      <c r="AI51" s="256"/>
    </row>
    <row r="52" spans="1:35" ht="10.5" customHeight="1" x14ac:dyDescent="0.25">
      <c r="A52" s="449" t="s">
        <v>321</v>
      </c>
      <c r="B52" s="442"/>
      <c r="C52" s="442"/>
      <c r="D52" s="442"/>
      <c r="E52" s="442"/>
      <c r="F52" s="442"/>
      <c r="G52" s="448">
        <v>5.1152413150393441</v>
      </c>
      <c r="H52" s="440"/>
      <c r="I52" s="448">
        <v>3.6461995235417488</v>
      </c>
      <c r="J52" s="440"/>
      <c r="K52" s="448">
        <v>1.8740011939008316</v>
      </c>
      <c r="L52" s="440"/>
      <c r="M52" s="448">
        <v>1.045450080902699</v>
      </c>
      <c r="N52" s="440"/>
      <c r="O52" s="448">
        <v>5.2649619566298806</v>
      </c>
      <c r="P52" s="440"/>
      <c r="Q52" s="448">
        <v>6.0710250111409936</v>
      </c>
      <c r="R52" s="440"/>
      <c r="S52" s="448">
        <v>5.0546397173766469</v>
      </c>
      <c r="T52" s="440"/>
      <c r="U52" s="448">
        <v>0.77293543852788105</v>
      </c>
      <c r="V52" s="440"/>
      <c r="W52" s="448">
        <v>1.0372366468029455</v>
      </c>
      <c r="X52" s="440"/>
      <c r="Y52" s="448">
        <v>2.4120429739152387</v>
      </c>
      <c r="Z52" s="440"/>
      <c r="AA52" s="448">
        <v>4.9682254444998595</v>
      </c>
      <c r="AB52" s="440"/>
      <c r="AC52" s="447"/>
      <c r="AD52" s="447"/>
      <c r="AE52" s="447"/>
      <c r="AF52" s="447"/>
      <c r="AG52" s="447"/>
      <c r="AH52" s="447"/>
      <c r="AI52" s="256"/>
    </row>
    <row r="53" spans="1:35" ht="10.5" customHeight="1" x14ac:dyDescent="0.25">
      <c r="A53" s="442" t="s">
        <v>313</v>
      </c>
      <c r="B53" s="442"/>
      <c r="C53" s="442"/>
      <c r="D53" s="442"/>
      <c r="E53" s="442"/>
      <c r="F53" s="442"/>
      <c r="G53" s="440">
        <v>1.6485661129035101</v>
      </c>
      <c r="H53" s="440"/>
      <c r="I53" s="440">
        <v>5.1434597471878618</v>
      </c>
      <c r="J53" s="440"/>
      <c r="K53" s="440">
        <v>1.6101734287555347</v>
      </c>
      <c r="L53" s="440"/>
      <c r="M53" s="440">
        <v>1.0811300108306332</v>
      </c>
      <c r="N53" s="440"/>
      <c r="O53" s="440">
        <v>0.69449676031487717</v>
      </c>
      <c r="P53" s="440"/>
      <c r="Q53" s="440">
        <v>-0.97570762184885218</v>
      </c>
      <c r="R53" s="440"/>
      <c r="S53" s="440">
        <v>1.3646659393379772</v>
      </c>
      <c r="T53" s="440"/>
      <c r="U53" s="440">
        <v>0.31635737610865766</v>
      </c>
      <c r="V53" s="440"/>
      <c r="W53" s="440">
        <v>-0.51724379112747854</v>
      </c>
      <c r="X53" s="440"/>
      <c r="Y53" s="440">
        <v>2.0206027787280196</v>
      </c>
      <c r="Z53" s="440"/>
      <c r="AA53" s="440">
        <v>1.7267150678624938</v>
      </c>
      <c r="AB53" s="440"/>
      <c r="AC53" s="447"/>
      <c r="AD53" s="447"/>
      <c r="AE53" s="447"/>
      <c r="AF53" s="447"/>
      <c r="AG53" s="447"/>
      <c r="AH53" s="447"/>
      <c r="AI53" s="256"/>
    </row>
    <row r="54" spans="1:35" ht="10.5" customHeight="1" x14ac:dyDescent="0.25">
      <c r="A54" s="442" t="s">
        <v>338</v>
      </c>
      <c r="B54" s="442"/>
      <c r="C54" s="442"/>
      <c r="D54" s="442"/>
      <c r="E54" s="442"/>
      <c r="F54" s="442"/>
      <c r="G54" s="440">
        <v>3.4666752021358342</v>
      </c>
      <c r="H54" s="440"/>
      <c r="I54" s="440">
        <v>4.0530587372203275</v>
      </c>
      <c r="J54" s="440"/>
      <c r="K54" s="440">
        <v>2.7827868050500637</v>
      </c>
      <c r="L54" s="440"/>
      <c r="M54" s="440">
        <v>1.6243823415429515</v>
      </c>
      <c r="N54" s="440"/>
      <c r="O54" s="440">
        <v>4.5704651963150829</v>
      </c>
      <c r="P54" s="440"/>
      <c r="Q54" s="440">
        <v>7.0467326329868483</v>
      </c>
      <c r="R54" s="440"/>
      <c r="S54" s="440">
        <v>3.6899737780392061</v>
      </c>
      <c r="T54" s="440"/>
      <c r="U54" s="440">
        <v>0.99005965054976119</v>
      </c>
      <c r="V54" s="440"/>
      <c r="W54" s="440">
        <v>1.7764647612689379</v>
      </c>
      <c r="X54" s="440"/>
      <c r="Y54" s="440">
        <v>2.5981910851134589</v>
      </c>
      <c r="Z54" s="440"/>
      <c r="AA54" s="440">
        <v>3.24151037663496</v>
      </c>
      <c r="AB54" s="440"/>
      <c r="AC54" s="447"/>
      <c r="AD54" s="447"/>
      <c r="AE54" s="447"/>
      <c r="AF54" s="447"/>
      <c r="AG54" s="447"/>
      <c r="AH54" s="447"/>
      <c r="AI54" s="256"/>
    </row>
    <row r="55" spans="1:35" ht="10.5" customHeight="1" x14ac:dyDescent="0.25">
      <c r="A55" s="442"/>
      <c r="B55" s="442"/>
      <c r="C55" s="442"/>
      <c r="D55" s="442"/>
      <c r="E55" s="442"/>
      <c r="F55" s="442"/>
      <c r="G55" s="440"/>
      <c r="H55" s="440"/>
      <c r="I55" s="440"/>
      <c r="J55" s="440"/>
      <c r="K55" s="440"/>
      <c r="L55" s="440"/>
      <c r="M55" s="440"/>
      <c r="N55" s="440"/>
      <c r="O55" s="440"/>
      <c r="P55" s="440"/>
      <c r="Q55" s="440"/>
      <c r="R55" s="440"/>
      <c r="S55" s="440"/>
      <c r="T55" s="440"/>
      <c r="U55" s="440"/>
      <c r="V55" s="440"/>
      <c r="W55" s="440"/>
      <c r="X55" s="440"/>
      <c r="Y55" s="440"/>
      <c r="Z55" s="440"/>
      <c r="AA55" s="440"/>
      <c r="AB55" s="440"/>
      <c r="AC55" s="447"/>
      <c r="AD55" s="447"/>
      <c r="AE55" s="447"/>
      <c r="AF55" s="447"/>
      <c r="AG55" s="447"/>
      <c r="AH55" s="447"/>
      <c r="AI55" s="256"/>
    </row>
    <row r="56" spans="1:35" ht="10.5" customHeight="1" x14ac:dyDescent="0.25">
      <c r="A56" s="442"/>
      <c r="B56" s="442"/>
      <c r="C56" s="442"/>
      <c r="D56" s="442"/>
      <c r="E56" s="442"/>
      <c r="F56" s="442"/>
      <c r="G56" s="440"/>
      <c r="H56" s="440"/>
      <c r="I56" s="440"/>
      <c r="J56" s="440"/>
      <c r="K56" s="440"/>
      <c r="L56" s="440"/>
      <c r="M56" s="440"/>
      <c r="N56" s="440"/>
      <c r="O56" s="440"/>
      <c r="P56" s="440"/>
      <c r="Q56" s="440"/>
      <c r="R56" s="440"/>
      <c r="S56" s="440"/>
      <c r="T56" s="440"/>
      <c r="U56" s="440"/>
      <c r="V56" s="440"/>
      <c r="W56" s="440"/>
      <c r="X56" s="440"/>
      <c r="Y56" s="440"/>
      <c r="Z56" s="440"/>
      <c r="AA56" s="440"/>
      <c r="AB56" s="440"/>
      <c r="AC56" s="447"/>
      <c r="AD56" s="447"/>
      <c r="AE56" s="447"/>
      <c r="AF56" s="447"/>
      <c r="AG56" s="447"/>
      <c r="AH56" s="447"/>
      <c r="AI56" s="256"/>
    </row>
    <row r="57" spans="1:35" ht="10.5" customHeight="1" x14ac:dyDescent="0.25">
      <c r="A57" s="442"/>
      <c r="B57" s="442"/>
      <c r="C57" s="442"/>
      <c r="D57" s="442"/>
      <c r="E57" s="442"/>
      <c r="F57" s="442"/>
      <c r="G57" s="440"/>
      <c r="H57" s="440"/>
      <c r="I57" s="440"/>
      <c r="J57" s="440"/>
      <c r="K57" s="440"/>
      <c r="L57" s="440"/>
      <c r="M57" s="440"/>
      <c r="N57" s="440"/>
      <c r="O57" s="440"/>
      <c r="P57" s="440"/>
      <c r="Q57" s="440"/>
      <c r="R57" s="440"/>
      <c r="S57" s="440"/>
      <c r="T57" s="440"/>
      <c r="U57" s="440"/>
      <c r="V57" s="440"/>
      <c r="W57" s="440"/>
      <c r="X57" s="440"/>
      <c r="Y57" s="440"/>
      <c r="Z57" s="440"/>
      <c r="AA57" s="440"/>
      <c r="AB57" s="440"/>
      <c r="AC57" s="447"/>
      <c r="AD57" s="447"/>
      <c r="AE57" s="447"/>
      <c r="AF57" s="447"/>
      <c r="AG57" s="447"/>
      <c r="AH57" s="447"/>
      <c r="AI57" s="256"/>
    </row>
    <row r="58" spans="1:35" ht="10.5" customHeight="1" x14ac:dyDescent="0.25">
      <c r="A58" s="442"/>
      <c r="B58" s="442"/>
      <c r="C58" s="442"/>
      <c r="D58" s="442"/>
      <c r="E58" s="442"/>
      <c r="F58" s="442"/>
      <c r="G58" s="440"/>
      <c r="H58" s="440"/>
      <c r="I58" s="440"/>
      <c r="J58" s="440"/>
      <c r="K58" s="440"/>
      <c r="L58" s="440"/>
      <c r="M58" s="440"/>
      <c r="N58" s="440"/>
      <c r="O58" s="440"/>
      <c r="P58" s="440"/>
      <c r="Q58" s="440"/>
      <c r="R58" s="440"/>
      <c r="S58" s="440"/>
      <c r="T58" s="440"/>
      <c r="U58" s="440"/>
      <c r="V58" s="440"/>
      <c r="W58" s="440"/>
      <c r="X58" s="440"/>
      <c r="Y58" s="440"/>
      <c r="Z58" s="440"/>
      <c r="AA58" s="440"/>
      <c r="AB58" s="440"/>
      <c r="AC58" s="447"/>
      <c r="AD58" s="447"/>
      <c r="AE58" s="447"/>
      <c r="AF58" s="447"/>
      <c r="AG58" s="447"/>
      <c r="AH58" s="447"/>
      <c r="AI58" s="256"/>
    </row>
    <row r="59" spans="1:35" ht="10.5" customHeight="1" x14ac:dyDescent="0.25">
      <c r="A59" s="442"/>
      <c r="B59" s="442"/>
      <c r="C59" s="442"/>
      <c r="D59" s="442"/>
      <c r="E59" s="442"/>
      <c r="F59" s="442"/>
      <c r="G59" s="440"/>
      <c r="H59" s="440"/>
      <c r="I59" s="440"/>
      <c r="J59" s="440"/>
      <c r="K59" s="440"/>
      <c r="L59" s="440"/>
      <c r="M59" s="440"/>
      <c r="N59" s="440"/>
      <c r="O59" s="440"/>
      <c r="P59" s="440"/>
      <c r="Q59" s="440"/>
      <c r="R59" s="440"/>
      <c r="S59" s="440"/>
      <c r="T59" s="440"/>
      <c r="U59" s="440"/>
      <c r="V59" s="440"/>
      <c r="W59" s="440"/>
      <c r="X59" s="440"/>
      <c r="Y59" s="440"/>
      <c r="Z59" s="440"/>
      <c r="AA59" s="440"/>
      <c r="AB59" s="440"/>
      <c r="AC59" s="447"/>
      <c r="AD59" s="447"/>
      <c r="AE59" s="447"/>
      <c r="AF59" s="447"/>
      <c r="AG59" s="447"/>
      <c r="AH59" s="447"/>
      <c r="AI59" s="256"/>
    </row>
    <row r="60" spans="1:35" ht="10.5" customHeight="1" x14ac:dyDescent="0.25">
      <c r="A60" s="442"/>
      <c r="B60" s="442"/>
      <c r="C60" s="442"/>
      <c r="D60" s="442"/>
      <c r="E60" s="442"/>
      <c r="F60" s="442"/>
      <c r="G60" s="440"/>
      <c r="H60" s="440"/>
      <c r="I60" s="440"/>
      <c r="J60" s="440"/>
      <c r="K60" s="440"/>
      <c r="L60" s="440"/>
      <c r="M60" s="440"/>
      <c r="N60" s="440"/>
      <c r="O60" s="440"/>
      <c r="P60" s="440"/>
      <c r="Q60" s="440"/>
      <c r="R60" s="440"/>
      <c r="S60" s="440"/>
      <c r="T60" s="440"/>
      <c r="U60" s="440"/>
      <c r="V60" s="440"/>
      <c r="W60" s="440"/>
      <c r="X60" s="440"/>
      <c r="Y60" s="440"/>
      <c r="Z60" s="440"/>
      <c r="AA60" s="440"/>
      <c r="AB60" s="440"/>
      <c r="AC60" s="447"/>
      <c r="AD60" s="447"/>
      <c r="AE60" s="447"/>
      <c r="AF60" s="447"/>
      <c r="AG60" s="447"/>
      <c r="AH60" s="447"/>
      <c r="AI60" s="256"/>
    </row>
    <row r="61" spans="1:35" ht="10.5" customHeight="1" x14ac:dyDescent="0.25">
      <c r="A61" s="442"/>
      <c r="B61" s="442"/>
      <c r="C61" s="442"/>
      <c r="D61" s="442"/>
      <c r="E61" s="442"/>
      <c r="F61" s="442"/>
      <c r="G61" s="440"/>
      <c r="H61" s="440"/>
      <c r="I61" s="440"/>
      <c r="J61" s="440"/>
      <c r="K61" s="440"/>
      <c r="L61" s="440"/>
      <c r="M61" s="440"/>
      <c r="N61" s="440"/>
      <c r="O61" s="440"/>
      <c r="P61" s="440"/>
      <c r="Q61" s="440"/>
      <c r="R61" s="440"/>
      <c r="S61" s="440"/>
      <c r="T61" s="440"/>
      <c r="U61" s="440"/>
      <c r="V61" s="440"/>
      <c r="W61" s="440"/>
      <c r="X61" s="440"/>
      <c r="Y61" s="440"/>
      <c r="Z61" s="440"/>
      <c r="AA61" s="440"/>
      <c r="AB61" s="440"/>
      <c r="AC61" s="447"/>
      <c r="AD61" s="447"/>
      <c r="AE61" s="447"/>
      <c r="AF61" s="447"/>
      <c r="AG61" s="447"/>
      <c r="AH61" s="447"/>
      <c r="AI61" s="256"/>
    </row>
    <row r="62" spans="1:35" ht="10.5" customHeight="1" x14ac:dyDescent="0.25">
      <c r="A62" s="442"/>
      <c r="B62" s="442"/>
      <c r="C62" s="442"/>
      <c r="D62" s="442"/>
      <c r="E62" s="442"/>
      <c r="F62" s="442"/>
      <c r="G62" s="440"/>
      <c r="H62" s="440"/>
      <c r="I62" s="440"/>
      <c r="J62" s="440"/>
      <c r="K62" s="440"/>
      <c r="L62" s="440"/>
      <c r="M62" s="440"/>
      <c r="N62" s="440"/>
      <c r="O62" s="440"/>
      <c r="P62" s="440"/>
      <c r="Q62" s="440"/>
      <c r="R62" s="440"/>
      <c r="S62" s="440"/>
      <c r="T62" s="440"/>
      <c r="U62" s="440"/>
      <c r="V62" s="440"/>
      <c r="W62" s="440"/>
      <c r="X62" s="440"/>
      <c r="Y62" s="440"/>
      <c r="Z62" s="440"/>
      <c r="AA62" s="440"/>
      <c r="AB62" s="440"/>
      <c r="AC62" s="447"/>
      <c r="AD62" s="447"/>
      <c r="AE62" s="447"/>
      <c r="AF62" s="447"/>
      <c r="AG62" s="447"/>
      <c r="AH62" s="447"/>
      <c r="AI62" s="256"/>
    </row>
    <row r="63" spans="1:35" ht="10.5" customHeight="1" x14ac:dyDescent="0.25">
      <c r="A63" s="442"/>
      <c r="B63" s="442"/>
      <c r="C63" s="442"/>
      <c r="D63" s="442"/>
      <c r="E63" s="442"/>
      <c r="F63" s="442"/>
      <c r="G63" s="440"/>
      <c r="H63" s="440"/>
      <c r="I63" s="440"/>
      <c r="J63" s="440"/>
      <c r="K63" s="440"/>
      <c r="L63" s="440"/>
      <c r="M63" s="440"/>
      <c r="N63" s="440"/>
      <c r="O63" s="440"/>
      <c r="P63" s="440"/>
      <c r="Q63" s="440"/>
      <c r="R63" s="440"/>
      <c r="S63" s="440"/>
      <c r="T63" s="440"/>
      <c r="U63" s="440"/>
      <c r="V63" s="440"/>
      <c r="W63" s="440"/>
      <c r="X63" s="440"/>
      <c r="Y63" s="440"/>
      <c r="Z63" s="440"/>
      <c r="AA63" s="440"/>
      <c r="AB63" s="440"/>
      <c r="AC63" s="447"/>
      <c r="AD63" s="447"/>
      <c r="AE63" s="447"/>
      <c r="AF63" s="447"/>
      <c r="AG63" s="447"/>
      <c r="AH63" s="447"/>
      <c r="AI63" s="256"/>
    </row>
    <row r="64" spans="1:35" ht="10.5" customHeight="1" x14ac:dyDescent="0.25">
      <c r="A64" s="442"/>
      <c r="B64" s="442"/>
      <c r="C64" s="442"/>
      <c r="D64" s="442"/>
      <c r="E64" s="442"/>
      <c r="F64" s="442"/>
      <c r="G64" s="440"/>
      <c r="H64" s="440"/>
      <c r="I64" s="440"/>
      <c r="J64" s="440"/>
      <c r="K64" s="440"/>
      <c r="L64" s="440"/>
      <c r="M64" s="440"/>
      <c r="N64" s="440"/>
      <c r="O64" s="440"/>
      <c r="P64" s="440"/>
      <c r="Q64" s="440"/>
      <c r="R64" s="440"/>
      <c r="S64" s="440"/>
      <c r="T64" s="440"/>
      <c r="U64" s="440"/>
      <c r="V64" s="440"/>
      <c r="W64" s="440"/>
      <c r="X64" s="440"/>
      <c r="Y64" s="440"/>
      <c r="Z64" s="440"/>
      <c r="AA64" s="440"/>
      <c r="AB64" s="440"/>
      <c r="AC64" s="447"/>
      <c r="AD64" s="447"/>
      <c r="AE64" s="447"/>
      <c r="AF64" s="447"/>
      <c r="AG64" s="447"/>
      <c r="AH64" s="447"/>
      <c r="AI64" s="256"/>
    </row>
    <row r="65" spans="1:35" ht="10.5" customHeight="1" x14ac:dyDescent="0.25">
      <c r="A65" s="442"/>
      <c r="B65" s="442"/>
      <c r="C65" s="442"/>
      <c r="D65" s="442"/>
      <c r="E65" s="442"/>
      <c r="F65" s="442"/>
      <c r="G65" s="440"/>
      <c r="H65" s="440"/>
      <c r="I65" s="440"/>
      <c r="J65" s="440"/>
      <c r="K65" s="440"/>
      <c r="L65" s="440"/>
      <c r="M65" s="440"/>
      <c r="N65" s="440"/>
      <c r="O65" s="440"/>
      <c r="P65" s="440"/>
      <c r="Q65" s="440"/>
      <c r="R65" s="440"/>
      <c r="S65" s="440"/>
      <c r="T65" s="440"/>
      <c r="U65" s="440"/>
      <c r="V65" s="440"/>
      <c r="W65" s="440"/>
      <c r="X65" s="440"/>
      <c r="Y65" s="440"/>
      <c r="Z65" s="440"/>
      <c r="AA65" s="440"/>
      <c r="AB65" s="440"/>
      <c r="AC65" s="447"/>
      <c r="AD65" s="447"/>
      <c r="AE65" s="447"/>
      <c r="AF65" s="447"/>
      <c r="AG65" s="447"/>
      <c r="AH65" s="447"/>
      <c r="AI65" s="256"/>
    </row>
    <row r="66" spans="1:35" ht="10.5" customHeight="1" x14ac:dyDescent="0.25">
      <c r="A66" s="442"/>
      <c r="B66" s="442"/>
      <c r="C66" s="442"/>
      <c r="D66" s="442"/>
      <c r="E66" s="442"/>
      <c r="F66" s="442"/>
      <c r="G66" s="440"/>
      <c r="H66" s="440"/>
      <c r="I66" s="440"/>
      <c r="J66" s="440"/>
      <c r="K66" s="440"/>
      <c r="L66" s="440"/>
      <c r="M66" s="440"/>
      <c r="N66" s="440"/>
      <c r="O66" s="440"/>
      <c r="P66" s="440"/>
      <c r="Q66" s="440"/>
      <c r="R66" s="440"/>
      <c r="S66" s="440"/>
      <c r="T66" s="440"/>
      <c r="U66" s="440"/>
      <c r="V66" s="440"/>
      <c r="W66" s="440"/>
      <c r="X66" s="440"/>
      <c r="Y66" s="440"/>
      <c r="Z66" s="440"/>
      <c r="AA66" s="440"/>
      <c r="AB66" s="440"/>
      <c r="AC66" s="447"/>
      <c r="AD66" s="447"/>
      <c r="AE66" s="447"/>
      <c r="AF66" s="447"/>
      <c r="AG66" s="447"/>
      <c r="AH66" s="447"/>
      <c r="AI66" s="256"/>
    </row>
    <row r="67" spans="1:35" ht="10.5" customHeight="1" x14ac:dyDescent="0.25">
      <c r="A67" s="442"/>
      <c r="B67" s="442"/>
      <c r="C67" s="442"/>
      <c r="D67" s="442"/>
      <c r="E67" s="442"/>
      <c r="F67" s="442"/>
      <c r="G67" s="440"/>
      <c r="H67" s="440"/>
      <c r="I67" s="440"/>
      <c r="J67" s="440"/>
      <c r="K67" s="440"/>
      <c r="L67" s="440"/>
      <c r="M67" s="440"/>
      <c r="N67" s="440"/>
      <c r="O67" s="440"/>
      <c r="P67" s="440"/>
      <c r="Q67" s="440"/>
      <c r="R67" s="440"/>
      <c r="S67" s="440"/>
      <c r="T67" s="440"/>
      <c r="U67" s="440"/>
      <c r="V67" s="440"/>
      <c r="W67" s="440"/>
      <c r="X67" s="440"/>
      <c r="Y67" s="440"/>
      <c r="Z67" s="440"/>
      <c r="AA67" s="440"/>
      <c r="AB67" s="440"/>
      <c r="AC67" s="447"/>
      <c r="AD67" s="447"/>
      <c r="AE67" s="447"/>
      <c r="AF67" s="447"/>
      <c r="AG67" s="447"/>
      <c r="AH67" s="447"/>
      <c r="AI67" s="256"/>
    </row>
    <row r="68" spans="1:35" ht="10.5" customHeight="1" x14ac:dyDescent="0.25">
      <c r="A68" s="442"/>
      <c r="B68" s="442"/>
      <c r="C68" s="442"/>
      <c r="D68" s="442"/>
      <c r="E68" s="442"/>
      <c r="F68" s="442"/>
      <c r="G68" s="440"/>
      <c r="H68" s="440"/>
      <c r="I68" s="440"/>
      <c r="J68" s="440"/>
      <c r="K68" s="440"/>
      <c r="L68" s="440"/>
      <c r="M68" s="440"/>
      <c r="N68" s="440"/>
      <c r="O68" s="440"/>
      <c r="P68" s="440"/>
      <c r="Q68" s="440"/>
      <c r="R68" s="440"/>
      <c r="S68" s="440"/>
      <c r="T68" s="440"/>
      <c r="U68" s="440"/>
      <c r="V68" s="440"/>
      <c r="W68" s="440"/>
      <c r="X68" s="440"/>
      <c r="Y68" s="440"/>
      <c r="Z68" s="440"/>
      <c r="AA68" s="440"/>
      <c r="AB68" s="440"/>
      <c r="AC68" s="447"/>
      <c r="AD68" s="447"/>
      <c r="AE68" s="447"/>
      <c r="AF68" s="447"/>
      <c r="AG68" s="447"/>
      <c r="AH68" s="447"/>
      <c r="AI68" s="256"/>
    </row>
    <row r="69" spans="1:35" ht="10.5" customHeight="1" x14ac:dyDescent="0.25">
      <c r="A69" s="442"/>
      <c r="B69" s="442"/>
      <c r="C69" s="442"/>
      <c r="D69" s="442"/>
      <c r="E69" s="442"/>
      <c r="F69" s="442"/>
      <c r="G69" s="440"/>
      <c r="H69" s="440"/>
      <c r="I69" s="440"/>
      <c r="J69" s="440"/>
      <c r="K69" s="440"/>
      <c r="L69" s="440"/>
      <c r="M69" s="440"/>
      <c r="N69" s="440"/>
      <c r="O69" s="440"/>
      <c r="P69" s="440"/>
      <c r="Q69" s="440"/>
      <c r="R69" s="440"/>
      <c r="S69" s="440"/>
      <c r="T69" s="440"/>
      <c r="U69" s="440"/>
      <c r="V69" s="440"/>
      <c r="W69" s="440"/>
      <c r="X69" s="440"/>
      <c r="Y69" s="440"/>
      <c r="Z69" s="440"/>
      <c r="AA69" s="440"/>
      <c r="AB69" s="440"/>
      <c r="AC69" s="447"/>
      <c r="AD69" s="447"/>
      <c r="AE69" s="447"/>
      <c r="AF69" s="447"/>
      <c r="AG69" s="447"/>
      <c r="AH69" s="447"/>
      <c r="AI69" s="256"/>
    </row>
    <row r="70" spans="1:35" ht="10.5" customHeight="1" x14ac:dyDescent="0.25">
      <c r="A70" s="442"/>
      <c r="B70" s="442"/>
      <c r="C70" s="442"/>
      <c r="D70" s="442"/>
      <c r="E70" s="442"/>
      <c r="F70" s="442"/>
      <c r="G70" s="440"/>
      <c r="H70" s="440"/>
      <c r="I70" s="440"/>
      <c r="J70" s="440"/>
      <c r="K70" s="440"/>
      <c r="L70" s="440"/>
      <c r="M70" s="440"/>
      <c r="N70" s="440"/>
      <c r="O70" s="440"/>
      <c r="P70" s="440"/>
      <c r="Q70" s="440"/>
      <c r="R70" s="440"/>
      <c r="S70" s="440"/>
      <c r="T70" s="440"/>
      <c r="U70" s="440"/>
      <c r="V70" s="440"/>
      <c r="W70" s="440"/>
      <c r="X70" s="440"/>
      <c r="Y70" s="440"/>
      <c r="Z70" s="440"/>
      <c r="AA70" s="440"/>
      <c r="AB70" s="440"/>
      <c r="AC70" s="447"/>
      <c r="AD70" s="447"/>
      <c r="AE70" s="447"/>
      <c r="AF70" s="447"/>
      <c r="AG70" s="447"/>
      <c r="AH70" s="447"/>
      <c r="AI70" s="256"/>
    </row>
    <row r="71" spans="1:35" ht="10.5" customHeight="1" x14ac:dyDescent="0.25">
      <c r="A71" s="442"/>
      <c r="B71" s="442"/>
      <c r="C71" s="442"/>
      <c r="D71" s="442"/>
      <c r="E71" s="442"/>
      <c r="F71" s="442"/>
      <c r="G71" s="440"/>
      <c r="H71" s="440"/>
      <c r="I71" s="440"/>
      <c r="J71" s="440"/>
      <c r="K71" s="440"/>
      <c r="L71" s="440"/>
      <c r="M71" s="440"/>
      <c r="N71" s="440"/>
      <c r="O71" s="440"/>
      <c r="P71" s="440"/>
      <c r="Q71" s="440"/>
      <c r="R71" s="440"/>
      <c r="S71" s="440"/>
      <c r="T71" s="440"/>
      <c r="U71" s="440"/>
      <c r="V71" s="440"/>
      <c r="W71" s="440"/>
      <c r="X71" s="440"/>
      <c r="Y71" s="440"/>
      <c r="Z71" s="440"/>
      <c r="AA71" s="440"/>
      <c r="AB71" s="440"/>
      <c r="AC71" s="447"/>
      <c r="AD71" s="447"/>
      <c r="AE71" s="447"/>
      <c r="AF71" s="447"/>
      <c r="AG71" s="447"/>
      <c r="AH71" s="447"/>
      <c r="AI71" s="256"/>
    </row>
    <row r="72" spans="1:35" ht="10.5" customHeight="1" x14ac:dyDescent="0.25">
      <c r="A72" s="442"/>
      <c r="B72" s="442"/>
      <c r="C72" s="442"/>
      <c r="D72" s="442"/>
      <c r="E72" s="442"/>
      <c r="F72" s="442"/>
      <c r="G72" s="440"/>
      <c r="H72" s="440"/>
      <c r="I72" s="440"/>
      <c r="J72" s="440"/>
      <c r="K72" s="440"/>
      <c r="L72" s="440"/>
      <c r="M72" s="440"/>
      <c r="N72" s="440"/>
      <c r="O72" s="440"/>
      <c r="P72" s="440"/>
      <c r="Q72" s="440"/>
      <c r="R72" s="440"/>
      <c r="S72" s="440"/>
      <c r="T72" s="440"/>
      <c r="U72" s="440"/>
      <c r="V72" s="440"/>
      <c r="W72" s="440"/>
      <c r="X72" s="440"/>
      <c r="Y72" s="440"/>
      <c r="Z72" s="440"/>
      <c r="AA72" s="440"/>
      <c r="AB72" s="440"/>
      <c r="AC72" s="447"/>
      <c r="AD72" s="447"/>
      <c r="AE72" s="447"/>
      <c r="AF72" s="447"/>
      <c r="AG72" s="447"/>
      <c r="AH72" s="447"/>
      <c r="AI72" s="256"/>
    </row>
    <row r="73" spans="1:35" ht="10.5" customHeight="1" x14ac:dyDescent="0.25">
      <c r="A73" s="442"/>
      <c r="B73" s="442"/>
      <c r="C73" s="442"/>
      <c r="D73" s="442"/>
      <c r="E73" s="442"/>
      <c r="F73" s="442"/>
      <c r="G73" s="440"/>
      <c r="H73" s="440"/>
      <c r="I73" s="440"/>
      <c r="J73" s="440"/>
      <c r="K73" s="440"/>
      <c r="L73" s="440"/>
      <c r="M73" s="440"/>
      <c r="N73" s="440"/>
      <c r="O73" s="440"/>
      <c r="P73" s="440"/>
      <c r="Q73" s="440"/>
      <c r="R73" s="440"/>
      <c r="S73" s="440"/>
      <c r="T73" s="440"/>
      <c r="U73" s="440"/>
      <c r="V73" s="440"/>
      <c r="W73" s="440"/>
      <c r="X73" s="440"/>
      <c r="Y73" s="440"/>
      <c r="Z73" s="440"/>
      <c r="AA73" s="440"/>
      <c r="AB73" s="440"/>
      <c r="AC73" s="447"/>
      <c r="AD73" s="447"/>
      <c r="AE73" s="447"/>
      <c r="AF73" s="447"/>
      <c r="AG73" s="447"/>
      <c r="AH73" s="447"/>
      <c r="AI73" s="256"/>
    </row>
    <row r="74" spans="1:35" ht="10.5" customHeight="1" x14ac:dyDescent="0.25">
      <c r="A74" s="442"/>
      <c r="B74" s="442"/>
      <c r="C74" s="442"/>
      <c r="D74" s="442"/>
      <c r="E74" s="442"/>
      <c r="F74" s="442"/>
      <c r="G74" s="440"/>
      <c r="H74" s="440"/>
      <c r="I74" s="440"/>
      <c r="J74" s="440"/>
      <c r="K74" s="440"/>
      <c r="L74" s="440"/>
      <c r="M74" s="440"/>
      <c r="N74" s="440"/>
      <c r="O74" s="440"/>
      <c r="P74" s="440"/>
      <c r="Q74" s="440"/>
      <c r="R74" s="440"/>
      <c r="S74" s="440"/>
      <c r="T74" s="440"/>
      <c r="U74" s="440"/>
      <c r="V74" s="440"/>
      <c r="W74" s="440"/>
      <c r="X74" s="440"/>
      <c r="Y74" s="440"/>
      <c r="Z74" s="440"/>
      <c r="AA74" s="440"/>
      <c r="AB74" s="440"/>
      <c r="AC74" s="447"/>
      <c r="AD74" s="447"/>
      <c r="AE74" s="447"/>
      <c r="AF74" s="447"/>
      <c r="AG74" s="447"/>
      <c r="AH74" s="447"/>
      <c r="AI74" s="256"/>
    </row>
    <row r="75" spans="1:35" ht="10.5" customHeight="1" x14ac:dyDescent="0.25">
      <c r="A75" s="442"/>
      <c r="B75" s="442"/>
      <c r="C75" s="442"/>
      <c r="D75" s="442"/>
      <c r="E75" s="442"/>
      <c r="F75" s="442"/>
      <c r="G75" s="440"/>
      <c r="H75" s="440"/>
      <c r="I75" s="440"/>
      <c r="J75" s="440"/>
      <c r="K75" s="440"/>
      <c r="L75" s="440"/>
      <c r="M75" s="440"/>
      <c r="N75" s="440"/>
      <c r="O75" s="440"/>
      <c r="P75" s="440"/>
      <c r="Q75" s="440"/>
      <c r="R75" s="440"/>
      <c r="S75" s="440"/>
      <c r="T75" s="440"/>
      <c r="U75" s="440"/>
      <c r="V75" s="440"/>
      <c r="W75" s="440"/>
      <c r="X75" s="440"/>
      <c r="Y75" s="440"/>
      <c r="Z75" s="440"/>
      <c r="AA75" s="440"/>
      <c r="AB75" s="440"/>
      <c r="AC75" s="447"/>
      <c r="AD75" s="447"/>
      <c r="AE75" s="447"/>
      <c r="AF75" s="447"/>
      <c r="AG75" s="447"/>
      <c r="AH75" s="447"/>
      <c r="AI75" s="256"/>
    </row>
    <row r="76" spans="1:35" ht="10.5" customHeight="1" x14ac:dyDescent="0.25">
      <c r="A76" s="442"/>
      <c r="B76" s="442"/>
      <c r="C76" s="442"/>
      <c r="D76" s="442"/>
      <c r="E76" s="442"/>
      <c r="F76" s="442"/>
      <c r="G76" s="440"/>
      <c r="H76" s="440"/>
      <c r="I76" s="440"/>
      <c r="J76" s="440"/>
      <c r="K76" s="440"/>
      <c r="L76" s="440"/>
      <c r="M76" s="440"/>
      <c r="N76" s="440"/>
      <c r="O76" s="440"/>
      <c r="P76" s="440"/>
      <c r="Q76" s="440"/>
      <c r="R76" s="440"/>
      <c r="S76" s="440"/>
      <c r="T76" s="440"/>
      <c r="U76" s="440"/>
      <c r="V76" s="440"/>
      <c r="W76" s="440"/>
      <c r="X76" s="440"/>
      <c r="Y76" s="440"/>
      <c r="Z76" s="440"/>
      <c r="AA76" s="440"/>
      <c r="AB76" s="440"/>
      <c r="AC76" s="447"/>
      <c r="AD76" s="447"/>
      <c r="AE76" s="447"/>
      <c r="AF76" s="447"/>
      <c r="AG76" s="447"/>
      <c r="AH76" s="447"/>
      <c r="AI76" s="256"/>
    </row>
    <row r="77" spans="1:35" ht="10.5" customHeight="1" x14ac:dyDescent="0.25">
      <c r="A77" s="442"/>
      <c r="B77" s="442"/>
      <c r="C77" s="442"/>
      <c r="D77" s="442"/>
      <c r="E77" s="442"/>
      <c r="F77" s="442"/>
      <c r="G77" s="440"/>
      <c r="H77" s="440"/>
      <c r="I77" s="440"/>
      <c r="J77" s="440"/>
      <c r="K77" s="440"/>
      <c r="L77" s="440"/>
      <c r="M77" s="440"/>
      <c r="N77" s="440"/>
      <c r="O77" s="440"/>
      <c r="P77" s="440"/>
      <c r="Q77" s="440"/>
      <c r="R77" s="440"/>
      <c r="S77" s="440"/>
      <c r="T77" s="440"/>
      <c r="U77" s="440"/>
      <c r="V77" s="440"/>
      <c r="W77" s="440"/>
      <c r="X77" s="440"/>
      <c r="Y77" s="440"/>
      <c r="Z77" s="440"/>
      <c r="AA77" s="440"/>
      <c r="AB77" s="440"/>
      <c r="AC77" s="447"/>
      <c r="AD77" s="447"/>
      <c r="AE77" s="447"/>
      <c r="AF77" s="447"/>
      <c r="AG77" s="447"/>
      <c r="AH77" s="447"/>
      <c r="AI77" s="256"/>
    </row>
    <row r="78" spans="1:35" ht="10.5" customHeight="1" x14ac:dyDescent="0.25">
      <c r="A78" s="442"/>
      <c r="B78" s="442"/>
      <c r="C78" s="442"/>
      <c r="D78" s="442"/>
      <c r="E78" s="442"/>
      <c r="F78" s="442"/>
      <c r="G78" s="440"/>
      <c r="H78" s="440"/>
      <c r="I78" s="440"/>
      <c r="J78" s="440"/>
      <c r="K78" s="440"/>
      <c r="L78" s="440"/>
      <c r="M78" s="440"/>
      <c r="N78" s="440"/>
      <c r="O78" s="440"/>
      <c r="P78" s="440"/>
      <c r="Q78" s="440"/>
      <c r="R78" s="440"/>
      <c r="S78" s="440"/>
      <c r="T78" s="440"/>
      <c r="U78" s="440"/>
      <c r="V78" s="440"/>
      <c r="W78" s="440"/>
      <c r="X78" s="440"/>
      <c r="Y78" s="440"/>
      <c r="Z78" s="440"/>
      <c r="AA78" s="440"/>
      <c r="AB78" s="440"/>
      <c r="AC78" s="447"/>
      <c r="AD78" s="447"/>
      <c r="AE78" s="447"/>
      <c r="AF78" s="447"/>
      <c r="AG78" s="447"/>
      <c r="AH78" s="447"/>
      <c r="AI78" s="256"/>
    </row>
    <row r="79" spans="1:35" ht="10.5" customHeight="1" x14ac:dyDescent="0.25">
      <c r="A79" s="442"/>
      <c r="B79" s="442"/>
      <c r="C79" s="442"/>
      <c r="D79" s="442"/>
      <c r="E79" s="442"/>
      <c r="F79" s="442"/>
      <c r="G79" s="440"/>
      <c r="H79" s="440"/>
      <c r="I79" s="440"/>
      <c r="J79" s="440"/>
      <c r="K79" s="440"/>
      <c r="L79" s="440"/>
      <c r="M79" s="440"/>
      <c r="N79" s="440"/>
      <c r="O79" s="440"/>
      <c r="P79" s="440"/>
      <c r="Q79" s="440"/>
      <c r="R79" s="440"/>
      <c r="S79" s="440"/>
      <c r="T79" s="440"/>
      <c r="U79" s="440"/>
      <c r="V79" s="440"/>
      <c r="W79" s="440"/>
      <c r="X79" s="440"/>
      <c r="Y79" s="440"/>
      <c r="Z79" s="440"/>
      <c r="AA79" s="440"/>
      <c r="AB79" s="440"/>
      <c r="AC79" s="447"/>
      <c r="AD79" s="447"/>
      <c r="AE79" s="447"/>
      <c r="AF79" s="447"/>
      <c r="AG79" s="447"/>
      <c r="AH79" s="447"/>
      <c r="AI79" s="256"/>
    </row>
    <row r="80" spans="1:35" ht="10.5" customHeight="1" x14ac:dyDescent="0.25">
      <c r="A80" s="442"/>
      <c r="B80" s="442"/>
      <c r="C80" s="442"/>
      <c r="D80" s="442"/>
      <c r="E80" s="442"/>
      <c r="F80" s="442"/>
      <c r="G80" s="440"/>
      <c r="H80" s="440"/>
      <c r="I80" s="440"/>
      <c r="J80" s="440"/>
      <c r="K80" s="440"/>
      <c r="L80" s="440"/>
      <c r="M80" s="440"/>
      <c r="N80" s="440"/>
      <c r="O80" s="440"/>
      <c r="P80" s="440"/>
      <c r="Q80" s="440"/>
      <c r="R80" s="440"/>
      <c r="S80" s="440"/>
      <c r="T80" s="440"/>
      <c r="U80" s="440"/>
      <c r="V80" s="440"/>
      <c r="W80" s="440"/>
      <c r="X80" s="440"/>
      <c r="Y80" s="440"/>
      <c r="Z80" s="440"/>
      <c r="AA80" s="440"/>
      <c r="AB80" s="440"/>
      <c r="AC80" s="447"/>
      <c r="AD80" s="447"/>
      <c r="AE80" s="447"/>
      <c r="AF80" s="447"/>
      <c r="AG80" s="447"/>
      <c r="AH80" s="447"/>
      <c r="AI80" s="256"/>
    </row>
    <row r="81" spans="1:35" ht="10.5" customHeight="1" x14ac:dyDescent="0.25">
      <c r="A81" s="442"/>
      <c r="B81" s="442"/>
      <c r="C81" s="442"/>
      <c r="D81" s="442"/>
      <c r="E81" s="442"/>
      <c r="F81" s="442"/>
      <c r="G81" s="440"/>
      <c r="H81" s="440"/>
      <c r="I81" s="440"/>
      <c r="J81" s="440"/>
      <c r="K81" s="440"/>
      <c r="L81" s="440"/>
      <c r="M81" s="440"/>
      <c r="N81" s="440"/>
      <c r="O81" s="440"/>
      <c r="P81" s="440"/>
      <c r="Q81" s="440"/>
      <c r="R81" s="440"/>
      <c r="S81" s="440"/>
      <c r="T81" s="440"/>
      <c r="U81" s="440"/>
      <c r="V81" s="440"/>
      <c r="W81" s="440"/>
      <c r="X81" s="440"/>
      <c r="Y81" s="440"/>
      <c r="Z81" s="440"/>
      <c r="AA81" s="440"/>
      <c r="AB81" s="440"/>
      <c r="AC81" s="447"/>
      <c r="AD81" s="447"/>
      <c r="AE81" s="447"/>
      <c r="AF81" s="447"/>
      <c r="AG81" s="447"/>
      <c r="AH81" s="447"/>
      <c r="AI81" s="256"/>
    </row>
    <row r="82" spans="1:35" ht="10.5" customHeight="1" x14ac:dyDescent="0.25">
      <c r="A82" s="442"/>
      <c r="B82" s="442"/>
      <c r="C82" s="442"/>
      <c r="D82" s="442"/>
      <c r="E82" s="442"/>
      <c r="F82" s="442"/>
      <c r="G82" s="440"/>
      <c r="H82" s="440"/>
      <c r="I82" s="440"/>
      <c r="J82" s="440"/>
      <c r="K82" s="440"/>
      <c r="L82" s="440"/>
      <c r="M82" s="440"/>
      <c r="N82" s="440"/>
      <c r="O82" s="440"/>
      <c r="P82" s="440"/>
      <c r="Q82" s="440"/>
      <c r="R82" s="440"/>
      <c r="S82" s="440"/>
      <c r="T82" s="440"/>
      <c r="U82" s="440"/>
      <c r="V82" s="440"/>
      <c r="W82" s="440"/>
      <c r="X82" s="440"/>
      <c r="Y82" s="440"/>
      <c r="Z82" s="440"/>
      <c r="AA82" s="440"/>
      <c r="AB82" s="440"/>
      <c r="AC82" s="447"/>
      <c r="AD82" s="447"/>
      <c r="AE82" s="447"/>
      <c r="AF82" s="447"/>
      <c r="AG82" s="447"/>
      <c r="AH82" s="447"/>
      <c r="AI82" s="256"/>
    </row>
    <row r="83" spans="1:35" ht="10.5" customHeight="1" x14ac:dyDescent="0.25">
      <c r="A83" s="442"/>
      <c r="B83" s="442"/>
      <c r="C83" s="442"/>
      <c r="D83" s="442"/>
      <c r="E83" s="442"/>
      <c r="F83" s="442"/>
      <c r="G83" s="440"/>
      <c r="H83" s="440"/>
      <c r="I83" s="440"/>
      <c r="J83" s="440"/>
      <c r="K83" s="440"/>
      <c r="L83" s="440"/>
      <c r="M83" s="440"/>
      <c r="N83" s="440"/>
      <c r="O83" s="440"/>
      <c r="P83" s="440"/>
      <c r="Q83" s="440"/>
      <c r="R83" s="440"/>
      <c r="S83" s="440"/>
      <c r="T83" s="440"/>
      <c r="U83" s="440"/>
      <c r="V83" s="440"/>
      <c r="W83" s="440"/>
      <c r="X83" s="440"/>
      <c r="Y83" s="440"/>
      <c r="Z83" s="440"/>
      <c r="AA83" s="447"/>
      <c r="AB83" s="447"/>
      <c r="AC83" s="447"/>
      <c r="AD83" s="447"/>
      <c r="AE83" s="447"/>
      <c r="AF83" s="447"/>
      <c r="AG83" s="447"/>
      <c r="AH83" s="447"/>
      <c r="AI83" s="256"/>
    </row>
    <row r="84" spans="1:35" ht="11.25" customHeight="1" x14ac:dyDescent="0.25">
      <c r="G84" s="298"/>
      <c r="H84" s="298"/>
      <c r="I84" s="298"/>
      <c r="J84" s="298"/>
      <c r="K84" s="298"/>
      <c r="L84" s="298"/>
      <c r="M84" s="298"/>
      <c r="N84" s="298"/>
      <c r="O84" s="298"/>
      <c r="P84" s="298"/>
      <c r="Q84" s="298"/>
      <c r="R84" s="298"/>
      <c r="S84" s="298"/>
      <c r="T84" s="298"/>
      <c r="U84" s="298"/>
      <c r="V84" s="298"/>
      <c r="W84" s="298"/>
      <c r="X84" s="298"/>
      <c r="Y84" s="298"/>
      <c r="Z84" s="298"/>
    </row>
    <row r="85" spans="1:35" ht="11.25" customHeight="1" x14ac:dyDescent="0.25"/>
    <row r="86" spans="1:35" ht="11.25" customHeight="1" x14ac:dyDescent="0.25"/>
  </sheetData>
  <mergeCells count="1134">
    <mergeCell ref="A60:F60"/>
    <mergeCell ref="G60:H60"/>
    <mergeCell ref="I60:J60"/>
    <mergeCell ref="K60:L60"/>
    <mergeCell ref="O61:P61"/>
    <mergeCell ref="Q61:R61"/>
    <mergeCell ref="S61:T61"/>
    <mergeCell ref="U61:V61"/>
    <mergeCell ref="W61:X61"/>
    <mergeCell ref="Y61:Z61"/>
    <mergeCell ref="AA61:AB61"/>
    <mergeCell ref="AC61:AD61"/>
    <mergeCell ref="AE61:AF61"/>
    <mergeCell ref="AG61:AH61"/>
    <mergeCell ref="I59:J59"/>
    <mergeCell ref="K59:L59"/>
    <mergeCell ref="M59:N59"/>
    <mergeCell ref="O59:P59"/>
    <mergeCell ref="Q59:R59"/>
    <mergeCell ref="S59:T59"/>
    <mergeCell ref="U59:V59"/>
    <mergeCell ref="W59:X59"/>
    <mergeCell ref="Y59:Z59"/>
    <mergeCell ref="AA59:AB59"/>
    <mergeCell ref="AC59:AD59"/>
    <mergeCell ref="AE59:AF59"/>
    <mergeCell ref="AG59:AH59"/>
    <mergeCell ref="Q78:R78"/>
    <mergeCell ref="AA10:AB10"/>
    <mergeCell ref="W73:X73"/>
    <mergeCell ref="Y73:Z73"/>
    <mergeCell ref="AA73:AB73"/>
    <mergeCell ref="AC73:AD73"/>
    <mergeCell ref="AE73:AF73"/>
    <mergeCell ref="AG73:AH73"/>
    <mergeCell ref="A74:F74"/>
    <mergeCell ref="G74:H74"/>
    <mergeCell ref="I74:J74"/>
    <mergeCell ref="K74:L74"/>
    <mergeCell ref="M74:N74"/>
    <mergeCell ref="O74:P74"/>
    <mergeCell ref="Q74:R74"/>
    <mergeCell ref="S74:T74"/>
    <mergeCell ref="M60:N60"/>
    <mergeCell ref="O60:P60"/>
    <mergeCell ref="Q60:R60"/>
    <mergeCell ref="S60:T60"/>
    <mergeCell ref="U60:V60"/>
    <mergeCell ref="W60:X60"/>
    <mergeCell ref="Y60:Z60"/>
    <mergeCell ref="AA60:AB60"/>
    <mergeCell ref="AC60:AD60"/>
    <mergeCell ref="AE60:AF60"/>
    <mergeCell ref="AG60:AH60"/>
    <mergeCell ref="A61:F61"/>
    <mergeCell ref="G61:H61"/>
    <mergeCell ref="I61:J61"/>
    <mergeCell ref="K61:L61"/>
    <mergeCell ref="M61:N61"/>
    <mergeCell ref="W75:X75"/>
    <mergeCell ref="Y75:Z75"/>
    <mergeCell ref="AA75:AB75"/>
    <mergeCell ref="AC75:AD75"/>
    <mergeCell ref="AE75:AF75"/>
    <mergeCell ref="AG75:AH75"/>
    <mergeCell ref="A76:F76"/>
    <mergeCell ref="G76:H76"/>
    <mergeCell ref="I76:J76"/>
    <mergeCell ref="K76:L76"/>
    <mergeCell ref="M76:N76"/>
    <mergeCell ref="O76:P76"/>
    <mergeCell ref="Q76:R76"/>
    <mergeCell ref="S76:T76"/>
    <mergeCell ref="U76:V76"/>
    <mergeCell ref="W76:X76"/>
    <mergeCell ref="Y76:Z76"/>
    <mergeCell ref="AA76:AB76"/>
    <mergeCell ref="AC76:AD76"/>
    <mergeCell ref="AE76:AF76"/>
    <mergeCell ref="AG76:AH76"/>
    <mergeCell ref="A75:F75"/>
    <mergeCell ref="G75:H75"/>
    <mergeCell ref="I75:J75"/>
    <mergeCell ref="K75:L75"/>
    <mergeCell ref="M75:N75"/>
    <mergeCell ref="O75:P75"/>
    <mergeCell ref="Q75:R75"/>
    <mergeCell ref="S75:T75"/>
    <mergeCell ref="U75:V75"/>
    <mergeCell ref="U74:V74"/>
    <mergeCell ref="W74:X74"/>
    <mergeCell ref="Y74:Z74"/>
    <mergeCell ref="AA74:AB74"/>
    <mergeCell ref="AC74:AD74"/>
    <mergeCell ref="AE74:AF74"/>
    <mergeCell ref="AG74:AH74"/>
    <mergeCell ref="A73:F73"/>
    <mergeCell ref="G73:H73"/>
    <mergeCell ref="I73:J73"/>
    <mergeCell ref="K73:L73"/>
    <mergeCell ref="M73:N73"/>
    <mergeCell ref="O73:P73"/>
    <mergeCell ref="Q73:R73"/>
    <mergeCell ref="S73:T73"/>
    <mergeCell ref="U73:V73"/>
    <mergeCell ref="W71:X71"/>
    <mergeCell ref="Y71:Z71"/>
    <mergeCell ref="AA71:AB71"/>
    <mergeCell ref="AC71:AD71"/>
    <mergeCell ref="AE71:AF71"/>
    <mergeCell ref="AG71:AH71"/>
    <mergeCell ref="A72:F72"/>
    <mergeCell ref="G72:H72"/>
    <mergeCell ref="I72:J72"/>
    <mergeCell ref="K72:L72"/>
    <mergeCell ref="M72:N72"/>
    <mergeCell ref="O72:P72"/>
    <mergeCell ref="Q72:R72"/>
    <mergeCell ref="S72:T72"/>
    <mergeCell ref="U72:V72"/>
    <mergeCell ref="W72:X72"/>
    <mergeCell ref="Y72:Z72"/>
    <mergeCell ref="AA72:AB72"/>
    <mergeCell ref="AC72:AD72"/>
    <mergeCell ref="AE72:AF72"/>
    <mergeCell ref="AG72:AH72"/>
    <mergeCell ref="A71:F71"/>
    <mergeCell ref="G71:H71"/>
    <mergeCell ref="I71:J71"/>
    <mergeCell ref="K71:L71"/>
    <mergeCell ref="M71:N71"/>
    <mergeCell ref="O71:P71"/>
    <mergeCell ref="Q71:R71"/>
    <mergeCell ref="S71:T71"/>
    <mergeCell ref="U71:V71"/>
    <mergeCell ref="W69:X69"/>
    <mergeCell ref="Y69:Z69"/>
    <mergeCell ref="AA69:AB69"/>
    <mergeCell ref="AC69:AD69"/>
    <mergeCell ref="AE69:AF69"/>
    <mergeCell ref="AG69:AH69"/>
    <mergeCell ref="A70:F70"/>
    <mergeCell ref="G70:H70"/>
    <mergeCell ref="I70:J70"/>
    <mergeCell ref="K70:L70"/>
    <mergeCell ref="M70:N70"/>
    <mergeCell ref="O70:P70"/>
    <mergeCell ref="Q70:R70"/>
    <mergeCell ref="S70:T70"/>
    <mergeCell ref="U70:V70"/>
    <mergeCell ref="W70:X70"/>
    <mergeCell ref="Y70:Z70"/>
    <mergeCell ref="AA70:AB70"/>
    <mergeCell ref="AC70:AD70"/>
    <mergeCell ref="AE70:AF70"/>
    <mergeCell ref="AG70:AH70"/>
    <mergeCell ref="A69:F69"/>
    <mergeCell ref="G69:H69"/>
    <mergeCell ref="I69:J69"/>
    <mergeCell ref="K69:L69"/>
    <mergeCell ref="M69:N69"/>
    <mergeCell ref="O69:P69"/>
    <mergeCell ref="Q69:R69"/>
    <mergeCell ref="S69:T69"/>
    <mergeCell ref="U69:V69"/>
    <mergeCell ref="W67:X67"/>
    <mergeCell ref="Y67:Z67"/>
    <mergeCell ref="AA67:AB67"/>
    <mergeCell ref="AC67:AD67"/>
    <mergeCell ref="AE67:AF67"/>
    <mergeCell ref="AG67:AH67"/>
    <mergeCell ref="A68:F68"/>
    <mergeCell ref="G68:H68"/>
    <mergeCell ref="I68:J68"/>
    <mergeCell ref="K68:L68"/>
    <mergeCell ref="M68:N68"/>
    <mergeCell ref="O68:P68"/>
    <mergeCell ref="Q68:R68"/>
    <mergeCell ref="S68:T68"/>
    <mergeCell ref="U68:V68"/>
    <mergeCell ref="W68:X68"/>
    <mergeCell ref="Y68:Z68"/>
    <mergeCell ref="AA68:AB68"/>
    <mergeCell ref="AC68:AD68"/>
    <mergeCell ref="AE68:AF68"/>
    <mergeCell ref="AG68:AH68"/>
    <mergeCell ref="A67:F67"/>
    <mergeCell ref="G67:H67"/>
    <mergeCell ref="I67:J67"/>
    <mergeCell ref="K67:L67"/>
    <mergeCell ref="M67:N67"/>
    <mergeCell ref="O67:P67"/>
    <mergeCell ref="Q67:R67"/>
    <mergeCell ref="S67:T67"/>
    <mergeCell ref="U67:V67"/>
    <mergeCell ref="W65:X65"/>
    <mergeCell ref="Y65:Z65"/>
    <mergeCell ref="AA65:AB65"/>
    <mergeCell ref="AC65:AD65"/>
    <mergeCell ref="AE65:AF65"/>
    <mergeCell ref="AG65:AH65"/>
    <mergeCell ref="A66:F66"/>
    <mergeCell ref="G66:H66"/>
    <mergeCell ref="I66:J66"/>
    <mergeCell ref="K66:L66"/>
    <mergeCell ref="M66:N66"/>
    <mergeCell ref="O66:P66"/>
    <mergeCell ref="Q66:R66"/>
    <mergeCell ref="S66:T66"/>
    <mergeCell ref="U66:V66"/>
    <mergeCell ref="W66:X66"/>
    <mergeCell ref="Y66:Z66"/>
    <mergeCell ref="AA66:AB66"/>
    <mergeCell ref="AC66:AD66"/>
    <mergeCell ref="AE66:AF66"/>
    <mergeCell ref="AG66:AH66"/>
    <mergeCell ref="A65:F65"/>
    <mergeCell ref="G65:H65"/>
    <mergeCell ref="I65:J65"/>
    <mergeCell ref="K65:L65"/>
    <mergeCell ref="M65:N65"/>
    <mergeCell ref="O65:P65"/>
    <mergeCell ref="Q65:R65"/>
    <mergeCell ref="S65:T65"/>
    <mergeCell ref="U65:V65"/>
    <mergeCell ref="W63:X63"/>
    <mergeCell ref="Y63:Z63"/>
    <mergeCell ref="AA63:AB63"/>
    <mergeCell ref="AC63:AD63"/>
    <mergeCell ref="AE63:AF63"/>
    <mergeCell ref="AG63:AH63"/>
    <mergeCell ref="A64:F64"/>
    <mergeCell ref="G64:H64"/>
    <mergeCell ref="I64:J64"/>
    <mergeCell ref="K64:L64"/>
    <mergeCell ref="M64:N64"/>
    <mergeCell ref="O64:P64"/>
    <mergeCell ref="Q64:R64"/>
    <mergeCell ref="S64:T64"/>
    <mergeCell ref="U64:V64"/>
    <mergeCell ref="W64:X64"/>
    <mergeCell ref="Y64:Z64"/>
    <mergeCell ref="AA64:AB64"/>
    <mergeCell ref="AC64:AD64"/>
    <mergeCell ref="AE64:AF64"/>
    <mergeCell ref="AG64:AH64"/>
    <mergeCell ref="A63:F63"/>
    <mergeCell ref="G63:H63"/>
    <mergeCell ref="I63:J63"/>
    <mergeCell ref="K63:L63"/>
    <mergeCell ref="M63:N63"/>
    <mergeCell ref="O63:P63"/>
    <mergeCell ref="Q63:R63"/>
    <mergeCell ref="S63:T63"/>
    <mergeCell ref="U63:V63"/>
    <mergeCell ref="W58:X58"/>
    <mergeCell ref="Y58:Z58"/>
    <mergeCell ref="AA58:AB58"/>
    <mergeCell ref="AC58:AD58"/>
    <mergeCell ref="AE58:AF58"/>
    <mergeCell ref="AG58:AH58"/>
    <mergeCell ref="A62:F62"/>
    <mergeCell ref="G62:H62"/>
    <mergeCell ref="I62:J62"/>
    <mergeCell ref="K62:L62"/>
    <mergeCell ref="M62:N62"/>
    <mergeCell ref="O62:P62"/>
    <mergeCell ref="Q62:R62"/>
    <mergeCell ref="S62:T62"/>
    <mergeCell ref="U62:V62"/>
    <mergeCell ref="W62:X62"/>
    <mergeCell ref="Y62:Z62"/>
    <mergeCell ref="AA62:AB62"/>
    <mergeCell ref="AC62:AD62"/>
    <mergeCell ref="AE62:AF62"/>
    <mergeCell ref="AG62:AH62"/>
    <mergeCell ref="A58:F58"/>
    <mergeCell ref="G58:H58"/>
    <mergeCell ref="I58:J58"/>
    <mergeCell ref="K58:L58"/>
    <mergeCell ref="M58:N58"/>
    <mergeCell ref="O58:P58"/>
    <mergeCell ref="Q58:R58"/>
    <mergeCell ref="S58:T58"/>
    <mergeCell ref="U58:V58"/>
    <mergeCell ref="A59:F59"/>
    <mergeCell ref="G59:H59"/>
    <mergeCell ref="W56:X56"/>
    <mergeCell ref="Y56:Z56"/>
    <mergeCell ref="AA56:AB56"/>
    <mergeCell ref="AC56:AD56"/>
    <mergeCell ref="AE56:AF56"/>
    <mergeCell ref="AG56:AH56"/>
    <mergeCell ref="A57:F57"/>
    <mergeCell ref="G57:H57"/>
    <mergeCell ref="I57:J57"/>
    <mergeCell ref="K57:L57"/>
    <mergeCell ref="M57:N57"/>
    <mergeCell ref="O57:P57"/>
    <mergeCell ref="Q57:R57"/>
    <mergeCell ref="S57:T57"/>
    <mergeCell ref="U57:V57"/>
    <mergeCell ref="W57:X57"/>
    <mergeCell ref="Y57:Z57"/>
    <mergeCell ref="AA57:AB57"/>
    <mergeCell ref="AC57:AD57"/>
    <mergeCell ref="AE57:AF57"/>
    <mergeCell ref="AG57:AH57"/>
    <mergeCell ref="A56:F56"/>
    <mergeCell ref="G56:H56"/>
    <mergeCell ref="I56:J56"/>
    <mergeCell ref="K56:L56"/>
    <mergeCell ref="M56:N56"/>
    <mergeCell ref="O56:P56"/>
    <mergeCell ref="Q56:R56"/>
    <mergeCell ref="S56:T56"/>
    <mergeCell ref="U56:V56"/>
    <mergeCell ref="W54:X54"/>
    <mergeCell ref="Y54:Z54"/>
    <mergeCell ref="AA54:AB54"/>
    <mergeCell ref="AC54:AD54"/>
    <mergeCell ref="AE54:AF54"/>
    <mergeCell ref="AG54:AH54"/>
    <mergeCell ref="A55:F55"/>
    <mergeCell ref="G55:H55"/>
    <mergeCell ref="I55:J55"/>
    <mergeCell ref="K55:L55"/>
    <mergeCell ref="M55:N55"/>
    <mergeCell ref="O55:P55"/>
    <mergeCell ref="Q55:R55"/>
    <mergeCell ref="S55:T55"/>
    <mergeCell ref="U55:V55"/>
    <mergeCell ref="W55:X55"/>
    <mergeCell ref="Y55:Z55"/>
    <mergeCell ref="AA55:AB55"/>
    <mergeCell ref="AC55:AD55"/>
    <mergeCell ref="AE55:AF55"/>
    <mergeCell ref="AG55:AH55"/>
    <mergeCell ref="A54:F54"/>
    <mergeCell ref="G54:H54"/>
    <mergeCell ref="I54:J54"/>
    <mergeCell ref="K54:L54"/>
    <mergeCell ref="M54:N54"/>
    <mergeCell ref="O54:P54"/>
    <mergeCell ref="Q54:R54"/>
    <mergeCell ref="S54:T54"/>
    <mergeCell ref="U54:V54"/>
    <mergeCell ref="W53:X53"/>
    <mergeCell ref="Y53:Z53"/>
    <mergeCell ref="AA53:AB53"/>
    <mergeCell ref="AC53:AD53"/>
    <mergeCell ref="AE53:AF53"/>
    <mergeCell ref="AG53:AH53"/>
    <mergeCell ref="A53:F53"/>
    <mergeCell ref="G53:H53"/>
    <mergeCell ref="I53:J53"/>
    <mergeCell ref="K53:L53"/>
    <mergeCell ref="M53:N53"/>
    <mergeCell ref="O53:P53"/>
    <mergeCell ref="Q53:R53"/>
    <mergeCell ref="S53:T53"/>
    <mergeCell ref="U53:V53"/>
    <mergeCell ref="W51:X51"/>
    <mergeCell ref="Y51:Z51"/>
    <mergeCell ref="AA51:AB51"/>
    <mergeCell ref="AC51:AD51"/>
    <mergeCell ref="AE51:AF51"/>
    <mergeCell ref="AG51:AH51"/>
    <mergeCell ref="A52:F52"/>
    <mergeCell ref="G52:H52"/>
    <mergeCell ref="I52:J52"/>
    <mergeCell ref="K52:L52"/>
    <mergeCell ref="M52:N52"/>
    <mergeCell ref="O52:P52"/>
    <mergeCell ref="Q52:R52"/>
    <mergeCell ref="S52:T52"/>
    <mergeCell ref="U52:V52"/>
    <mergeCell ref="W52:X52"/>
    <mergeCell ref="Y52:Z52"/>
    <mergeCell ref="AA52:AB52"/>
    <mergeCell ref="AC52:AD52"/>
    <mergeCell ref="AE52:AF52"/>
    <mergeCell ref="AG52:AH52"/>
    <mergeCell ref="A51:F51"/>
    <mergeCell ref="G51:H51"/>
    <mergeCell ref="I51:J51"/>
    <mergeCell ref="K51:L51"/>
    <mergeCell ref="M51:N51"/>
    <mergeCell ref="O51:P51"/>
    <mergeCell ref="Q51:R51"/>
    <mergeCell ref="S51:T51"/>
    <mergeCell ref="U51:V51"/>
    <mergeCell ref="W49:X49"/>
    <mergeCell ref="Y49:Z49"/>
    <mergeCell ref="AA49:AB49"/>
    <mergeCell ref="AC49:AD49"/>
    <mergeCell ref="AE49:AF49"/>
    <mergeCell ref="AG49:AH49"/>
    <mergeCell ref="A50:F50"/>
    <mergeCell ref="G50:H50"/>
    <mergeCell ref="I50:J50"/>
    <mergeCell ref="K50:L50"/>
    <mergeCell ref="M50:N50"/>
    <mergeCell ref="O50:P50"/>
    <mergeCell ref="Q50:R50"/>
    <mergeCell ref="S50:T50"/>
    <mergeCell ref="U50:V50"/>
    <mergeCell ref="W50:X50"/>
    <mergeCell ref="Y50:Z50"/>
    <mergeCell ref="AA50:AB50"/>
    <mergeCell ref="AC50:AD50"/>
    <mergeCell ref="AE50:AF50"/>
    <mergeCell ref="AG50:AH50"/>
    <mergeCell ref="A49:F49"/>
    <mergeCell ref="G49:H49"/>
    <mergeCell ref="I49:J49"/>
    <mergeCell ref="K49:L49"/>
    <mergeCell ref="M49:N49"/>
    <mergeCell ref="O49:P49"/>
    <mergeCell ref="Q49:R49"/>
    <mergeCell ref="S49:T49"/>
    <mergeCell ref="U49:V49"/>
    <mergeCell ref="W47:X47"/>
    <mergeCell ref="Y47:Z47"/>
    <mergeCell ref="AA47:AB47"/>
    <mergeCell ref="AC47:AD47"/>
    <mergeCell ref="AE47:AF47"/>
    <mergeCell ref="AG47:AH47"/>
    <mergeCell ref="A48:F48"/>
    <mergeCell ref="G48:H48"/>
    <mergeCell ref="I48:J48"/>
    <mergeCell ref="K48:L48"/>
    <mergeCell ref="M48:N48"/>
    <mergeCell ref="O48:P48"/>
    <mergeCell ref="Q48:R48"/>
    <mergeCell ref="S48:T48"/>
    <mergeCell ref="U48:V48"/>
    <mergeCell ref="W48:X48"/>
    <mergeCell ref="Y48:Z48"/>
    <mergeCell ref="AA48:AB48"/>
    <mergeCell ref="AC48:AD48"/>
    <mergeCell ref="AE48:AF48"/>
    <mergeCell ref="AG48:AH48"/>
    <mergeCell ref="A47:F47"/>
    <mergeCell ref="G47:H47"/>
    <mergeCell ref="I47:J47"/>
    <mergeCell ref="K47:L47"/>
    <mergeCell ref="M47:N47"/>
    <mergeCell ref="O47:P47"/>
    <mergeCell ref="Q47:R47"/>
    <mergeCell ref="S47:T47"/>
    <mergeCell ref="U47:V47"/>
    <mergeCell ref="W45:X45"/>
    <mergeCell ref="Y45:Z45"/>
    <mergeCell ref="AA45:AB45"/>
    <mergeCell ref="AC45:AD45"/>
    <mergeCell ref="AE45:AF45"/>
    <mergeCell ref="AG45:AH45"/>
    <mergeCell ref="A46:F46"/>
    <mergeCell ref="G46:H46"/>
    <mergeCell ref="I46:J46"/>
    <mergeCell ref="K46:L46"/>
    <mergeCell ref="M46:N46"/>
    <mergeCell ref="O46:P46"/>
    <mergeCell ref="Q46:R46"/>
    <mergeCell ref="S46:T46"/>
    <mergeCell ref="U46:V46"/>
    <mergeCell ref="W46:X46"/>
    <mergeCell ref="Y46:Z46"/>
    <mergeCell ref="AA46:AB46"/>
    <mergeCell ref="AC46:AD46"/>
    <mergeCell ref="AE46:AF46"/>
    <mergeCell ref="AG46:AH46"/>
    <mergeCell ref="A45:F45"/>
    <mergeCell ref="G45:H45"/>
    <mergeCell ref="I45:J45"/>
    <mergeCell ref="K45:L45"/>
    <mergeCell ref="M45:N45"/>
    <mergeCell ref="O45:P45"/>
    <mergeCell ref="Q45:R45"/>
    <mergeCell ref="S45:T45"/>
    <mergeCell ref="U45:V45"/>
    <mergeCell ref="W43:X43"/>
    <mergeCell ref="Y43:Z43"/>
    <mergeCell ref="AA43:AB43"/>
    <mergeCell ref="AC43:AD43"/>
    <mergeCell ref="AE43:AF43"/>
    <mergeCell ref="AG43:AH43"/>
    <mergeCell ref="A44:F44"/>
    <mergeCell ref="G44:H44"/>
    <mergeCell ref="I44:J44"/>
    <mergeCell ref="K44:L44"/>
    <mergeCell ref="M44:N44"/>
    <mergeCell ref="O44:P44"/>
    <mergeCell ref="Q44:R44"/>
    <mergeCell ref="S44:T44"/>
    <mergeCell ref="U44:V44"/>
    <mergeCell ref="W44:X44"/>
    <mergeCell ref="Y44:Z44"/>
    <mergeCell ref="AA44:AB44"/>
    <mergeCell ref="AC44:AD44"/>
    <mergeCell ref="AE44:AF44"/>
    <mergeCell ref="AG44:AH44"/>
    <mergeCell ref="A43:F43"/>
    <mergeCell ref="G43:H43"/>
    <mergeCell ref="I43:J43"/>
    <mergeCell ref="K43:L43"/>
    <mergeCell ref="M43:N43"/>
    <mergeCell ref="O43:P43"/>
    <mergeCell ref="Q43:R43"/>
    <mergeCell ref="S43:T43"/>
    <mergeCell ref="U43:V43"/>
    <mergeCell ref="W41:X41"/>
    <mergeCell ref="Y41:Z41"/>
    <mergeCell ref="AA41:AB41"/>
    <mergeCell ref="AC41:AD41"/>
    <mergeCell ref="AE41:AF41"/>
    <mergeCell ref="AG41:AH41"/>
    <mergeCell ref="A42:F42"/>
    <mergeCell ref="G42:H42"/>
    <mergeCell ref="I42:J42"/>
    <mergeCell ref="K42:L42"/>
    <mergeCell ref="M42:N42"/>
    <mergeCell ref="O42:P42"/>
    <mergeCell ref="Q42:R42"/>
    <mergeCell ref="S42:T42"/>
    <mergeCell ref="U42:V42"/>
    <mergeCell ref="W42:X42"/>
    <mergeCell ref="Y42:Z42"/>
    <mergeCell ref="AA42:AB42"/>
    <mergeCell ref="AC42:AD42"/>
    <mergeCell ref="AE42:AF42"/>
    <mergeCell ref="AG42:AH42"/>
    <mergeCell ref="A41:F41"/>
    <mergeCell ref="G41:H41"/>
    <mergeCell ref="I41:J41"/>
    <mergeCell ref="K41:L41"/>
    <mergeCell ref="M41:N41"/>
    <mergeCell ref="O41:P41"/>
    <mergeCell ref="Q41:R41"/>
    <mergeCell ref="S41:T41"/>
    <mergeCell ref="U41:V41"/>
    <mergeCell ref="W39:X39"/>
    <mergeCell ref="Y39:Z39"/>
    <mergeCell ref="AA39:AB39"/>
    <mergeCell ref="AC39:AD39"/>
    <mergeCell ref="AE39:AF39"/>
    <mergeCell ref="AG39:AH39"/>
    <mergeCell ref="A40:F40"/>
    <mergeCell ref="G40:H40"/>
    <mergeCell ref="I40:J40"/>
    <mergeCell ref="K40:L40"/>
    <mergeCell ref="M40:N40"/>
    <mergeCell ref="O40:P40"/>
    <mergeCell ref="Q40:R40"/>
    <mergeCell ref="S40:T40"/>
    <mergeCell ref="U40:V40"/>
    <mergeCell ref="W40:X40"/>
    <mergeCell ref="Y40:Z40"/>
    <mergeCell ref="AA40:AB40"/>
    <mergeCell ref="AC40:AD40"/>
    <mergeCell ref="AE40:AF40"/>
    <mergeCell ref="AG40:AH40"/>
    <mergeCell ref="A39:F39"/>
    <mergeCell ref="G39:H39"/>
    <mergeCell ref="I39:J39"/>
    <mergeCell ref="K39:L39"/>
    <mergeCell ref="M39:N39"/>
    <mergeCell ref="O39:P39"/>
    <mergeCell ref="Q39:R39"/>
    <mergeCell ref="S39:T39"/>
    <mergeCell ref="U39:V39"/>
    <mergeCell ref="AE37:AF37"/>
    <mergeCell ref="AG37:AH37"/>
    <mergeCell ref="A38:F38"/>
    <mergeCell ref="G38:H38"/>
    <mergeCell ref="I38:J38"/>
    <mergeCell ref="K38:L38"/>
    <mergeCell ref="M38:N38"/>
    <mergeCell ref="O38:P38"/>
    <mergeCell ref="Q38:R38"/>
    <mergeCell ref="S38:T38"/>
    <mergeCell ref="U38:V38"/>
    <mergeCell ref="W38:X38"/>
    <mergeCell ref="Y38:Z38"/>
    <mergeCell ref="AA38:AB38"/>
    <mergeCell ref="AC38:AD38"/>
    <mergeCell ref="AE38:AF38"/>
    <mergeCell ref="AG38:AH38"/>
    <mergeCell ref="A37:F37"/>
    <mergeCell ref="G37:H37"/>
    <mergeCell ref="I37:J37"/>
    <mergeCell ref="K37:L37"/>
    <mergeCell ref="M37:N37"/>
    <mergeCell ref="O37:P37"/>
    <mergeCell ref="Q37:R37"/>
    <mergeCell ref="S37:T37"/>
    <mergeCell ref="U37:V37"/>
    <mergeCell ref="B1:J2"/>
    <mergeCell ref="A4:AI4"/>
    <mergeCell ref="A5:AI5"/>
    <mergeCell ref="G8:H8"/>
    <mergeCell ref="I8:J8"/>
    <mergeCell ref="K8:L8"/>
    <mergeCell ref="M8:N8"/>
    <mergeCell ref="O8:P8"/>
    <mergeCell ref="G7:AI7"/>
    <mergeCell ref="W8:X8"/>
    <mergeCell ref="Y8:Z8"/>
    <mergeCell ref="A9:F9"/>
    <mergeCell ref="G9:H9"/>
    <mergeCell ref="I9:J9"/>
    <mergeCell ref="K9:L9"/>
    <mergeCell ref="M9:N9"/>
    <mergeCell ref="O9:P9"/>
    <mergeCell ref="Q9:R9"/>
    <mergeCell ref="Q8:R8"/>
    <mergeCell ref="U8:V8"/>
    <mergeCell ref="S8:T8"/>
    <mergeCell ref="S9:T9"/>
    <mergeCell ref="U9:V9"/>
    <mergeCell ref="W9:X9"/>
    <mergeCell ref="Y9:Z9"/>
    <mergeCell ref="AA9:AB9"/>
    <mergeCell ref="AA8:AB8"/>
    <mergeCell ref="A11:F11"/>
    <mergeCell ref="G11:H11"/>
    <mergeCell ref="I11:J11"/>
    <mergeCell ref="K11:L11"/>
    <mergeCell ref="M11:N11"/>
    <mergeCell ref="O11:P11"/>
    <mergeCell ref="Q11:R11"/>
    <mergeCell ref="U11:V11"/>
    <mergeCell ref="A10:F10"/>
    <mergeCell ref="G10:H10"/>
    <mergeCell ref="I10:J10"/>
    <mergeCell ref="K10:L10"/>
    <mergeCell ref="M10:N10"/>
    <mergeCell ref="O10:P10"/>
    <mergeCell ref="Q10:R10"/>
    <mergeCell ref="U10:V10"/>
    <mergeCell ref="S11:T11"/>
    <mergeCell ref="A13:F13"/>
    <mergeCell ref="G13:H13"/>
    <mergeCell ref="I13:J13"/>
    <mergeCell ref="K13:L13"/>
    <mergeCell ref="M13:N13"/>
    <mergeCell ref="O13:P13"/>
    <mergeCell ref="Q13:R13"/>
    <mergeCell ref="Q12:R12"/>
    <mergeCell ref="U12:V12"/>
    <mergeCell ref="A12:F12"/>
    <mergeCell ref="G12:H12"/>
    <mergeCell ref="I12:J12"/>
    <mergeCell ref="K12:L12"/>
    <mergeCell ref="M12:N12"/>
    <mergeCell ref="O12:P12"/>
    <mergeCell ref="S12:T12"/>
    <mergeCell ref="S13:T13"/>
    <mergeCell ref="A15:F15"/>
    <mergeCell ref="G15:H15"/>
    <mergeCell ref="I15:J15"/>
    <mergeCell ref="K15:L15"/>
    <mergeCell ref="M15:N15"/>
    <mergeCell ref="O15:P15"/>
    <mergeCell ref="Q15:R15"/>
    <mergeCell ref="U15:V15"/>
    <mergeCell ref="A14:F14"/>
    <mergeCell ref="G14:H14"/>
    <mergeCell ref="I14:J14"/>
    <mergeCell ref="K14:L14"/>
    <mergeCell ref="M14:N14"/>
    <mergeCell ref="O14:P14"/>
    <mergeCell ref="Q14:R14"/>
    <mergeCell ref="U14:V14"/>
    <mergeCell ref="S14:T14"/>
    <mergeCell ref="S15:T15"/>
    <mergeCell ref="A17:F17"/>
    <mergeCell ref="G17:H17"/>
    <mergeCell ref="I17:J17"/>
    <mergeCell ref="K17:L17"/>
    <mergeCell ref="M17:N17"/>
    <mergeCell ref="O17:P17"/>
    <mergeCell ref="Q17:R17"/>
    <mergeCell ref="Q16:R16"/>
    <mergeCell ref="U16:V16"/>
    <mergeCell ref="A16:F16"/>
    <mergeCell ref="G16:H16"/>
    <mergeCell ref="I16:J16"/>
    <mergeCell ref="K16:L16"/>
    <mergeCell ref="M16:N16"/>
    <mergeCell ref="O16:P16"/>
    <mergeCell ref="A19:F19"/>
    <mergeCell ref="G19:H19"/>
    <mergeCell ref="I19:J19"/>
    <mergeCell ref="K19:L19"/>
    <mergeCell ref="M19:N19"/>
    <mergeCell ref="O19:P19"/>
    <mergeCell ref="Q19:R19"/>
    <mergeCell ref="U19:V19"/>
    <mergeCell ref="A18:F18"/>
    <mergeCell ref="G18:H18"/>
    <mergeCell ref="I18:J18"/>
    <mergeCell ref="K18:L18"/>
    <mergeCell ref="M18:N18"/>
    <mergeCell ref="O18:P18"/>
    <mergeCell ref="Q18:R18"/>
    <mergeCell ref="U18:V18"/>
    <mergeCell ref="A21:F21"/>
    <mergeCell ref="G21:H21"/>
    <mergeCell ref="I21:J21"/>
    <mergeCell ref="K21:L21"/>
    <mergeCell ref="M21:N21"/>
    <mergeCell ref="O21:P21"/>
    <mergeCell ref="Q21:R21"/>
    <mergeCell ref="Q20:R20"/>
    <mergeCell ref="U20:V20"/>
    <mergeCell ref="A20:F20"/>
    <mergeCell ref="G20:H20"/>
    <mergeCell ref="I20:J20"/>
    <mergeCell ref="K20:L20"/>
    <mergeCell ref="M20:N20"/>
    <mergeCell ref="O20:P20"/>
    <mergeCell ref="U21:V21"/>
    <mergeCell ref="A23:F23"/>
    <mergeCell ref="G23:H23"/>
    <mergeCell ref="I23:J23"/>
    <mergeCell ref="K23:L23"/>
    <mergeCell ref="M23:N23"/>
    <mergeCell ref="O23:P23"/>
    <mergeCell ref="Q23:R23"/>
    <mergeCell ref="U23:V23"/>
    <mergeCell ref="A22:F22"/>
    <mergeCell ref="G22:H22"/>
    <mergeCell ref="I22:J22"/>
    <mergeCell ref="K22:L22"/>
    <mergeCell ref="M22:N22"/>
    <mergeCell ref="O22:P22"/>
    <mergeCell ref="Q22:R22"/>
    <mergeCell ref="U22:V22"/>
    <mergeCell ref="O28:P28"/>
    <mergeCell ref="U29:V29"/>
    <mergeCell ref="Q24:R24"/>
    <mergeCell ref="U24:V24"/>
    <mergeCell ref="A24:F24"/>
    <mergeCell ref="G24:H24"/>
    <mergeCell ref="I24:J24"/>
    <mergeCell ref="K24:L24"/>
    <mergeCell ref="M24:N24"/>
    <mergeCell ref="O24:P24"/>
    <mergeCell ref="A26:F26"/>
    <mergeCell ref="G26:H26"/>
    <mergeCell ref="I26:J26"/>
    <mergeCell ref="K26:L26"/>
    <mergeCell ref="M26:N26"/>
    <mergeCell ref="O26:P26"/>
    <mergeCell ref="Q26:R26"/>
    <mergeCell ref="U26:V26"/>
    <mergeCell ref="U25:V25"/>
    <mergeCell ref="A25:F25"/>
    <mergeCell ref="G25:H25"/>
    <mergeCell ref="I25:J25"/>
    <mergeCell ref="K25:L25"/>
    <mergeCell ref="M25:N25"/>
    <mergeCell ref="O25:P25"/>
    <mergeCell ref="Q25:R25"/>
    <mergeCell ref="S25:T25"/>
    <mergeCell ref="S26:T26"/>
    <mergeCell ref="A32:F32"/>
    <mergeCell ref="G32:H32"/>
    <mergeCell ref="I32:J32"/>
    <mergeCell ref="K32:L32"/>
    <mergeCell ref="M32:N32"/>
    <mergeCell ref="AA27:AB27"/>
    <mergeCell ref="AC27:AD27"/>
    <mergeCell ref="AE27:AF27"/>
    <mergeCell ref="AG27:AH27"/>
    <mergeCell ref="A27:F27"/>
    <mergeCell ref="G27:H27"/>
    <mergeCell ref="I27:J27"/>
    <mergeCell ref="K27:L27"/>
    <mergeCell ref="M27:N27"/>
    <mergeCell ref="O27:P27"/>
    <mergeCell ref="Q27:R27"/>
    <mergeCell ref="U27:V27"/>
    <mergeCell ref="S27:T27"/>
    <mergeCell ref="A29:F29"/>
    <mergeCell ref="G29:H29"/>
    <mergeCell ref="I29:J29"/>
    <mergeCell ref="K29:L29"/>
    <mergeCell ref="M29:N29"/>
    <mergeCell ref="O29:P29"/>
    <mergeCell ref="Q29:R29"/>
    <mergeCell ref="Q28:R28"/>
    <mergeCell ref="U28:V28"/>
    <mergeCell ref="A28:F28"/>
    <mergeCell ref="G28:H28"/>
    <mergeCell ref="I28:J28"/>
    <mergeCell ref="K28:L28"/>
    <mergeCell ref="M28:N28"/>
    <mergeCell ref="M33:N33"/>
    <mergeCell ref="O33:P33"/>
    <mergeCell ref="Q33:R33"/>
    <mergeCell ref="S33:T33"/>
    <mergeCell ref="S34:T34"/>
    <mergeCell ref="Y29:Z29"/>
    <mergeCell ref="Y31:Z31"/>
    <mergeCell ref="W30:X30"/>
    <mergeCell ref="A30:F30"/>
    <mergeCell ref="G30:H30"/>
    <mergeCell ref="I30:J30"/>
    <mergeCell ref="K30:L30"/>
    <mergeCell ref="M30:N30"/>
    <mergeCell ref="O30:P30"/>
    <mergeCell ref="Q30:R30"/>
    <mergeCell ref="U30:V30"/>
    <mergeCell ref="O32:P32"/>
    <mergeCell ref="Y32:Z32"/>
    <mergeCell ref="W32:X32"/>
    <mergeCell ref="S32:T32"/>
    <mergeCell ref="A31:F31"/>
    <mergeCell ref="G31:H31"/>
    <mergeCell ref="I31:J31"/>
    <mergeCell ref="K31:L31"/>
    <mergeCell ref="M31:N31"/>
    <mergeCell ref="O31:P31"/>
    <mergeCell ref="Q31:R31"/>
    <mergeCell ref="U31:V31"/>
    <mergeCell ref="W31:X31"/>
    <mergeCell ref="S31:T31"/>
    <mergeCell ref="Q32:R32"/>
    <mergeCell ref="U32:V32"/>
    <mergeCell ref="A36:F36"/>
    <mergeCell ref="G36:H36"/>
    <mergeCell ref="I36:J36"/>
    <mergeCell ref="K36:L36"/>
    <mergeCell ref="M36:N36"/>
    <mergeCell ref="O36:P36"/>
    <mergeCell ref="A35:F35"/>
    <mergeCell ref="G35:H35"/>
    <mergeCell ref="I35:J35"/>
    <mergeCell ref="K35:L35"/>
    <mergeCell ref="M35:N35"/>
    <mergeCell ref="O35:P35"/>
    <mergeCell ref="Q35:R35"/>
    <mergeCell ref="U35:V35"/>
    <mergeCell ref="A34:F34"/>
    <mergeCell ref="G34:H34"/>
    <mergeCell ref="W15:X15"/>
    <mergeCell ref="S35:T35"/>
    <mergeCell ref="S36:T36"/>
    <mergeCell ref="W35:X35"/>
    <mergeCell ref="W36:X36"/>
    <mergeCell ref="I34:J34"/>
    <mergeCell ref="K34:L34"/>
    <mergeCell ref="M34:N34"/>
    <mergeCell ref="O34:P34"/>
    <mergeCell ref="Q34:R34"/>
    <mergeCell ref="U34:V34"/>
    <mergeCell ref="U33:V33"/>
    <mergeCell ref="A33:F33"/>
    <mergeCell ref="G33:H33"/>
    <mergeCell ref="I33:J33"/>
    <mergeCell ref="K33:L33"/>
    <mergeCell ref="AC19:AD19"/>
    <mergeCell ref="AE19:AF19"/>
    <mergeCell ref="AE17:AF17"/>
    <mergeCell ref="AE31:AF31"/>
    <mergeCell ref="W10:X10"/>
    <mergeCell ref="W11:X11"/>
    <mergeCell ref="W12:X12"/>
    <mergeCell ref="W13:X13"/>
    <mergeCell ref="W14:X14"/>
    <mergeCell ref="Q36:R36"/>
    <mergeCell ref="U36:V36"/>
    <mergeCell ref="U13:V13"/>
    <mergeCell ref="Y35:Z35"/>
    <mergeCell ref="Y36:Z36"/>
    <mergeCell ref="Y19:Z19"/>
    <mergeCell ref="Y20:Z20"/>
    <mergeCell ref="Y21:Z21"/>
    <mergeCell ref="Y22:Z22"/>
    <mergeCell ref="S10:T10"/>
    <mergeCell ref="Y24:Z24"/>
    <mergeCell ref="S24:T24"/>
    <mergeCell ref="W22:X22"/>
    <mergeCell ref="S22:T22"/>
    <mergeCell ref="S23:T23"/>
    <mergeCell ref="W33:X33"/>
    <mergeCell ref="W34:X34"/>
    <mergeCell ref="W23:X23"/>
    <mergeCell ref="W24:X24"/>
    <mergeCell ref="W25:X25"/>
    <mergeCell ref="W26:X26"/>
    <mergeCell ref="W27:X27"/>
    <mergeCell ref="W28:X28"/>
    <mergeCell ref="W29:X29"/>
    <mergeCell ref="Y25:Z25"/>
    <mergeCell ref="Y26:Z26"/>
    <mergeCell ref="Y27:Z27"/>
    <mergeCell ref="Y28:Z28"/>
    <mergeCell ref="Y33:Z33"/>
    <mergeCell ref="Y34:Z34"/>
    <mergeCell ref="Y30:Z30"/>
    <mergeCell ref="Y15:Z15"/>
    <mergeCell ref="S28:T28"/>
    <mergeCell ref="S29:T29"/>
    <mergeCell ref="S30:T30"/>
    <mergeCell ref="S16:T16"/>
    <mergeCell ref="S17:T17"/>
    <mergeCell ref="S18:T18"/>
    <mergeCell ref="S19:T19"/>
    <mergeCell ref="S20:T20"/>
    <mergeCell ref="S21:T21"/>
    <mergeCell ref="Y23:Z23"/>
    <mergeCell ref="W21:X21"/>
    <mergeCell ref="U17:V17"/>
    <mergeCell ref="Y16:Z16"/>
    <mergeCell ref="W19:X19"/>
    <mergeCell ref="W20:X20"/>
    <mergeCell ref="W16:X16"/>
    <mergeCell ref="Y17:Z17"/>
    <mergeCell ref="Y18:Z18"/>
    <mergeCell ref="W17:X17"/>
    <mergeCell ref="W18:X18"/>
    <mergeCell ref="AG18:AH18"/>
    <mergeCell ref="Y10:Z10"/>
    <mergeCell ref="Y11:Z11"/>
    <mergeCell ref="Y12:Z12"/>
    <mergeCell ref="Y13:Z13"/>
    <mergeCell ref="Y14:Z14"/>
    <mergeCell ref="AG15:AH15"/>
    <mergeCell ref="AA16:AB16"/>
    <mergeCell ref="AC16:AD16"/>
    <mergeCell ref="AE16:AF16"/>
    <mergeCell ref="AG16:AH16"/>
    <mergeCell ref="AA13:AB13"/>
    <mergeCell ref="AC13:AD13"/>
    <mergeCell ref="AE13:AF13"/>
    <mergeCell ref="AG13:AH13"/>
    <mergeCell ref="AA14:AB14"/>
    <mergeCell ref="AC14:AD14"/>
    <mergeCell ref="AE14:AF14"/>
    <mergeCell ref="AG14:AH14"/>
    <mergeCell ref="AC12:AD12"/>
    <mergeCell ref="AA11:AB11"/>
    <mergeCell ref="AC11:AD11"/>
    <mergeCell ref="AE11:AF11"/>
    <mergeCell ref="AG11:AH11"/>
    <mergeCell ref="AA12:AB12"/>
    <mergeCell ref="AE12:AF12"/>
    <mergeCell ref="AG12:AH12"/>
    <mergeCell ref="AA17:AB17"/>
    <mergeCell ref="AC17:AD17"/>
    <mergeCell ref="AA15:AB15"/>
    <mergeCell ref="AC15:AD15"/>
    <mergeCell ref="AE15:AF15"/>
    <mergeCell ref="AG17:AH17"/>
    <mergeCell ref="AE22:AF22"/>
    <mergeCell ref="AG22:AH22"/>
    <mergeCell ref="AA18:AB18"/>
    <mergeCell ref="AA23:AB23"/>
    <mergeCell ref="AC23:AD23"/>
    <mergeCell ref="AG24:AH24"/>
    <mergeCell ref="AA25:AB25"/>
    <mergeCell ref="AC25:AD25"/>
    <mergeCell ref="AE25:AF25"/>
    <mergeCell ref="AG25:AH25"/>
    <mergeCell ref="AE26:AF26"/>
    <mergeCell ref="AG26:AH26"/>
    <mergeCell ref="AA24:AB24"/>
    <mergeCell ref="AC24:AD24"/>
    <mergeCell ref="AE24:AF24"/>
    <mergeCell ref="AE23:AF23"/>
    <mergeCell ref="AG23:AH23"/>
    <mergeCell ref="AA20:AB20"/>
    <mergeCell ref="AC20:AD20"/>
    <mergeCell ref="AE20:AF20"/>
    <mergeCell ref="AG20:AH20"/>
    <mergeCell ref="AA21:AB21"/>
    <mergeCell ref="AC21:AD21"/>
    <mergeCell ref="AE21:AF21"/>
    <mergeCell ref="AG21:AH21"/>
    <mergeCell ref="AA22:AB22"/>
    <mergeCell ref="AC22:AD22"/>
    <mergeCell ref="AA19:AB19"/>
    <mergeCell ref="AG19:AH19"/>
    <mergeCell ref="AC18:AD18"/>
    <mergeCell ref="AE18:AF18"/>
    <mergeCell ref="AG31:AH31"/>
    <mergeCell ref="AA28:AB28"/>
    <mergeCell ref="AC28:AD28"/>
    <mergeCell ref="AE28:AF28"/>
    <mergeCell ref="AG28:AH28"/>
    <mergeCell ref="AA29:AB29"/>
    <mergeCell ref="AC29:AD29"/>
    <mergeCell ref="AE29:AF29"/>
    <mergeCell ref="AG29:AH29"/>
    <mergeCell ref="AA30:AB30"/>
    <mergeCell ref="AC30:AD30"/>
    <mergeCell ref="AE30:AF30"/>
    <mergeCell ref="AG30:AH30"/>
    <mergeCell ref="AA31:AB31"/>
    <mergeCell ref="AC31:AD31"/>
    <mergeCell ref="AA26:AB26"/>
    <mergeCell ref="AC26:AD26"/>
    <mergeCell ref="S78:T78"/>
    <mergeCell ref="U78:V78"/>
    <mergeCell ref="W78:X78"/>
    <mergeCell ref="Y78:Z78"/>
    <mergeCell ref="AA78:AB78"/>
    <mergeCell ref="AC78:AD78"/>
    <mergeCell ref="AE78:AF78"/>
    <mergeCell ref="AG78:AH78"/>
    <mergeCell ref="AE36:AF36"/>
    <mergeCell ref="AG36:AH36"/>
    <mergeCell ref="AG32:AH32"/>
    <mergeCell ref="AA33:AB33"/>
    <mergeCell ref="AC33:AD33"/>
    <mergeCell ref="AE33:AF33"/>
    <mergeCell ref="AG33:AH33"/>
    <mergeCell ref="AA34:AB34"/>
    <mergeCell ref="AC34:AD34"/>
    <mergeCell ref="AE34:AF34"/>
    <mergeCell ref="AG34:AH34"/>
    <mergeCell ref="AA35:AB35"/>
    <mergeCell ref="AC35:AD35"/>
    <mergeCell ref="AE35:AF35"/>
    <mergeCell ref="AG35:AH35"/>
    <mergeCell ref="AA32:AB32"/>
    <mergeCell ref="AC32:AD32"/>
    <mergeCell ref="AE32:AF32"/>
    <mergeCell ref="AA36:AB36"/>
    <mergeCell ref="AC36:AD36"/>
    <mergeCell ref="W37:X37"/>
    <mergeCell ref="Y37:Z37"/>
    <mergeCell ref="AA37:AB37"/>
    <mergeCell ref="AC37:AD37"/>
    <mergeCell ref="M80:N80"/>
    <mergeCell ref="O80:P80"/>
    <mergeCell ref="Q80:R80"/>
    <mergeCell ref="S80:T80"/>
    <mergeCell ref="U80:V80"/>
    <mergeCell ref="W80:X80"/>
    <mergeCell ref="Y80:Z80"/>
    <mergeCell ref="AA80:AB80"/>
    <mergeCell ref="AC80:AD80"/>
    <mergeCell ref="AE80:AF80"/>
    <mergeCell ref="AG80:AH80"/>
    <mergeCell ref="A77:F77"/>
    <mergeCell ref="G77:H77"/>
    <mergeCell ref="I77:J77"/>
    <mergeCell ref="K77:L77"/>
    <mergeCell ref="M77:N77"/>
    <mergeCell ref="O77:P77"/>
    <mergeCell ref="Q77:R77"/>
    <mergeCell ref="S77:T77"/>
    <mergeCell ref="U77:V77"/>
    <mergeCell ref="W77:X77"/>
    <mergeCell ref="Y77:Z77"/>
    <mergeCell ref="AA77:AB77"/>
    <mergeCell ref="AC77:AD77"/>
    <mergeCell ref="AE77:AF77"/>
    <mergeCell ref="AG77:AH77"/>
    <mergeCell ref="A78:F78"/>
    <mergeCell ref="G78:H78"/>
    <mergeCell ref="I78:J78"/>
    <mergeCell ref="K78:L78"/>
    <mergeCell ref="M78:N78"/>
    <mergeCell ref="O78:P78"/>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79:F79"/>
    <mergeCell ref="G79:H79"/>
    <mergeCell ref="I79:J79"/>
    <mergeCell ref="K79:L79"/>
    <mergeCell ref="M79:N79"/>
    <mergeCell ref="O79:P79"/>
    <mergeCell ref="Q79:R79"/>
    <mergeCell ref="S79:T79"/>
    <mergeCell ref="U79:V79"/>
    <mergeCell ref="W79:X79"/>
    <mergeCell ref="Y79:Z79"/>
    <mergeCell ref="AA79:AB79"/>
    <mergeCell ref="AC79:AD79"/>
    <mergeCell ref="AE79:AF79"/>
    <mergeCell ref="AG79:AH79"/>
    <mergeCell ref="A80:F80"/>
    <mergeCell ref="G80:H80"/>
    <mergeCell ref="I80:J80"/>
    <mergeCell ref="K80:L80"/>
    <mergeCell ref="A83:F83"/>
    <mergeCell ref="G83:H83"/>
    <mergeCell ref="I83:J83"/>
    <mergeCell ref="K83:L83"/>
    <mergeCell ref="M83:N83"/>
    <mergeCell ref="O83:P83"/>
    <mergeCell ref="Q83:R83"/>
    <mergeCell ref="S83:T83"/>
    <mergeCell ref="U83:V83"/>
    <mergeCell ref="W83:X83"/>
    <mergeCell ref="Y83:Z83"/>
    <mergeCell ref="AA83:AB83"/>
    <mergeCell ref="AC83:AD83"/>
    <mergeCell ref="AE83:AF83"/>
    <mergeCell ref="AG83:AH83"/>
    <mergeCell ref="A81:F81"/>
    <mergeCell ref="G81:H81"/>
    <mergeCell ref="I81:J81"/>
    <mergeCell ref="K81:L81"/>
    <mergeCell ref="M81:N81"/>
    <mergeCell ref="O81:P81"/>
    <mergeCell ref="Q81:R81"/>
    <mergeCell ref="S81:T81"/>
    <mergeCell ref="U81:V81"/>
    <mergeCell ref="W81:X81"/>
    <mergeCell ref="Y81:Z81"/>
    <mergeCell ref="AA81:AB81"/>
    <mergeCell ref="AC81:AD81"/>
    <mergeCell ref="AE81:AF81"/>
    <mergeCell ref="AG81:AH81"/>
    <mergeCell ref="A82:F82"/>
    <mergeCell ref="G82:H82"/>
  </mergeCells>
  <conditionalFormatting sqref="A10:AI83">
    <cfRule type="expression" dxfId="118" priority="1">
      <formula>ISBLANK($A10)</formula>
    </cfRule>
  </conditionalFormatting>
  <dataValidations disablePrompts="1" count="9">
    <dataValidation allowBlank="1" showInputMessage="1" showErrorMessage="1" prompt="The upside potential of a portfolio or asset. It is conceptually similar to ETL but applies to gains rather than losses, i.e. ETR measure the average gain should the positive VaR be exceeded" sqref="I8:J8" xr:uid="{00000000-0002-0000-0500-000000000000}"/>
    <dataValidation allowBlank="1" showInputMessage="1" showErrorMessage="1" prompt="The average (expected) loss beyond Value-at-Risk (VaR). It can be interpreted as the expected shortfall given that the VaR threshold has been exceeded. It is a risk measure focusing on downside only" sqref="K8:L8" xr:uid="{00000000-0002-0000-0500-000001000000}"/>
    <dataValidation allowBlank="1" showInputMessage="1" showErrorMessage="1" prompt="The highest possible loss over a certain period of time with a given level of confidence" sqref="M8:N8" xr:uid="{00000000-0002-0000-0500-000002000000}"/>
    <dataValidation allowBlank="1" showInputMessage="1" showErrorMessage="1" prompt="The fraction of total portfolio volatility contributed by each asset/strategy" sqref="O8:P8" xr:uid="{00000000-0002-0000-0500-000003000000}"/>
    <dataValidation allowBlank="1" showInputMessage="1" showErrorMessage="1" prompt="The fraction of total portfolio expected tail loss contributed by each asset/strategy" sqref="Q8:R8" xr:uid="{00000000-0002-0000-0500-000004000000}"/>
    <dataValidation allowBlank="1" showInputMessage="1" showErrorMessage="1" prompt="The fraction of total portfolio expected tail return contributed by each asset/strategy" sqref="S8:T8" xr:uid="{00000000-0002-0000-0500-000005000000}"/>
    <dataValidation allowBlank="1" showInputMessage="1" showErrorMessage="1" prompt="Portfolio volatility sensitivity to a small change in the weight of each asset" sqref="U8:V8" xr:uid="{00000000-0002-0000-0500-000006000000}"/>
    <dataValidation allowBlank="1" showInputMessage="1" showErrorMessage="1" prompt="Portfolio expected tail loss sensitivity to a small change in the weight of each asset" sqref="W8:X8" xr:uid="{00000000-0002-0000-0500-000007000000}"/>
    <dataValidation allowBlank="1" showInputMessage="1" showErrorMessage="1" prompt="Portfolio expected tail return sensitivity to a small change in the weight of each asset" sqref="Y8:Z8" xr:uid="{00000000-0002-0000-0500-000008000000}"/>
  </dataValidations>
  <pageMargins left="0.7" right="0.7" top="0" bottom="0" header="0" footer="0"/>
  <pageSetup scale="66"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I85"/>
  <sheetViews>
    <sheetView showGridLines="0" zoomScaleNormal="100" workbookViewId="0">
      <selection activeCell="Q10" sqref="Q10:Y10"/>
    </sheetView>
  </sheetViews>
  <sheetFormatPr defaultRowHeight="15" x14ac:dyDescent="0.25"/>
  <cols>
    <col min="1" max="15" width="5" style="41" customWidth="1"/>
    <col min="16" max="16" width="11.42578125" style="41" customWidth="1"/>
    <col min="17" max="35" width="5" style="41" customWidth="1"/>
    <col min="36" max="16384" width="9.140625" style="41"/>
  </cols>
  <sheetData>
    <row r="1" spans="1:35" x14ac:dyDescent="0.25">
      <c r="B1" s="386"/>
      <c r="C1" s="386"/>
      <c r="D1" s="386"/>
      <c r="E1" s="386"/>
      <c r="F1" s="386"/>
      <c r="G1" s="386"/>
      <c r="H1" s="386"/>
      <c r="I1" s="386"/>
      <c r="J1" s="386"/>
    </row>
    <row r="2" spans="1:35" x14ac:dyDescent="0.25">
      <c r="B2" s="386"/>
      <c r="C2" s="386"/>
      <c r="D2" s="386"/>
      <c r="E2" s="386"/>
      <c r="F2" s="386"/>
      <c r="G2" s="386"/>
      <c r="H2" s="386"/>
      <c r="I2" s="386"/>
      <c r="J2" s="386"/>
    </row>
    <row r="3" spans="1:35" customFormat="1" ht="6" customHeight="1" x14ac:dyDescent="0.25"/>
    <row r="4" spans="1:35" ht="11.25" customHeight="1" x14ac:dyDescent="0.25">
      <c r="A4" s="395" t="s">
        <v>169</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10.5" customHeight="1" x14ac:dyDescent="0.25">
      <c r="A5" s="471" t="s">
        <v>115</v>
      </c>
      <c r="B5" s="472"/>
      <c r="C5" s="472"/>
      <c r="D5" s="472"/>
      <c r="E5" s="472"/>
      <c r="F5" s="472"/>
      <c r="G5" s="472"/>
      <c r="H5" s="472"/>
      <c r="I5" s="472"/>
      <c r="J5" s="472"/>
      <c r="K5" s="472"/>
      <c r="L5" s="472"/>
      <c r="M5" s="472"/>
      <c r="N5" s="472"/>
      <c r="O5" s="472"/>
      <c r="P5" s="472"/>
      <c r="Q5" s="472"/>
      <c r="R5" s="472"/>
      <c r="S5" s="472"/>
      <c r="T5" s="472"/>
      <c r="U5" s="472"/>
      <c r="V5" s="472"/>
      <c r="W5" s="472"/>
      <c r="X5" s="472"/>
      <c r="Y5" s="472"/>
      <c r="Z5" s="472"/>
      <c r="AA5" s="472"/>
      <c r="AB5" s="472"/>
      <c r="AC5" s="472"/>
      <c r="AD5" s="472"/>
      <c r="AE5" s="472"/>
      <c r="AF5" s="472"/>
      <c r="AG5" s="472"/>
      <c r="AH5" s="472"/>
      <c r="AI5" s="472"/>
    </row>
    <row r="6" spans="1:35" ht="11.25" customHeight="1" x14ac:dyDescent="0.25">
      <c r="A6" s="473"/>
      <c r="B6" s="474"/>
      <c r="C6" s="474"/>
      <c r="D6" s="474"/>
      <c r="E6" s="474"/>
      <c r="F6" s="474"/>
      <c r="G6" s="474"/>
      <c r="H6" s="474"/>
      <c r="I6" s="474"/>
      <c r="J6" s="474"/>
      <c r="K6" s="474"/>
      <c r="L6" s="474"/>
      <c r="M6" s="474"/>
      <c r="N6" s="474"/>
      <c r="O6" s="474"/>
      <c r="P6" s="474"/>
      <c r="Q6" s="474"/>
      <c r="R6" s="474"/>
      <c r="S6" s="474"/>
      <c r="T6" s="474"/>
      <c r="U6" s="474"/>
      <c r="V6" s="474"/>
      <c r="W6" s="474"/>
      <c r="X6" s="474"/>
      <c r="Y6" s="474"/>
      <c r="Z6" s="474"/>
      <c r="AA6" s="474"/>
      <c r="AB6" s="474"/>
      <c r="AC6" s="474"/>
      <c r="AD6" s="474"/>
      <c r="AE6" s="474"/>
      <c r="AF6" s="474"/>
      <c r="AG6" s="474"/>
      <c r="AH6" s="474"/>
      <c r="AI6" s="474"/>
    </row>
    <row r="7" spans="1:35" ht="5.25" customHeight="1" x14ac:dyDescent="0.25">
      <c r="A7" s="102"/>
      <c r="B7" s="96"/>
      <c r="C7" s="96"/>
      <c r="D7" s="96"/>
      <c r="E7" s="96"/>
      <c r="F7" s="96"/>
      <c r="G7" s="96"/>
      <c r="H7" s="96"/>
      <c r="I7" s="96"/>
      <c r="J7" s="96"/>
      <c r="K7" s="96"/>
      <c r="L7" s="96"/>
      <c r="M7" s="96"/>
      <c r="N7" s="96"/>
      <c r="O7" s="96"/>
      <c r="P7" s="96"/>
      <c r="Q7" s="96"/>
      <c r="R7" s="96"/>
      <c r="S7" s="96"/>
      <c r="T7" s="96"/>
      <c r="U7" s="96"/>
      <c r="V7" s="96"/>
      <c r="W7" s="96"/>
      <c r="X7" s="96"/>
      <c r="Y7" s="96"/>
      <c r="Z7" s="96"/>
      <c r="AA7" s="96"/>
      <c r="AB7" s="96"/>
      <c r="AC7" s="96"/>
    </row>
    <row r="8" spans="1:35" ht="18" hidden="1" customHeight="1" x14ac:dyDescent="0.25">
      <c r="A8" s="63"/>
      <c r="B8" s="63"/>
      <c r="C8" s="63"/>
      <c r="D8" s="63"/>
      <c r="E8" s="63"/>
      <c r="F8" s="63"/>
      <c r="G8" s="64"/>
      <c r="H8" s="64"/>
      <c r="I8" s="64"/>
      <c r="J8" s="64"/>
      <c r="K8" s="64"/>
      <c r="L8" s="64"/>
      <c r="M8" s="64"/>
      <c r="N8" s="64"/>
      <c r="O8" s="64"/>
      <c r="P8" s="64"/>
      <c r="Q8" s="64"/>
      <c r="R8" s="64"/>
      <c r="S8" s="64"/>
    </row>
    <row r="9" spans="1:35" ht="19.5" customHeight="1" x14ac:dyDescent="0.25">
      <c r="A9" s="53"/>
      <c r="B9" s="53"/>
      <c r="C9" s="53"/>
      <c r="D9" s="53"/>
      <c r="E9" s="53"/>
      <c r="F9" s="53"/>
      <c r="G9" s="61"/>
      <c r="H9" s="61"/>
      <c r="I9" s="61"/>
      <c r="J9" s="61"/>
      <c r="K9" s="61"/>
      <c r="L9" s="61"/>
      <c r="M9" s="61"/>
      <c r="N9" s="61"/>
      <c r="O9" s="61"/>
      <c r="P9" s="64"/>
      <c r="Q9" s="219"/>
      <c r="R9" s="101"/>
      <c r="S9" s="101"/>
      <c r="T9" s="101"/>
      <c r="U9" s="101"/>
      <c r="V9" s="101"/>
      <c r="W9" s="101"/>
      <c r="X9" s="476"/>
      <c r="Y9" s="476"/>
      <c r="Z9" s="476" t="s">
        <v>225</v>
      </c>
      <c r="AA9" s="476"/>
      <c r="AB9" s="476" t="s">
        <v>18</v>
      </c>
      <c r="AC9" s="476"/>
      <c r="AD9" s="476" t="s">
        <v>121</v>
      </c>
      <c r="AE9" s="476"/>
      <c r="AF9" s="476" t="s">
        <v>62</v>
      </c>
      <c r="AG9" s="476"/>
      <c r="AH9" s="476" t="s">
        <v>63</v>
      </c>
      <c r="AI9" s="476"/>
    </row>
    <row r="10" spans="1:35" ht="10.5" customHeight="1" x14ac:dyDescent="0.25">
      <c r="B10" s="65"/>
      <c r="C10" s="65"/>
      <c r="D10" s="65"/>
      <c r="E10" s="65"/>
      <c r="F10" s="65"/>
      <c r="G10" s="259"/>
      <c r="H10" s="259"/>
      <c r="I10" s="259"/>
      <c r="J10" s="259"/>
      <c r="K10" s="259"/>
      <c r="L10" s="259"/>
      <c r="M10" s="259"/>
      <c r="N10" s="259"/>
      <c r="O10" s="259"/>
      <c r="P10" s="147"/>
      <c r="Q10" s="449" t="s">
        <v>351</v>
      </c>
      <c r="R10" s="467"/>
      <c r="S10" s="467"/>
      <c r="T10" s="467"/>
      <c r="U10" s="467"/>
      <c r="V10" s="467"/>
      <c r="W10" s="467"/>
      <c r="X10" s="467"/>
      <c r="Y10" s="467"/>
      <c r="Z10" s="448">
        <v>100</v>
      </c>
      <c r="AA10" s="477"/>
      <c r="AB10" s="448">
        <v>0.9376493977324154</v>
      </c>
      <c r="AC10" s="458"/>
      <c r="AD10" s="448" t="s">
        <v>294</v>
      </c>
      <c r="AE10" s="458"/>
      <c r="AF10" s="448" t="s">
        <v>294</v>
      </c>
      <c r="AG10" s="458"/>
      <c r="AH10" s="470" t="s">
        <v>294</v>
      </c>
      <c r="AI10" s="475"/>
    </row>
    <row r="11" spans="1:35" ht="10.5" customHeight="1" x14ac:dyDescent="0.25">
      <c r="A11" s="262"/>
      <c r="B11" s="260"/>
      <c r="C11" s="260"/>
      <c r="D11" s="260"/>
      <c r="E11" s="260"/>
      <c r="F11" s="260"/>
      <c r="G11" s="261"/>
      <c r="H11" s="261"/>
      <c r="I11" s="261"/>
      <c r="J11" s="261"/>
      <c r="K11" s="261"/>
      <c r="L11" s="261"/>
      <c r="M11" s="261"/>
      <c r="N11" s="261"/>
      <c r="O11" s="261"/>
      <c r="P11" s="147">
        <f>IF(ISBLANK(Q11)=TRUE,"",1)</f>
        <v>1</v>
      </c>
      <c r="Q11" s="449" t="s">
        <v>322</v>
      </c>
      <c r="R11" s="464"/>
      <c r="S11" s="464"/>
      <c r="T11" s="464"/>
      <c r="U11" s="464"/>
      <c r="V11" s="464"/>
      <c r="W11" s="464"/>
      <c r="X11" s="464"/>
      <c r="Y11" s="464"/>
      <c r="Z11" s="448">
        <v>2.1508199127308192</v>
      </c>
      <c r="AA11" s="465"/>
      <c r="AB11" s="448">
        <v>0.52696580394678449</v>
      </c>
      <c r="AC11" s="440"/>
      <c r="AD11" s="448">
        <v>0.76447256455201174</v>
      </c>
      <c r="AE11" s="440"/>
      <c r="AF11" s="448">
        <v>0.82020124829641639</v>
      </c>
      <c r="AG11" s="440"/>
      <c r="AH11" s="470">
        <v>-0.29323544434963189</v>
      </c>
      <c r="AI11" s="466"/>
    </row>
    <row r="12" spans="1:35" ht="10.5" customHeight="1" x14ac:dyDescent="0.25">
      <c r="A12" s="65"/>
      <c r="B12" s="65"/>
      <c r="C12" s="65"/>
      <c r="D12" s="65"/>
      <c r="E12" s="65"/>
      <c r="F12" s="65"/>
      <c r="G12" s="259"/>
      <c r="H12" s="259"/>
      <c r="I12" s="259"/>
      <c r="J12" s="259"/>
      <c r="K12" s="259"/>
      <c r="L12" s="259"/>
      <c r="M12" s="259"/>
      <c r="N12" s="259"/>
      <c r="O12" s="259"/>
      <c r="P12" s="147">
        <f>IF(ISBLANK(Q12)=TRUE,"",2)</f>
        <v>2</v>
      </c>
      <c r="Q12" s="464" t="s">
        <v>330</v>
      </c>
      <c r="R12" s="464"/>
      <c r="S12" s="464"/>
      <c r="T12" s="464"/>
      <c r="U12" s="464"/>
      <c r="V12" s="464"/>
      <c r="W12" s="464"/>
      <c r="X12" s="464"/>
      <c r="Y12" s="464"/>
      <c r="Z12" s="465">
        <v>0.63216726934408507</v>
      </c>
      <c r="AA12" s="465"/>
      <c r="AB12" s="440">
        <v>0.23526581837368488</v>
      </c>
      <c r="AC12" s="440"/>
      <c r="AD12" s="440">
        <v>-0.48610383221778891</v>
      </c>
      <c r="AE12" s="440"/>
      <c r="AF12" s="440">
        <v>-0.52153993285598943</v>
      </c>
      <c r="AG12" s="440"/>
      <c r="AH12" s="466">
        <v>0.75680575122967431</v>
      </c>
      <c r="AI12" s="466"/>
    </row>
    <row r="13" spans="1:35" ht="10.5" customHeight="1" x14ac:dyDescent="0.25">
      <c r="A13" s="65"/>
      <c r="B13" s="65"/>
      <c r="C13" s="65"/>
      <c r="D13" s="65"/>
      <c r="E13" s="65"/>
      <c r="F13" s="65"/>
      <c r="G13" s="259"/>
      <c r="H13" s="259"/>
      <c r="I13" s="259"/>
      <c r="J13" s="259"/>
      <c r="K13" s="259"/>
      <c r="L13" s="259"/>
      <c r="M13" s="259"/>
      <c r="N13" s="259"/>
      <c r="O13" s="259"/>
      <c r="P13" s="147">
        <f>IF(ISBLANK(Q13)=TRUE,"",3)</f>
        <v>3</v>
      </c>
      <c r="Q13" s="464" t="s">
        <v>337</v>
      </c>
      <c r="R13" s="464"/>
      <c r="S13" s="464"/>
      <c r="T13" s="464"/>
      <c r="U13" s="464"/>
      <c r="V13" s="464"/>
      <c r="W13" s="464"/>
      <c r="X13" s="464"/>
      <c r="Y13" s="464"/>
      <c r="Z13" s="465">
        <v>1.5186526433867344</v>
      </c>
      <c r="AA13" s="465"/>
      <c r="AB13" s="440">
        <v>0.64839132159262669</v>
      </c>
      <c r="AC13" s="440"/>
      <c r="AD13" s="440">
        <v>1.2850481348084899</v>
      </c>
      <c r="AE13" s="440"/>
      <c r="AF13" s="440">
        <v>1.3787258472886574</v>
      </c>
      <c r="AG13" s="440"/>
      <c r="AH13" s="466">
        <v>-0.73033452569603075</v>
      </c>
      <c r="AI13" s="466"/>
    </row>
    <row r="14" spans="1:35" ht="10.5" customHeight="1" x14ac:dyDescent="0.25">
      <c r="A14" s="260"/>
      <c r="B14" s="260"/>
      <c r="C14" s="260"/>
      <c r="D14" s="260"/>
      <c r="E14" s="260"/>
      <c r="F14" s="260"/>
      <c r="G14" s="261"/>
      <c r="H14" s="261"/>
      <c r="I14" s="261"/>
      <c r="J14" s="261"/>
      <c r="K14" s="261"/>
      <c r="L14" s="261"/>
      <c r="M14" s="261"/>
      <c r="N14" s="261"/>
      <c r="O14" s="261"/>
      <c r="P14" s="147">
        <f>IF(ISBLANK(Q14)=TRUE,"",4)</f>
        <v>4</v>
      </c>
      <c r="Q14" s="449" t="s">
        <v>320</v>
      </c>
      <c r="R14" s="464"/>
      <c r="S14" s="464"/>
      <c r="T14" s="464"/>
      <c r="U14" s="464"/>
      <c r="V14" s="464"/>
      <c r="W14" s="464"/>
      <c r="X14" s="464"/>
      <c r="Y14" s="464"/>
      <c r="Z14" s="448">
        <v>6.6920935905961025</v>
      </c>
      <c r="AA14" s="465"/>
      <c r="AB14" s="448">
        <v>0.71084486914380762</v>
      </c>
      <c r="AC14" s="440"/>
      <c r="AD14" s="448">
        <v>2.4810784144745837</v>
      </c>
      <c r="AE14" s="440"/>
      <c r="AF14" s="448">
        <v>2.6619445968814675</v>
      </c>
      <c r="AG14" s="440"/>
      <c r="AH14" s="470">
        <v>-1.9510997277376598</v>
      </c>
      <c r="AI14" s="466"/>
    </row>
    <row r="15" spans="1:35" ht="10.5" customHeight="1" x14ac:dyDescent="0.25">
      <c r="A15" s="65"/>
      <c r="B15" s="65"/>
      <c r="C15" s="65"/>
      <c r="D15" s="65"/>
      <c r="E15" s="65"/>
      <c r="F15" s="65"/>
      <c r="G15" s="259"/>
      <c r="H15" s="259"/>
      <c r="I15" s="259"/>
      <c r="J15" s="259"/>
      <c r="K15" s="259"/>
      <c r="L15" s="259"/>
      <c r="M15" s="259"/>
      <c r="N15" s="259"/>
      <c r="O15" s="259"/>
      <c r="P15" s="147">
        <f>IF(ISBLANK(Q15)=TRUE,"",5)</f>
        <v>5</v>
      </c>
      <c r="Q15" s="464" t="s">
        <v>326</v>
      </c>
      <c r="R15" s="464"/>
      <c r="S15" s="464"/>
      <c r="T15" s="464"/>
      <c r="U15" s="464"/>
      <c r="V15" s="464"/>
      <c r="W15" s="464"/>
      <c r="X15" s="464"/>
      <c r="Y15" s="464"/>
      <c r="Z15" s="465">
        <v>7.4708538114854242E-2</v>
      </c>
      <c r="AA15" s="465"/>
      <c r="AB15" s="440">
        <v>0.87289775521258461</v>
      </c>
      <c r="AC15" s="440"/>
      <c r="AD15" s="440">
        <v>-0.48203512894296996</v>
      </c>
      <c r="AE15" s="440"/>
      <c r="AF15" s="440">
        <v>-0.51717462838373562</v>
      </c>
      <c r="AG15" s="440"/>
      <c r="AH15" s="466">
        <v>1.3900723835963202</v>
      </c>
      <c r="AI15" s="466"/>
    </row>
    <row r="16" spans="1:35" ht="10.5" customHeight="1" x14ac:dyDescent="0.25">
      <c r="A16" s="65"/>
      <c r="B16" s="65"/>
      <c r="C16" s="65"/>
      <c r="D16" s="65"/>
      <c r="E16" s="65"/>
      <c r="F16" s="65"/>
      <c r="G16" s="259"/>
      <c r="H16" s="259"/>
      <c r="I16" s="259"/>
      <c r="J16" s="259"/>
      <c r="K16" s="259"/>
      <c r="L16" s="259"/>
      <c r="M16" s="259"/>
      <c r="N16" s="259"/>
      <c r="O16" s="259"/>
      <c r="P16" s="147">
        <f>IF(ISBLANK(Q16)=TRUE,"",6)</f>
        <v>6</v>
      </c>
      <c r="Q16" s="464" t="s">
        <v>329</v>
      </c>
      <c r="R16" s="464"/>
      <c r="S16" s="464"/>
      <c r="T16" s="464"/>
      <c r="U16" s="464"/>
      <c r="V16" s="464"/>
      <c r="W16" s="464"/>
      <c r="X16" s="464"/>
      <c r="Y16" s="464"/>
      <c r="Z16" s="465">
        <v>0.31241514888606614</v>
      </c>
      <c r="AA16" s="465"/>
      <c r="AB16" s="440">
        <v>0.8489291545414801</v>
      </c>
      <c r="AC16" s="440"/>
      <c r="AD16" s="440">
        <v>-0.21583425689737501</v>
      </c>
      <c r="AE16" s="440"/>
      <c r="AF16" s="440">
        <v>-0.2315681885014359</v>
      </c>
      <c r="AG16" s="440"/>
      <c r="AH16" s="466">
        <v>1.0804973430429161</v>
      </c>
      <c r="AI16" s="466"/>
    </row>
    <row r="17" spans="1:35" ht="10.5" customHeight="1" x14ac:dyDescent="0.25">
      <c r="A17" s="260"/>
      <c r="B17" s="260"/>
      <c r="C17" s="260"/>
      <c r="D17" s="260"/>
      <c r="E17" s="260"/>
      <c r="F17" s="260"/>
      <c r="G17" s="261"/>
      <c r="H17" s="261"/>
      <c r="I17" s="261"/>
      <c r="J17" s="261"/>
      <c r="K17" s="261"/>
      <c r="L17" s="261"/>
      <c r="M17" s="261"/>
      <c r="N17" s="261"/>
      <c r="O17" s="261"/>
      <c r="P17" s="147">
        <f>IF(ISBLANK(Q17)=TRUE,"",7)</f>
        <v>7</v>
      </c>
      <c r="Q17" s="464" t="s">
        <v>341</v>
      </c>
      <c r="R17" s="464"/>
      <c r="S17" s="464"/>
      <c r="T17" s="464"/>
      <c r="U17" s="464"/>
      <c r="V17" s="464"/>
      <c r="W17" s="464"/>
      <c r="X17" s="464"/>
      <c r="Y17" s="464"/>
      <c r="Z17" s="465">
        <v>6.1233379465673921E-2</v>
      </c>
      <c r="AA17" s="465"/>
      <c r="AB17" s="440">
        <v>-7.0365045698543821E-2</v>
      </c>
      <c r="AC17" s="440"/>
      <c r="AD17" s="440">
        <v>2.0657822450594341</v>
      </c>
      <c r="AE17" s="440"/>
      <c r="AF17" s="440">
        <v>2.2163740789039705</v>
      </c>
      <c r="AG17" s="440"/>
      <c r="AH17" s="466">
        <v>-2.2867391246025144</v>
      </c>
      <c r="AI17" s="466"/>
    </row>
    <row r="18" spans="1:35" ht="10.5" customHeight="1" x14ac:dyDescent="0.25">
      <c r="A18" s="65"/>
      <c r="B18" s="65"/>
      <c r="C18" s="65"/>
      <c r="D18" s="65"/>
      <c r="E18" s="65"/>
      <c r="F18" s="65"/>
      <c r="G18" s="259"/>
      <c r="H18" s="259"/>
      <c r="I18" s="259"/>
      <c r="J18" s="259"/>
      <c r="K18" s="259"/>
      <c r="L18" s="259"/>
      <c r="M18" s="259"/>
      <c r="N18" s="259"/>
      <c r="O18" s="259"/>
      <c r="P18" s="147">
        <f>IF(ISBLANK(Q18)=TRUE,"",8)</f>
        <v>8</v>
      </c>
      <c r="Q18" s="464" t="s">
        <v>310</v>
      </c>
      <c r="R18" s="464"/>
      <c r="S18" s="464"/>
      <c r="T18" s="464"/>
      <c r="U18" s="464"/>
      <c r="V18" s="464"/>
      <c r="W18" s="464"/>
      <c r="X18" s="464"/>
      <c r="Y18" s="464"/>
      <c r="Z18" s="465">
        <v>2.0217776167760064</v>
      </c>
      <c r="AA18" s="465"/>
      <c r="AB18" s="440">
        <v>0.34156768158000195</v>
      </c>
      <c r="AC18" s="440"/>
      <c r="AD18" s="440">
        <v>-0.66547759197340295</v>
      </c>
      <c r="AE18" s="440"/>
      <c r="AF18" s="440">
        <v>-0.71398971913365827</v>
      </c>
      <c r="AG18" s="440"/>
      <c r="AH18" s="466">
        <v>1.0555574007136603</v>
      </c>
      <c r="AI18" s="466"/>
    </row>
    <row r="19" spans="1:35" ht="10.5" customHeight="1" x14ac:dyDescent="0.25">
      <c r="A19" s="65"/>
      <c r="B19" s="65"/>
      <c r="C19" s="65"/>
      <c r="D19" s="65"/>
      <c r="E19" s="65"/>
      <c r="F19" s="65"/>
      <c r="G19" s="259"/>
      <c r="H19" s="259"/>
      <c r="I19" s="259"/>
      <c r="J19" s="259"/>
      <c r="K19" s="259"/>
      <c r="L19" s="259"/>
      <c r="M19" s="259"/>
      <c r="N19" s="259"/>
      <c r="O19" s="259"/>
      <c r="P19" s="147">
        <f>IF(ISBLANK(Q19)=TRUE,"",9)</f>
        <v>9</v>
      </c>
      <c r="Q19" s="464" t="s">
        <v>305</v>
      </c>
      <c r="R19" s="464"/>
      <c r="S19" s="464"/>
      <c r="T19" s="464"/>
      <c r="U19" s="464"/>
      <c r="V19" s="464"/>
      <c r="W19" s="464"/>
      <c r="X19" s="464"/>
      <c r="Y19" s="464"/>
      <c r="Z19" s="465">
        <v>2.451922259654467</v>
      </c>
      <c r="AA19" s="465"/>
      <c r="AB19" s="440">
        <v>0.51903774134260061</v>
      </c>
      <c r="AC19" s="440"/>
      <c r="AD19" s="440">
        <v>4.5622008412224346</v>
      </c>
      <c r="AE19" s="440"/>
      <c r="AF19" s="440">
        <v>4.8947771293040514</v>
      </c>
      <c r="AG19" s="440"/>
      <c r="AH19" s="466">
        <v>-4.3757393879614508</v>
      </c>
      <c r="AI19" s="466"/>
    </row>
    <row r="20" spans="1:35" ht="10.5" customHeight="1" x14ac:dyDescent="0.25">
      <c r="A20" s="260"/>
      <c r="B20" s="260"/>
      <c r="C20" s="260"/>
      <c r="D20" s="260"/>
      <c r="E20" s="260"/>
      <c r="F20" s="260"/>
      <c r="G20" s="261"/>
      <c r="H20" s="261"/>
      <c r="I20" s="261"/>
      <c r="J20" s="261"/>
      <c r="K20" s="261"/>
      <c r="L20" s="261"/>
      <c r="M20" s="261"/>
      <c r="N20" s="261"/>
      <c r="O20" s="261"/>
      <c r="P20" s="147">
        <f>IF(ISBLANK(Q20)=TRUE,"",10)</f>
        <v>10</v>
      </c>
      <c r="Q20" s="464" t="s">
        <v>346</v>
      </c>
      <c r="R20" s="464"/>
      <c r="S20" s="464"/>
      <c r="T20" s="464"/>
      <c r="U20" s="464"/>
      <c r="V20" s="464"/>
      <c r="W20" s="464"/>
      <c r="X20" s="464"/>
      <c r="Y20" s="464"/>
      <c r="Z20" s="465">
        <v>0.99540528455700705</v>
      </c>
      <c r="AA20" s="465"/>
      <c r="AB20" s="440">
        <v>1.5690664565354817</v>
      </c>
      <c r="AC20" s="440"/>
      <c r="AD20" s="440">
        <v>0.1491950547596631</v>
      </c>
      <c r="AE20" s="440"/>
      <c r="AF20" s="440">
        <v>0.16007110762076576</v>
      </c>
      <c r="AG20" s="440"/>
      <c r="AH20" s="466">
        <v>1.408995348914716</v>
      </c>
      <c r="AI20" s="466"/>
    </row>
    <row r="21" spans="1:35" ht="10.5" customHeight="1" x14ac:dyDescent="0.25">
      <c r="A21" s="65"/>
      <c r="B21" s="65"/>
      <c r="C21" s="65"/>
      <c r="D21" s="65"/>
      <c r="E21" s="65"/>
      <c r="F21" s="65"/>
      <c r="G21" s="259"/>
      <c r="H21" s="259"/>
      <c r="I21" s="259"/>
      <c r="J21" s="259"/>
      <c r="K21" s="259"/>
      <c r="L21" s="259"/>
      <c r="M21" s="259"/>
      <c r="N21" s="259"/>
      <c r="O21" s="259"/>
      <c r="P21" s="147">
        <f>IF(ISBLANK(Q21)=TRUE,"",11)</f>
        <v>11</v>
      </c>
      <c r="Q21" s="464" t="s">
        <v>304</v>
      </c>
      <c r="R21" s="464"/>
      <c r="S21" s="464"/>
      <c r="T21" s="464"/>
      <c r="U21" s="464"/>
      <c r="V21" s="464"/>
      <c r="W21" s="464"/>
      <c r="X21" s="464"/>
      <c r="Y21" s="464"/>
      <c r="Z21" s="465">
        <v>0.77463136314202918</v>
      </c>
      <c r="AA21" s="465"/>
      <c r="AB21" s="440">
        <v>1.1693906991605869</v>
      </c>
      <c r="AC21" s="440"/>
      <c r="AD21" s="440">
        <v>8.5089925743591461</v>
      </c>
      <c r="AE21" s="440"/>
      <c r="AF21" s="440">
        <v>9.1292829263586732</v>
      </c>
      <c r="AG21" s="440"/>
      <c r="AH21" s="466">
        <v>-7.9598922271980861</v>
      </c>
      <c r="AI21" s="466"/>
    </row>
    <row r="22" spans="1:35" ht="10.5" customHeight="1" x14ac:dyDescent="0.25">
      <c r="A22" s="65"/>
      <c r="B22" s="65"/>
      <c r="C22" s="65"/>
      <c r="D22" s="65"/>
      <c r="E22" s="65"/>
      <c r="F22" s="65"/>
      <c r="G22" s="259"/>
      <c r="H22" s="259"/>
      <c r="I22" s="259"/>
      <c r="J22" s="259"/>
      <c r="K22" s="259"/>
      <c r="L22" s="259"/>
      <c r="M22" s="259"/>
      <c r="N22" s="259"/>
      <c r="O22" s="259"/>
      <c r="P22" s="147">
        <f>IF(ISBLANK(Q22)=TRUE,"",12)</f>
        <v>12</v>
      </c>
      <c r="Q22" s="449" t="s">
        <v>318</v>
      </c>
      <c r="R22" s="464"/>
      <c r="S22" s="464"/>
      <c r="T22" s="464"/>
      <c r="U22" s="464"/>
      <c r="V22" s="464"/>
      <c r="W22" s="464"/>
      <c r="X22" s="464"/>
      <c r="Y22" s="464"/>
      <c r="Z22" s="448">
        <v>13.58995647854081</v>
      </c>
      <c r="AA22" s="465"/>
      <c r="AB22" s="448">
        <v>0.97744841860439702</v>
      </c>
      <c r="AC22" s="440"/>
      <c r="AD22" s="448">
        <v>1.6134786363166522</v>
      </c>
      <c r="AE22" s="440"/>
      <c r="AF22" s="448">
        <v>1.7310983454089415</v>
      </c>
      <c r="AG22" s="440"/>
      <c r="AH22" s="470">
        <v>-0.75364992680454446</v>
      </c>
      <c r="AI22" s="466"/>
    </row>
    <row r="23" spans="1:35" ht="10.5" customHeight="1" x14ac:dyDescent="0.25">
      <c r="A23" s="65"/>
      <c r="B23" s="65"/>
      <c r="C23" s="65"/>
      <c r="D23" s="65"/>
      <c r="E23" s="65"/>
      <c r="F23" s="65"/>
      <c r="G23" s="259"/>
      <c r="H23" s="259"/>
      <c r="I23" s="259"/>
      <c r="J23" s="259"/>
      <c r="K23" s="259"/>
      <c r="L23" s="259"/>
      <c r="M23" s="259"/>
      <c r="N23" s="259"/>
      <c r="O23" s="259"/>
      <c r="P23" s="147">
        <f>IF(ISBLANK(Q23)=TRUE,"",13)</f>
        <v>13</v>
      </c>
      <c r="Q23" s="464" t="s">
        <v>323</v>
      </c>
      <c r="R23" s="464"/>
      <c r="S23" s="464"/>
      <c r="T23" s="464"/>
      <c r="U23" s="464"/>
      <c r="V23" s="464"/>
      <c r="W23" s="464"/>
      <c r="X23" s="464"/>
      <c r="Y23" s="464"/>
      <c r="Z23" s="465">
        <v>3.1198357228620521</v>
      </c>
      <c r="AA23" s="465"/>
      <c r="AB23" s="440">
        <v>1.070412969088532</v>
      </c>
      <c r="AC23" s="440"/>
      <c r="AD23" s="440">
        <v>7.9299843185739863E-2</v>
      </c>
      <c r="AE23" s="440"/>
      <c r="AF23" s="440">
        <v>8.5080660034894826E-2</v>
      </c>
      <c r="AG23" s="440"/>
      <c r="AH23" s="466">
        <v>0.98533230905363722</v>
      </c>
      <c r="AI23" s="466"/>
    </row>
    <row r="24" spans="1:35" ht="10.5" customHeight="1" x14ac:dyDescent="0.25">
      <c r="A24" s="260"/>
      <c r="B24" s="260"/>
      <c r="C24" s="260"/>
      <c r="D24" s="260"/>
      <c r="E24" s="260"/>
      <c r="F24" s="260"/>
      <c r="G24" s="261"/>
      <c r="H24" s="261"/>
      <c r="I24" s="261"/>
      <c r="J24" s="261"/>
      <c r="K24" s="261"/>
      <c r="L24" s="261"/>
      <c r="M24" s="261"/>
      <c r="N24" s="261"/>
      <c r="O24" s="261"/>
      <c r="P24" s="147">
        <f>IF(ISBLANK(Q24)=TRUE,"",14)</f>
        <v>14</v>
      </c>
      <c r="Q24" s="464" t="s">
        <v>332</v>
      </c>
      <c r="R24" s="464"/>
      <c r="S24" s="464"/>
      <c r="T24" s="464"/>
      <c r="U24" s="464"/>
      <c r="V24" s="464"/>
      <c r="W24" s="464"/>
      <c r="X24" s="464"/>
      <c r="Y24" s="464"/>
      <c r="Z24" s="465">
        <v>6.2542639622975651</v>
      </c>
      <c r="AA24" s="465"/>
      <c r="AB24" s="440">
        <v>1.0463513292958786</v>
      </c>
      <c r="AC24" s="440"/>
      <c r="AD24" s="440">
        <v>2.413451607491222</v>
      </c>
      <c r="AE24" s="440"/>
      <c r="AF24" s="440">
        <v>2.5893879165268787</v>
      </c>
      <c r="AG24" s="440"/>
      <c r="AH24" s="466">
        <v>-1.5430365872310001</v>
      </c>
      <c r="AI24" s="466"/>
    </row>
    <row r="25" spans="1:35" ht="10.5" customHeight="1" x14ac:dyDescent="0.25">
      <c r="A25" s="65"/>
      <c r="B25" s="65"/>
      <c r="C25" s="65"/>
      <c r="D25" s="65"/>
      <c r="E25" s="65"/>
      <c r="F25" s="65"/>
      <c r="G25" s="259"/>
      <c r="H25" s="259"/>
      <c r="I25" s="259"/>
      <c r="J25" s="259"/>
      <c r="K25" s="259"/>
      <c r="L25" s="259"/>
      <c r="M25" s="259"/>
      <c r="N25" s="259"/>
      <c r="O25" s="259"/>
      <c r="P25" s="147">
        <f>IF(ISBLANK(Q25)=TRUE,"",15)</f>
        <v>15</v>
      </c>
      <c r="Q25" s="464" t="s">
        <v>333</v>
      </c>
      <c r="R25" s="464"/>
      <c r="S25" s="464"/>
      <c r="T25" s="464"/>
      <c r="U25" s="464"/>
      <c r="V25" s="464"/>
      <c r="W25" s="464"/>
      <c r="X25" s="464"/>
      <c r="Y25" s="464"/>
      <c r="Z25" s="465">
        <v>2.9943734177995665</v>
      </c>
      <c r="AA25" s="465"/>
      <c r="AB25" s="440">
        <v>0.57425514939531197</v>
      </c>
      <c r="AC25" s="440"/>
      <c r="AD25" s="440">
        <v>0.83931385375139567</v>
      </c>
      <c r="AE25" s="440"/>
      <c r="AF25" s="440">
        <v>0.90049833372736299</v>
      </c>
      <c r="AG25" s="440"/>
      <c r="AH25" s="466">
        <v>-0.32624318433205102</v>
      </c>
      <c r="AI25" s="466"/>
    </row>
    <row r="26" spans="1:35" ht="10.5" customHeight="1" x14ac:dyDescent="0.25">
      <c r="A26" s="65"/>
      <c r="B26" s="65"/>
      <c r="C26" s="65"/>
      <c r="D26" s="65"/>
      <c r="E26" s="65"/>
      <c r="F26" s="65"/>
      <c r="G26" s="259"/>
      <c r="H26" s="259"/>
      <c r="I26" s="259"/>
      <c r="J26" s="259"/>
      <c r="K26" s="259"/>
      <c r="L26" s="259"/>
      <c r="M26" s="259"/>
      <c r="N26" s="259"/>
      <c r="O26" s="259"/>
      <c r="P26" s="147">
        <f>IF(ISBLANK(Q26)=TRUE,"",16)</f>
        <v>16</v>
      </c>
      <c r="Q26" s="464" t="s">
        <v>308</v>
      </c>
      <c r="R26" s="464"/>
      <c r="S26" s="464"/>
      <c r="T26" s="464"/>
      <c r="U26" s="464"/>
      <c r="V26" s="464"/>
      <c r="W26" s="464"/>
      <c r="X26" s="464"/>
      <c r="Y26" s="464"/>
      <c r="Z26" s="465">
        <v>1.2214833755816248</v>
      </c>
      <c r="AA26" s="465"/>
      <c r="AB26" s="440">
        <v>1.3756037275364426</v>
      </c>
      <c r="AC26" s="440"/>
      <c r="AD26" s="440">
        <v>3.3337493887132088</v>
      </c>
      <c r="AE26" s="440"/>
      <c r="AF26" s="440">
        <v>3.5767737613086763</v>
      </c>
      <c r="AG26" s="440"/>
      <c r="AH26" s="466">
        <v>-2.2011700337722337</v>
      </c>
      <c r="AI26" s="466"/>
    </row>
    <row r="27" spans="1:35" ht="10.5" customHeight="1" x14ac:dyDescent="0.25">
      <c r="A27" s="65"/>
      <c r="B27" s="65"/>
      <c r="C27" s="65"/>
      <c r="D27" s="65"/>
      <c r="E27" s="65"/>
      <c r="F27" s="65"/>
      <c r="G27" s="259"/>
      <c r="H27" s="259"/>
      <c r="I27" s="259"/>
      <c r="J27" s="259"/>
      <c r="K27" s="259"/>
      <c r="L27" s="259"/>
      <c r="M27" s="259"/>
      <c r="N27" s="259"/>
      <c r="O27" s="259"/>
      <c r="P27" s="147">
        <f>IF(ISBLANK(Q27)=TRUE,"",17)</f>
        <v>17</v>
      </c>
      <c r="Q27" s="449" t="s">
        <v>319</v>
      </c>
      <c r="R27" s="464"/>
      <c r="S27" s="464"/>
      <c r="T27" s="464"/>
      <c r="U27" s="464"/>
      <c r="V27" s="464"/>
      <c r="W27" s="464"/>
      <c r="X27" s="464"/>
      <c r="Y27" s="464"/>
      <c r="Z27" s="448">
        <v>8.6928087975345498</v>
      </c>
      <c r="AA27" s="465"/>
      <c r="AB27" s="448">
        <v>0.82495861727283271</v>
      </c>
      <c r="AC27" s="440"/>
      <c r="AD27" s="448">
        <v>-6.8971375279234068E-2</v>
      </c>
      <c r="AE27" s="440"/>
      <c r="AF27" s="448">
        <v>-7.3999265276313966E-2</v>
      </c>
      <c r="AG27" s="440"/>
      <c r="AH27" s="470">
        <v>0.89895788254914666</v>
      </c>
      <c r="AI27" s="466"/>
    </row>
    <row r="28" spans="1:35" ht="10.5" customHeight="1" x14ac:dyDescent="0.25">
      <c r="A28" s="65"/>
      <c r="B28" s="65"/>
      <c r="C28" s="65"/>
      <c r="D28" s="65"/>
      <c r="E28" s="65"/>
      <c r="F28" s="65"/>
      <c r="G28" s="259"/>
      <c r="H28" s="259"/>
      <c r="I28" s="259"/>
      <c r="J28" s="259"/>
      <c r="K28" s="259"/>
      <c r="L28" s="259"/>
      <c r="M28" s="259"/>
      <c r="N28" s="259"/>
      <c r="O28" s="259"/>
      <c r="P28" s="147">
        <f>IF(ISBLANK(Q28)=TRUE,"",18)</f>
        <v>18</v>
      </c>
      <c r="Q28" s="464" t="s">
        <v>335</v>
      </c>
      <c r="R28" s="464"/>
      <c r="S28" s="464"/>
      <c r="T28" s="464"/>
      <c r="U28" s="464"/>
      <c r="V28" s="464"/>
      <c r="W28" s="464"/>
      <c r="X28" s="464"/>
      <c r="Y28" s="464"/>
      <c r="Z28" s="465">
        <v>2.131973446106199</v>
      </c>
      <c r="AA28" s="465"/>
      <c r="AB28" s="440">
        <v>0.86964862390834785</v>
      </c>
      <c r="AC28" s="440"/>
      <c r="AD28" s="440">
        <v>5.4908593816934047E-2</v>
      </c>
      <c r="AE28" s="440"/>
      <c r="AF28" s="440">
        <v>5.8911332177423233E-2</v>
      </c>
      <c r="AG28" s="440"/>
      <c r="AH28" s="466">
        <v>0.81073729173092457</v>
      </c>
      <c r="AI28" s="466"/>
    </row>
    <row r="29" spans="1:35" ht="10.5" customHeight="1" x14ac:dyDescent="0.25">
      <c r="A29" s="65"/>
      <c r="B29" s="65"/>
      <c r="C29" s="65"/>
      <c r="D29" s="65"/>
      <c r="E29" s="65"/>
      <c r="F29" s="65"/>
      <c r="G29" s="259"/>
      <c r="H29" s="259"/>
      <c r="I29" s="259"/>
      <c r="J29" s="259"/>
      <c r="K29" s="259"/>
      <c r="L29" s="259"/>
      <c r="M29" s="259"/>
      <c r="N29" s="259"/>
      <c r="O29" s="259"/>
      <c r="P29" s="147">
        <f>IF(ISBLANK(Q29)=TRUE,"",19)</f>
        <v>19</v>
      </c>
      <c r="Q29" s="464" t="s">
        <v>336</v>
      </c>
      <c r="R29" s="464"/>
      <c r="S29" s="464"/>
      <c r="T29" s="464"/>
      <c r="U29" s="464"/>
      <c r="V29" s="464"/>
      <c r="W29" s="464"/>
      <c r="X29" s="464"/>
      <c r="Y29" s="464"/>
      <c r="Z29" s="465">
        <v>1.7445328407307517</v>
      </c>
      <c r="AA29" s="465"/>
      <c r="AB29" s="440">
        <v>0.6302408043882255</v>
      </c>
      <c r="AC29" s="440"/>
      <c r="AD29" s="440">
        <v>0.87795681949155957</v>
      </c>
      <c r="AE29" s="440"/>
      <c r="AF29" s="440">
        <v>0.94195830261000268</v>
      </c>
      <c r="AG29" s="440"/>
      <c r="AH29" s="466">
        <v>-0.31171749822177719</v>
      </c>
      <c r="AI29" s="466"/>
    </row>
    <row r="30" spans="1:35" ht="10.5" customHeight="1" x14ac:dyDescent="0.25">
      <c r="A30" s="65"/>
      <c r="B30" s="65"/>
      <c r="C30" s="65"/>
      <c r="D30" s="65"/>
      <c r="E30" s="65"/>
      <c r="F30" s="65"/>
      <c r="G30" s="259"/>
      <c r="H30" s="259"/>
      <c r="I30" s="259"/>
      <c r="J30" s="259"/>
      <c r="K30" s="259"/>
      <c r="L30" s="259"/>
      <c r="M30" s="259"/>
      <c r="N30" s="259"/>
      <c r="O30" s="259"/>
      <c r="P30" s="147">
        <f>IF(ISBLANK(Q30)=TRUE,"",20)</f>
        <v>20</v>
      </c>
      <c r="Q30" s="464" t="s">
        <v>339</v>
      </c>
      <c r="R30" s="464"/>
      <c r="S30" s="464"/>
      <c r="T30" s="464"/>
      <c r="U30" s="464"/>
      <c r="V30" s="464"/>
      <c r="W30" s="464"/>
      <c r="X30" s="464"/>
      <c r="Y30" s="464"/>
      <c r="Z30" s="465">
        <v>4.8163025106975992</v>
      </c>
      <c r="AA30" s="465"/>
      <c r="AB30" s="440">
        <v>0.87570578509636088</v>
      </c>
      <c r="AC30" s="440"/>
      <c r="AD30" s="440">
        <v>-0.46679857445270523</v>
      </c>
      <c r="AE30" s="440"/>
      <c r="AF30" s="440">
        <v>-0.50082735630082587</v>
      </c>
      <c r="AG30" s="440"/>
      <c r="AH30" s="466">
        <v>1.3765331413971866</v>
      </c>
      <c r="AI30" s="466"/>
    </row>
    <row r="31" spans="1:35" ht="10.5" customHeight="1" x14ac:dyDescent="0.25">
      <c r="A31" s="260"/>
      <c r="B31" s="260"/>
      <c r="C31" s="260"/>
      <c r="D31" s="260"/>
      <c r="E31" s="260"/>
      <c r="F31" s="260"/>
      <c r="G31" s="261"/>
      <c r="H31" s="261"/>
      <c r="I31" s="261"/>
      <c r="J31" s="261"/>
      <c r="K31" s="261"/>
      <c r="L31" s="261"/>
      <c r="M31" s="261"/>
      <c r="N31" s="261"/>
      <c r="O31" s="261"/>
      <c r="P31" s="147">
        <f>IF(ISBLANK(Q31)=TRUE,"",21)</f>
        <v>21</v>
      </c>
      <c r="Q31" s="449" t="s">
        <v>317</v>
      </c>
      <c r="R31" s="464"/>
      <c r="S31" s="464"/>
      <c r="T31" s="464"/>
      <c r="U31" s="464"/>
      <c r="V31" s="464"/>
      <c r="W31" s="464"/>
      <c r="X31" s="464"/>
      <c r="Y31" s="464"/>
      <c r="Z31" s="448">
        <v>14.563052203855554</v>
      </c>
      <c r="AA31" s="465"/>
      <c r="AB31" s="448">
        <v>0.96297433745027849</v>
      </c>
      <c r="AC31" s="440"/>
      <c r="AD31" s="448">
        <v>2.147241368679035</v>
      </c>
      <c r="AE31" s="440"/>
      <c r="AF31" s="448">
        <v>2.3037714270574412</v>
      </c>
      <c r="AG31" s="440"/>
      <c r="AH31" s="470">
        <v>-1.3407970896071628</v>
      </c>
      <c r="AI31" s="466"/>
    </row>
    <row r="32" spans="1:35" ht="10.5" customHeight="1" x14ac:dyDescent="0.25">
      <c r="A32" s="65"/>
      <c r="B32" s="65"/>
      <c r="C32" s="65"/>
      <c r="D32" s="65"/>
      <c r="E32" s="65"/>
      <c r="F32" s="65"/>
      <c r="G32" s="259"/>
      <c r="H32" s="259"/>
      <c r="I32" s="259"/>
      <c r="J32" s="259"/>
      <c r="K32" s="259"/>
      <c r="L32" s="259"/>
      <c r="M32" s="259"/>
      <c r="N32" s="259"/>
      <c r="O32" s="259"/>
      <c r="P32" s="147">
        <f>IF(ISBLANK(Q32)=TRUE,"",22)</f>
        <v>22</v>
      </c>
      <c r="Q32" s="464" t="s">
        <v>312</v>
      </c>
      <c r="R32" s="464"/>
      <c r="S32" s="464"/>
      <c r="T32" s="464"/>
      <c r="U32" s="464"/>
      <c r="V32" s="464"/>
      <c r="W32" s="464"/>
      <c r="X32" s="464"/>
      <c r="Y32" s="464"/>
      <c r="Z32" s="465">
        <v>2.6002025632982382</v>
      </c>
      <c r="AA32" s="465"/>
      <c r="AB32" s="440">
        <v>0.89036567185711524</v>
      </c>
      <c r="AC32" s="440"/>
      <c r="AD32" s="440">
        <v>-0.60281091627904182</v>
      </c>
      <c r="AE32" s="440"/>
      <c r="AF32" s="440">
        <v>-0.64675475477464028</v>
      </c>
      <c r="AG32" s="440"/>
      <c r="AH32" s="466">
        <v>1.5371204266317555</v>
      </c>
      <c r="AI32" s="466"/>
    </row>
    <row r="33" spans="1:35" ht="10.5" customHeight="1" x14ac:dyDescent="0.25">
      <c r="A33" s="65"/>
      <c r="B33" s="65"/>
      <c r="C33" s="65"/>
      <c r="D33" s="65"/>
      <c r="E33" s="65"/>
      <c r="F33" s="65"/>
      <c r="G33" s="259"/>
      <c r="H33" s="259"/>
      <c r="I33" s="259"/>
      <c r="J33" s="259"/>
      <c r="K33" s="259"/>
      <c r="L33" s="259"/>
      <c r="M33" s="259"/>
      <c r="N33" s="259"/>
      <c r="O33" s="259"/>
      <c r="P33" s="147">
        <f>IF(ISBLANK(Q33)=TRUE,"",23)</f>
        <v>23</v>
      </c>
      <c r="Q33" s="464" t="s">
        <v>307</v>
      </c>
      <c r="R33" s="464"/>
      <c r="S33" s="464"/>
      <c r="T33" s="464"/>
      <c r="U33" s="464"/>
      <c r="V33" s="464"/>
      <c r="W33" s="464"/>
      <c r="X33" s="464"/>
      <c r="Y33" s="464"/>
      <c r="Z33" s="465">
        <v>2.9539219988021599</v>
      </c>
      <c r="AA33" s="465"/>
      <c r="AB33" s="440">
        <v>0.73676292898015627</v>
      </c>
      <c r="AC33" s="440"/>
      <c r="AD33" s="440">
        <v>3.6846310090976009</v>
      </c>
      <c r="AE33" s="440"/>
      <c r="AF33" s="440">
        <v>3.9532340247482121</v>
      </c>
      <c r="AG33" s="440"/>
      <c r="AH33" s="466">
        <v>-3.216471095768056</v>
      </c>
      <c r="AI33" s="466"/>
    </row>
    <row r="34" spans="1:35" ht="10.5" customHeight="1" x14ac:dyDescent="0.25">
      <c r="A34" s="260"/>
      <c r="B34" s="260"/>
      <c r="C34" s="260"/>
      <c r="D34" s="260"/>
      <c r="E34" s="260"/>
      <c r="F34" s="260"/>
      <c r="G34" s="261"/>
      <c r="H34" s="261"/>
      <c r="I34" s="261"/>
      <c r="J34" s="261"/>
      <c r="K34" s="261"/>
      <c r="L34" s="261"/>
      <c r="M34" s="261"/>
      <c r="N34" s="261"/>
      <c r="O34" s="261"/>
      <c r="P34" s="147">
        <f>IF(ISBLANK(Q34)=TRUE,"",24)</f>
        <v>24</v>
      </c>
      <c r="Q34" s="464" t="s">
        <v>342</v>
      </c>
      <c r="R34" s="464"/>
      <c r="S34" s="464"/>
      <c r="T34" s="464"/>
      <c r="U34" s="464"/>
      <c r="V34" s="464"/>
      <c r="W34" s="464"/>
      <c r="X34" s="464"/>
      <c r="Y34" s="464"/>
      <c r="Z34" s="465">
        <v>2.6503264412856242</v>
      </c>
      <c r="AA34" s="465"/>
      <c r="AB34" s="440">
        <v>0.56030430209459359</v>
      </c>
      <c r="AC34" s="440"/>
      <c r="AD34" s="440">
        <v>2.6105921263060146</v>
      </c>
      <c r="AE34" s="440"/>
      <c r="AF34" s="440">
        <v>2.8008996268476407</v>
      </c>
      <c r="AG34" s="440"/>
      <c r="AH34" s="466">
        <v>-2.240595324753047</v>
      </c>
      <c r="AI34" s="466"/>
    </row>
    <row r="35" spans="1:35" ht="10.5" customHeight="1" x14ac:dyDescent="0.25">
      <c r="A35" s="65"/>
      <c r="B35" s="65"/>
      <c r="C35" s="65"/>
      <c r="D35" s="65"/>
      <c r="E35" s="65"/>
      <c r="F35" s="65"/>
      <c r="G35" s="259"/>
      <c r="H35" s="259"/>
      <c r="I35" s="259"/>
      <c r="J35" s="259"/>
      <c r="K35" s="259"/>
      <c r="L35" s="259"/>
      <c r="M35" s="259"/>
      <c r="N35" s="259"/>
      <c r="O35" s="259"/>
      <c r="P35" s="147">
        <f>IF(ISBLANK(Q35)=TRUE,"",25)</f>
        <v>25</v>
      </c>
      <c r="Q35" s="464" t="s">
        <v>306</v>
      </c>
      <c r="R35" s="464"/>
      <c r="S35" s="464"/>
      <c r="T35" s="464"/>
      <c r="U35" s="464"/>
      <c r="V35" s="464"/>
      <c r="W35" s="464"/>
      <c r="X35" s="464"/>
      <c r="Y35" s="464"/>
      <c r="Z35" s="465">
        <v>0.86866099113325401</v>
      </c>
      <c r="AA35" s="465"/>
      <c r="AB35" s="440">
        <v>0.48438409188778858</v>
      </c>
      <c r="AC35" s="440"/>
      <c r="AD35" s="440">
        <v>3.9659144711266996</v>
      </c>
      <c r="AE35" s="440"/>
      <c r="AF35" s="440">
        <v>4.2550225484692721</v>
      </c>
      <c r="AG35" s="440"/>
      <c r="AH35" s="466">
        <v>-3.7706384565814837</v>
      </c>
      <c r="AI35" s="466"/>
    </row>
    <row r="36" spans="1:35" ht="10.5" customHeight="1" x14ac:dyDescent="0.25">
      <c r="A36" s="65"/>
      <c r="B36" s="65"/>
      <c r="C36" s="65"/>
      <c r="D36" s="65"/>
      <c r="E36" s="65"/>
      <c r="F36" s="65"/>
      <c r="G36" s="259"/>
      <c r="H36" s="259"/>
      <c r="I36" s="259"/>
      <c r="J36" s="259"/>
      <c r="K36" s="259"/>
      <c r="L36" s="259"/>
      <c r="M36" s="259"/>
      <c r="N36" s="259"/>
      <c r="O36" s="259"/>
      <c r="P36" s="147">
        <f>IF(ISBLANK(Q36)=TRUE,"",26)</f>
        <v>26</v>
      </c>
      <c r="Q36" s="464" t="s">
        <v>345</v>
      </c>
      <c r="R36" s="464"/>
      <c r="S36" s="464"/>
      <c r="T36" s="464"/>
      <c r="U36" s="464"/>
      <c r="V36" s="464"/>
      <c r="W36" s="464"/>
      <c r="X36" s="464"/>
      <c r="Y36" s="464"/>
      <c r="Z36" s="465">
        <v>5.4899402093362788</v>
      </c>
      <c r="AA36" s="465"/>
      <c r="AB36" s="440">
        <v>1.389198981781846</v>
      </c>
      <c r="AC36" s="440"/>
      <c r="AD36" s="440">
        <v>2.111088475260992</v>
      </c>
      <c r="AE36" s="440"/>
      <c r="AF36" s="440">
        <v>2.2649830523191237</v>
      </c>
      <c r="AG36" s="440"/>
      <c r="AH36" s="466">
        <v>-0.87578407053727769</v>
      </c>
      <c r="AI36" s="466"/>
    </row>
    <row r="37" spans="1:35" ht="10.5" customHeight="1" x14ac:dyDescent="0.25">
      <c r="A37" s="65"/>
      <c r="B37" s="65"/>
      <c r="C37" s="65"/>
      <c r="D37" s="65"/>
      <c r="E37" s="65"/>
      <c r="F37" s="65"/>
      <c r="G37" s="259"/>
      <c r="H37" s="259"/>
      <c r="I37" s="259"/>
      <c r="J37" s="259"/>
      <c r="K37" s="259"/>
      <c r="L37" s="259"/>
      <c r="M37" s="259"/>
      <c r="N37" s="259"/>
      <c r="O37" s="259"/>
      <c r="P37" s="147">
        <f>IF(ISBLANK(Q37)=TRUE,"",27)</f>
        <v>27</v>
      </c>
      <c r="Q37" s="449" t="s">
        <v>315</v>
      </c>
      <c r="R37" s="464"/>
      <c r="S37" s="464"/>
      <c r="T37" s="464"/>
      <c r="U37" s="464"/>
      <c r="V37" s="464"/>
      <c r="W37" s="464"/>
      <c r="X37" s="464"/>
      <c r="Y37" s="464"/>
      <c r="Z37" s="448">
        <v>29.910413520474709</v>
      </c>
      <c r="AA37" s="465"/>
      <c r="AB37" s="448">
        <v>1.098552404780093</v>
      </c>
      <c r="AC37" s="440"/>
      <c r="AD37" s="448">
        <v>0.13950148318753869</v>
      </c>
      <c r="AE37" s="440"/>
      <c r="AF37" s="448">
        <v>0.14967089200470077</v>
      </c>
      <c r="AG37" s="440"/>
      <c r="AH37" s="470">
        <v>0.94888151277539223</v>
      </c>
      <c r="AI37" s="466"/>
    </row>
    <row r="38" spans="1:35" ht="10.5" customHeight="1" x14ac:dyDescent="0.25">
      <c r="A38" s="65"/>
      <c r="B38" s="65"/>
      <c r="C38" s="65"/>
      <c r="D38" s="65"/>
      <c r="E38" s="65"/>
      <c r="F38" s="65"/>
      <c r="G38" s="56"/>
      <c r="H38" s="169"/>
      <c r="I38" s="259"/>
      <c r="J38" s="259"/>
      <c r="K38" s="259"/>
      <c r="L38" s="259"/>
      <c r="M38" s="259"/>
      <c r="N38" s="259"/>
      <c r="O38" s="259"/>
      <c r="P38" s="147">
        <f>IF(ISBLANK(Q38)=TRUE,"",28)</f>
        <v>28</v>
      </c>
      <c r="Q38" s="464" t="s">
        <v>328</v>
      </c>
      <c r="R38" s="464"/>
      <c r="S38" s="464"/>
      <c r="T38" s="464"/>
      <c r="U38" s="464"/>
      <c r="V38" s="464"/>
      <c r="W38" s="464"/>
      <c r="X38" s="464"/>
      <c r="Y38" s="464"/>
      <c r="Z38" s="465">
        <v>5.0884559134344611</v>
      </c>
      <c r="AA38" s="465"/>
      <c r="AB38" s="440">
        <v>0.90210471791805935</v>
      </c>
      <c r="AC38" s="440"/>
      <c r="AD38" s="440">
        <v>-0.18409756111793116</v>
      </c>
      <c r="AE38" s="440"/>
      <c r="AF38" s="440">
        <v>-0.19751794431725442</v>
      </c>
      <c r="AG38" s="440"/>
      <c r="AH38" s="466">
        <v>1.0996226622353138</v>
      </c>
      <c r="AI38" s="466"/>
    </row>
    <row r="39" spans="1:35" ht="10.5" customHeight="1" x14ac:dyDescent="0.25">
      <c r="A39" s="65"/>
      <c r="B39" s="65"/>
      <c r="C39" s="65"/>
      <c r="D39" s="65"/>
      <c r="E39" s="65"/>
      <c r="F39" s="65"/>
      <c r="G39" s="56"/>
      <c r="H39" s="169"/>
      <c r="I39" s="259"/>
      <c r="J39" s="259"/>
      <c r="K39" s="259"/>
      <c r="L39" s="259"/>
      <c r="M39" s="259"/>
      <c r="N39" s="259"/>
      <c r="O39" s="259"/>
      <c r="P39" s="147">
        <f>IF(ISBLANK(Q39)=TRUE,"",29)</f>
        <v>29</v>
      </c>
      <c r="Q39" s="464" t="s">
        <v>331</v>
      </c>
      <c r="R39" s="464"/>
      <c r="S39" s="464"/>
      <c r="T39" s="464"/>
      <c r="U39" s="464"/>
      <c r="V39" s="464"/>
      <c r="W39" s="464"/>
      <c r="X39" s="464"/>
      <c r="Y39" s="464"/>
      <c r="Z39" s="465">
        <v>1.9781361566591196</v>
      </c>
      <c r="AA39" s="465"/>
      <c r="AB39" s="440">
        <v>1.7007493867712347</v>
      </c>
      <c r="AC39" s="440"/>
      <c r="AD39" s="440">
        <v>2.2178291229613043</v>
      </c>
      <c r="AE39" s="440"/>
      <c r="AF39" s="440">
        <v>2.3795049024774335</v>
      </c>
      <c r="AG39" s="440"/>
      <c r="AH39" s="466">
        <v>-0.67875551570619885</v>
      </c>
      <c r="AI39" s="466"/>
    </row>
    <row r="40" spans="1:35" ht="10.5" customHeight="1" x14ac:dyDescent="0.25">
      <c r="A40" s="65"/>
      <c r="B40" s="65"/>
      <c r="C40" s="65"/>
      <c r="D40" s="65"/>
      <c r="E40" s="65"/>
      <c r="F40" s="65"/>
      <c r="G40" s="56"/>
      <c r="H40" s="169"/>
      <c r="I40" s="259"/>
      <c r="J40" s="259"/>
      <c r="K40" s="259"/>
      <c r="L40" s="259"/>
      <c r="M40" s="259"/>
      <c r="N40" s="259"/>
      <c r="O40" s="259"/>
      <c r="P40" s="147">
        <f>IF(ISBLANK(Q40)=TRUE,"",30)</f>
        <v>30</v>
      </c>
      <c r="Q40" s="464" t="s">
        <v>311</v>
      </c>
      <c r="R40" s="464"/>
      <c r="S40" s="464"/>
      <c r="T40" s="464"/>
      <c r="U40" s="464"/>
      <c r="V40" s="464"/>
      <c r="W40" s="464"/>
      <c r="X40" s="464"/>
      <c r="Y40" s="464"/>
      <c r="Z40" s="465">
        <v>9.3802814854689185</v>
      </c>
      <c r="AA40" s="465"/>
      <c r="AB40" s="440">
        <v>1.4252162442827232</v>
      </c>
      <c r="AC40" s="440"/>
      <c r="AD40" s="440">
        <v>-0.65923582946166093</v>
      </c>
      <c r="AE40" s="440"/>
      <c r="AF40" s="440">
        <v>-0.70729294328964787</v>
      </c>
      <c r="AG40" s="440"/>
      <c r="AH40" s="466">
        <v>2.1325091875723712</v>
      </c>
      <c r="AI40" s="466"/>
    </row>
    <row r="41" spans="1:35" ht="10.5" customHeight="1" x14ac:dyDescent="0.25">
      <c r="A41" s="65"/>
      <c r="B41" s="65"/>
      <c r="C41" s="65"/>
      <c r="D41" s="65"/>
      <c r="E41" s="65"/>
      <c r="F41" s="65"/>
      <c r="G41" s="56"/>
      <c r="H41" s="169"/>
      <c r="I41" s="259"/>
      <c r="J41" s="259"/>
      <c r="K41" s="259"/>
      <c r="L41" s="259"/>
      <c r="M41" s="259"/>
      <c r="N41" s="259"/>
      <c r="O41" s="259"/>
      <c r="P41" s="147">
        <f>IF(ISBLANK(Q41)=TRUE,"",31)</f>
        <v>31</v>
      </c>
      <c r="Q41" s="464" t="s">
        <v>309</v>
      </c>
      <c r="R41" s="464"/>
      <c r="S41" s="464"/>
      <c r="T41" s="464"/>
      <c r="U41" s="464"/>
      <c r="V41" s="464"/>
      <c r="W41" s="464"/>
      <c r="X41" s="464"/>
      <c r="Y41" s="464"/>
      <c r="Z41" s="465">
        <v>1.9130169420027179</v>
      </c>
      <c r="AA41" s="465"/>
      <c r="AB41" s="440">
        <v>1.2936613506325858</v>
      </c>
      <c r="AC41" s="440"/>
      <c r="AD41" s="440">
        <v>-2.264879627312316</v>
      </c>
      <c r="AE41" s="440"/>
      <c r="AF41" s="440">
        <v>-2.4299853045102915</v>
      </c>
      <c r="AG41" s="440"/>
      <c r="AH41" s="466">
        <v>3.7236466551428773</v>
      </c>
      <c r="AI41" s="466"/>
    </row>
    <row r="42" spans="1:35" ht="10.5" customHeight="1" x14ac:dyDescent="0.25">
      <c r="A42" s="65"/>
      <c r="B42" s="65"/>
      <c r="C42" s="65"/>
      <c r="D42" s="65"/>
      <c r="E42" s="65"/>
      <c r="F42" s="65"/>
      <c r="G42" s="56"/>
      <c r="H42" s="169"/>
      <c r="I42" s="259"/>
      <c r="J42" s="259"/>
      <c r="K42" s="259"/>
      <c r="L42" s="259"/>
      <c r="M42" s="259"/>
      <c r="N42" s="259"/>
      <c r="O42" s="259"/>
      <c r="P42" s="147">
        <f>IF(ISBLANK(Q42)=TRUE,"",32)</f>
        <v>32</v>
      </c>
      <c r="Q42" s="464" t="s">
        <v>334</v>
      </c>
      <c r="R42" s="464"/>
      <c r="S42" s="464"/>
      <c r="T42" s="464"/>
      <c r="U42" s="464"/>
      <c r="V42" s="464"/>
      <c r="W42" s="464"/>
      <c r="X42" s="464"/>
      <c r="Y42" s="464"/>
      <c r="Z42" s="465">
        <v>7.9690284301623793</v>
      </c>
      <c r="AA42" s="465"/>
      <c r="AB42" s="440">
        <v>0.71204297040772346</v>
      </c>
      <c r="AC42" s="440"/>
      <c r="AD42" s="440">
        <v>0.16092826100120697</v>
      </c>
      <c r="AE42" s="440"/>
      <c r="AF42" s="440">
        <v>0.17265964362855971</v>
      </c>
      <c r="AG42" s="440"/>
      <c r="AH42" s="466">
        <v>0.53938332677916379</v>
      </c>
      <c r="AI42" s="466"/>
    </row>
    <row r="43" spans="1:35" ht="10.5" customHeight="1" x14ac:dyDescent="0.25">
      <c r="A43" s="57"/>
      <c r="B43" s="57"/>
      <c r="C43" s="57"/>
      <c r="D43" s="57"/>
      <c r="E43" s="57"/>
      <c r="F43" s="57"/>
      <c r="G43" s="57"/>
      <c r="H43" s="169"/>
      <c r="I43" s="57"/>
      <c r="J43" s="57"/>
      <c r="K43" s="20"/>
      <c r="L43" s="20"/>
      <c r="M43" s="20"/>
      <c r="N43" s="20"/>
      <c r="O43" s="20"/>
      <c r="P43" s="147">
        <f>IF(ISBLANK(Q43)=TRUE,"",33)</f>
        <v>33</v>
      </c>
      <c r="Q43" s="464" t="s">
        <v>349</v>
      </c>
      <c r="R43" s="464"/>
      <c r="S43" s="464"/>
      <c r="T43" s="464"/>
      <c r="U43" s="464"/>
      <c r="V43" s="464"/>
      <c r="W43" s="464"/>
      <c r="X43" s="464"/>
      <c r="Y43" s="464"/>
      <c r="Z43" s="465">
        <v>3.5814945927471151</v>
      </c>
      <c r="AA43" s="465"/>
      <c r="AB43" s="440">
        <v>0.94527755569980543</v>
      </c>
      <c r="AC43" s="440"/>
      <c r="AD43" s="440">
        <v>2.7799232957931466</v>
      </c>
      <c r="AE43" s="440"/>
      <c r="AF43" s="440">
        <v>2.9825747359736647</v>
      </c>
      <c r="AG43" s="440"/>
      <c r="AH43" s="466">
        <v>-2.0372971802738595</v>
      </c>
      <c r="AI43" s="466"/>
    </row>
    <row r="44" spans="1:35" ht="10.5" customHeight="1" x14ac:dyDescent="0.25">
      <c r="A44" s="58"/>
      <c r="B44" s="58"/>
      <c r="C44" s="58"/>
      <c r="D44" s="58"/>
      <c r="E44" s="58"/>
      <c r="L44" s="59"/>
      <c r="M44" s="59"/>
      <c r="N44" s="59"/>
      <c r="O44" s="59"/>
      <c r="P44" s="147">
        <f>IF(ISBLANK(Q44)=TRUE,"",34)</f>
        <v>34</v>
      </c>
      <c r="Q44" s="449" t="s">
        <v>316</v>
      </c>
      <c r="R44" s="464"/>
      <c r="S44" s="464"/>
      <c r="T44" s="464"/>
      <c r="U44" s="464"/>
      <c r="V44" s="464"/>
      <c r="W44" s="464"/>
      <c r="X44" s="464"/>
      <c r="Y44" s="464"/>
      <c r="Z44" s="448">
        <v>19.285614181228112</v>
      </c>
      <c r="AA44" s="465"/>
      <c r="AB44" s="448">
        <v>0.82337776998936218</v>
      </c>
      <c r="AC44" s="440"/>
      <c r="AD44" s="448">
        <v>0.36659533493995389</v>
      </c>
      <c r="AE44" s="440"/>
      <c r="AF44" s="448">
        <v>0.39331947970375558</v>
      </c>
      <c r="AG44" s="440"/>
      <c r="AH44" s="470">
        <v>0.4300582902856066</v>
      </c>
      <c r="AI44" s="466"/>
    </row>
    <row r="45" spans="1:35" ht="10.5" customHeight="1" x14ac:dyDescent="0.25">
      <c r="A45" s="60"/>
      <c r="B45" s="60"/>
      <c r="C45" s="60"/>
      <c r="D45" s="60"/>
      <c r="E45" s="60"/>
      <c r="F45" s="60"/>
      <c r="G45" s="61"/>
      <c r="H45" s="55"/>
      <c r="I45" s="61"/>
      <c r="J45" s="61"/>
      <c r="K45" s="61"/>
      <c r="L45" s="61"/>
      <c r="M45" s="61"/>
      <c r="N45" s="61"/>
      <c r="O45" s="62"/>
      <c r="P45" s="147">
        <f>IF(ISBLANK(Q45)=TRUE,"",35)</f>
        <v>35</v>
      </c>
      <c r="Q45" s="464" t="s">
        <v>324</v>
      </c>
      <c r="R45" s="464"/>
      <c r="S45" s="464"/>
      <c r="T45" s="464"/>
      <c r="U45" s="464"/>
      <c r="V45" s="464"/>
      <c r="W45" s="464"/>
      <c r="X45" s="464"/>
      <c r="Y45" s="464"/>
      <c r="Z45" s="465">
        <v>0.38382851098378462</v>
      </c>
      <c r="AA45" s="465"/>
      <c r="AB45" s="440">
        <v>-0.59150315309951873</v>
      </c>
      <c r="AC45" s="440"/>
      <c r="AD45" s="440">
        <v>1.9869707103934462</v>
      </c>
      <c r="AE45" s="440"/>
      <c r="AF45" s="440">
        <v>2.1318173242072471</v>
      </c>
      <c r="AG45" s="440"/>
      <c r="AH45" s="466">
        <v>-2.7233204773067659</v>
      </c>
      <c r="AI45" s="466"/>
    </row>
    <row r="46" spans="1:35" ht="10.5" customHeight="1" x14ac:dyDescent="0.25">
      <c r="A46" s="54"/>
      <c r="B46" s="54"/>
      <c r="C46" s="54"/>
      <c r="D46" s="54"/>
      <c r="E46" s="54"/>
      <c r="F46" s="468" t="s">
        <v>263</v>
      </c>
      <c r="G46" s="468"/>
      <c r="H46" s="468"/>
      <c r="I46" s="469" t="s">
        <v>262</v>
      </c>
      <c r="J46" s="469"/>
      <c r="K46" s="469"/>
      <c r="L46" s="21"/>
      <c r="M46" s="21"/>
      <c r="N46" s="21"/>
      <c r="O46" s="21"/>
      <c r="P46" s="147">
        <f>IF(ISBLANK(Q46)=TRUE,"",36)</f>
        <v>36</v>
      </c>
      <c r="Q46" s="464" t="s">
        <v>325</v>
      </c>
      <c r="R46" s="464"/>
      <c r="S46" s="464"/>
      <c r="T46" s="464"/>
      <c r="U46" s="464"/>
      <c r="V46" s="464"/>
      <c r="W46" s="464"/>
      <c r="X46" s="464"/>
      <c r="Y46" s="464"/>
      <c r="Z46" s="465">
        <v>2.2527338817128491</v>
      </c>
      <c r="AA46" s="465"/>
      <c r="AB46" s="440">
        <v>0.76373881324272452</v>
      </c>
      <c r="AC46" s="440"/>
      <c r="AD46" s="440">
        <v>0.50817707819248614</v>
      </c>
      <c r="AE46" s="440"/>
      <c r="AF46" s="440">
        <v>0.54522227901449405</v>
      </c>
      <c r="AG46" s="440"/>
      <c r="AH46" s="466">
        <v>0.21851653422823047</v>
      </c>
      <c r="AI46" s="466"/>
    </row>
    <row r="47" spans="1:35" ht="10.5" customHeight="1" x14ac:dyDescent="0.25">
      <c r="A47" s="54"/>
      <c r="B47" s="54"/>
      <c r="C47" s="54"/>
      <c r="D47" s="54"/>
      <c r="E47" s="54"/>
      <c r="F47" s="54"/>
      <c r="G47" s="19"/>
      <c r="H47" s="55"/>
      <c r="I47" s="21"/>
      <c r="J47" s="21"/>
      <c r="K47" s="21"/>
      <c r="L47" s="21"/>
      <c r="M47" s="21"/>
      <c r="N47" s="21"/>
      <c r="O47" s="21"/>
      <c r="P47" s="147">
        <f>IF(ISBLANK(Q47)=TRUE,"",37)</f>
        <v>37</v>
      </c>
      <c r="Q47" s="464" t="s">
        <v>327</v>
      </c>
      <c r="R47" s="464"/>
      <c r="S47" s="464"/>
      <c r="T47" s="464"/>
      <c r="U47" s="464"/>
      <c r="V47" s="464"/>
      <c r="W47" s="464"/>
      <c r="X47" s="464"/>
      <c r="Y47" s="464"/>
      <c r="Z47" s="465">
        <v>2.3161392028527477</v>
      </c>
      <c r="AA47" s="465"/>
      <c r="AB47" s="440">
        <v>1.2240245840614499</v>
      </c>
      <c r="AC47" s="440"/>
      <c r="AD47" s="440">
        <v>0.29927866651738322</v>
      </c>
      <c r="AE47" s="440"/>
      <c r="AF47" s="440">
        <v>0.32109554645678046</v>
      </c>
      <c r="AG47" s="440"/>
      <c r="AH47" s="466">
        <v>0.90292903760466947</v>
      </c>
      <c r="AI47" s="466"/>
    </row>
    <row r="48" spans="1:35" ht="10.5" customHeight="1" x14ac:dyDescent="0.25">
      <c r="A48" s="54"/>
      <c r="B48" s="54"/>
      <c r="C48" s="54"/>
      <c r="D48" s="54"/>
      <c r="E48" s="54"/>
      <c r="F48" s="54"/>
      <c r="G48" s="19"/>
      <c r="H48" s="55"/>
      <c r="I48" s="21"/>
      <c r="J48" s="21"/>
      <c r="K48" s="21"/>
      <c r="L48" s="21"/>
      <c r="M48" s="21"/>
      <c r="N48" s="21"/>
      <c r="O48" s="21"/>
      <c r="P48" s="147">
        <f>IF(ISBLANK(Q48)=TRUE,"",38)</f>
        <v>38</v>
      </c>
      <c r="Q48" s="464" t="s">
        <v>340</v>
      </c>
      <c r="R48" s="464"/>
      <c r="S48" s="464"/>
      <c r="T48" s="464"/>
      <c r="U48" s="464"/>
      <c r="V48" s="464"/>
      <c r="W48" s="464"/>
      <c r="X48" s="464"/>
      <c r="Y48" s="464"/>
      <c r="Z48" s="465">
        <v>0.70577308237002512</v>
      </c>
      <c r="AA48" s="465"/>
      <c r="AB48" s="440">
        <v>9.619057318761301E-2</v>
      </c>
      <c r="AC48" s="440"/>
      <c r="AD48" s="440">
        <v>0.41708352334018872</v>
      </c>
      <c r="AE48" s="440"/>
      <c r="AF48" s="440">
        <v>0.44748816680943909</v>
      </c>
      <c r="AG48" s="440"/>
      <c r="AH48" s="466">
        <v>-0.35129759362182611</v>
      </c>
      <c r="AI48" s="466"/>
    </row>
    <row r="49" spans="1:35" ht="10.5" customHeight="1" x14ac:dyDescent="0.25">
      <c r="A49" s="54"/>
      <c r="B49" s="54"/>
      <c r="C49" s="54"/>
      <c r="D49" s="54"/>
      <c r="E49" s="54"/>
      <c r="F49" s="54"/>
      <c r="G49" s="19"/>
      <c r="H49" s="55"/>
      <c r="I49" s="21"/>
      <c r="J49" s="21"/>
      <c r="K49" s="21"/>
      <c r="L49" s="21"/>
      <c r="M49" s="21"/>
      <c r="N49" s="21"/>
      <c r="O49" s="21"/>
      <c r="P49" s="147">
        <f>IF(ISBLANK(Q49)=TRUE,"",39)</f>
        <v>39</v>
      </c>
      <c r="Q49" s="464" t="s">
        <v>343</v>
      </c>
      <c r="R49" s="464"/>
      <c r="S49" s="464"/>
      <c r="T49" s="464"/>
      <c r="U49" s="464"/>
      <c r="V49" s="464"/>
      <c r="W49" s="464"/>
      <c r="X49" s="464"/>
      <c r="Y49" s="464"/>
      <c r="Z49" s="465">
        <v>3.7762458905684366</v>
      </c>
      <c r="AA49" s="465"/>
      <c r="AB49" s="440">
        <v>0.81454710070217551</v>
      </c>
      <c r="AC49" s="440"/>
      <c r="AD49" s="440">
        <v>0.22079253197842122</v>
      </c>
      <c r="AE49" s="440"/>
      <c r="AF49" s="440">
        <v>0.23688791297481096</v>
      </c>
      <c r="AG49" s="440"/>
      <c r="AH49" s="466">
        <v>0.57765918772736458</v>
      </c>
      <c r="AI49" s="466"/>
    </row>
    <row r="50" spans="1:35" ht="10.5" customHeight="1" x14ac:dyDescent="0.25">
      <c r="A50" s="54"/>
      <c r="B50" s="54"/>
      <c r="C50" s="54"/>
      <c r="D50" s="54"/>
      <c r="E50" s="54"/>
      <c r="F50" s="54"/>
      <c r="G50" s="19"/>
      <c r="H50" s="55"/>
      <c r="I50" s="21"/>
      <c r="J50" s="21"/>
      <c r="K50" s="21"/>
      <c r="L50" s="21"/>
      <c r="M50" s="21"/>
      <c r="N50" s="21"/>
      <c r="O50" s="21"/>
      <c r="P50" s="147">
        <f>IF(ISBLANK(Q50)=TRUE,"",40)</f>
        <v>40</v>
      </c>
      <c r="Q50" s="464" t="s">
        <v>344</v>
      </c>
      <c r="R50" s="464"/>
      <c r="S50" s="464"/>
      <c r="T50" s="464"/>
      <c r="U50" s="464"/>
      <c r="V50" s="464"/>
      <c r="W50" s="464"/>
      <c r="X50" s="464"/>
      <c r="Y50" s="464"/>
      <c r="Z50" s="465">
        <v>2.4542567512496194</v>
      </c>
      <c r="AA50" s="465"/>
      <c r="AB50" s="440">
        <v>0.4723515398106492</v>
      </c>
      <c r="AC50" s="440"/>
      <c r="AD50" s="440">
        <v>-0.19166953958387264</v>
      </c>
      <c r="AE50" s="440"/>
      <c r="AF50" s="440">
        <v>-0.2056419064812573</v>
      </c>
      <c r="AG50" s="440"/>
      <c r="AH50" s="466">
        <v>0.6779934462919065</v>
      </c>
      <c r="AI50" s="466"/>
    </row>
    <row r="51" spans="1:35" ht="10.5" customHeight="1" x14ac:dyDescent="0.25">
      <c r="A51" s="54"/>
      <c r="B51" s="54"/>
      <c r="C51" s="54"/>
      <c r="D51" s="54"/>
      <c r="E51" s="54"/>
      <c r="F51" s="54"/>
      <c r="G51" s="19"/>
      <c r="H51" s="55"/>
      <c r="I51" s="21"/>
      <c r="J51" s="21"/>
      <c r="K51" s="21"/>
      <c r="L51" s="21"/>
      <c r="M51" s="21"/>
      <c r="N51" s="21"/>
      <c r="O51" s="21"/>
      <c r="P51" s="147">
        <f>IF(ISBLANK(Q51)=TRUE,"",41)</f>
        <v>41</v>
      </c>
      <c r="Q51" s="464" t="s">
        <v>347</v>
      </c>
      <c r="R51" s="464"/>
      <c r="S51" s="464"/>
      <c r="T51" s="464"/>
      <c r="U51" s="464"/>
      <c r="V51" s="464"/>
      <c r="W51" s="464"/>
      <c r="X51" s="464"/>
      <c r="Y51" s="464"/>
      <c r="Z51" s="465">
        <v>3.5329347545007139</v>
      </c>
      <c r="AA51" s="465"/>
      <c r="AB51" s="440">
        <v>1.2224809786082593</v>
      </c>
      <c r="AC51" s="440"/>
      <c r="AD51" s="440">
        <v>-0.21440134630106125</v>
      </c>
      <c r="AE51" s="440"/>
      <c r="AF51" s="440">
        <v>-0.2300308212834476</v>
      </c>
      <c r="AG51" s="440"/>
      <c r="AH51" s="466">
        <v>1.452511799891707</v>
      </c>
      <c r="AI51" s="466"/>
    </row>
    <row r="52" spans="1:35" ht="10.5" customHeight="1" x14ac:dyDescent="0.25">
      <c r="A52" s="54"/>
      <c r="B52" s="54"/>
      <c r="C52" s="54"/>
      <c r="D52" s="54"/>
      <c r="E52" s="54"/>
      <c r="F52" s="54"/>
      <c r="G52" s="19"/>
      <c r="H52" s="55"/>
      <c r="I52" s="21"/>
      <c r="J52" s="21"/>
      <c r="K52" s="21"/>
      <c r="L52" s="21"/>
      <c r="M52" s="21"/>
      <c r="N52" s="21"/>
      <c r="O52" s="21"/>
      <c r="P52" s="147">
        <f>IF(ISBLANK(Q52)=TRUE,"",42)</f>
        <v>42</v>
      </c>
      <c r="Q52" s="464" t="s">
        <v>348</v>
      </c>
      <c r="R52" s="464"/>
      <c r="S52" s="464"/>
      <c r="T52" s="464"/>
      <c r="U52" s="464"/>
      <c r="V52" s="464"/>
      <c r="W52" s="464"/>
      <c r="X52" s="464"/>
      <c r="Y52" s="464"/>
      <c r="Z52" s="465">
        <v>3.8637021069899324</v>
      </c>
      <c r="AA52" s="465"/>
      <c r="AB52" s="440">
        <v>0.75803820129462485</v>
      </c>
      <c r="AC52" s="440"/>
      <c r="AD52" s="440">
        <v>1.1825809274189345</v>
      </c>
      <c r="AE52" s="440"/>
      <c r="AF52" s="440">
        <v>1.2687889636025673</v>
      </c>
      <c r="AG52" s="440"/>
      <c r="AH52" s="466">
        <v>-0.51075076230794247</v>
      </c>
      <c r="AI52" s="466"/>
    </row>
    <row r="53" spans="1:35" ht="10.5" customHeight="1" x14ac:dyDescent="0.25">
      <c r="P53" s="147">
        <f>IF(ISBLANK(Q53)=TRUE,"",43)</f>
        <v>43</v>
      </c>
      <c r="Q53" s="449" t="s">
        <v>321</v>
      </c>
      <c r="R53" s="464"/>
      <c r="S53" s="464"/>
      <c r="T53" s="464"/>
      <c r="U53" s="464"/>
      <c r="V53" s="464"/>
      <c r="W53" s="464"/>
      <c r="X53" s="464"/>
      <c r="Y53" s="464"/>
      <c r="Z53" s="448">
        <v>5.1152413150393441</v>
      </c>
      <c r="AA53" s="465"/>
      <c r="AB53" s="448">
        <v>0.91070065104020836</v>
      </c>
      <c r="AC53" s="440"/>
      <c r="AD53" s="448">
        <v>1.0372366468029455</v>
      </c>
      <c r="AE53" s="440"/>
      <c r="AF53" s="448">
        <v>1.1128493446787175</v>
      </c>
      <c r="AG53" s="440"/>
      <c r="AH53" s="470">
        <v>-0.20214869363850918</v>
      </c>
      <c r="AI53" s="466"/>
    </row>
    <row r="54" spans="1:35" ht="10.5" customHeight="1" x14ac:dyDescent="0.25">
      <c r="P54" s="147">
        <f>IF(ISBLANK(Q54)=TRUE,"",44)</f>
        <v>44</v>
      </c>
      <c r="Q54" s="464" t="s">
        <v>313</v>
      </c>
      <c r="R54" s="464"/>
      <c r="S54" s="464"/>
      <c r="T54" s="464"/>
      <c r="U54" s="464"/>
      <c r="V54" s="464"/>
      <c r="W54" s="464"/>
      <c r="X54" s="464"/>
      <c r="Y54" s="464"/>
      <c r="Z54" s="465">
        <v>1.6485661129035101</v>
      </c>
      <c r="AA54" s="465"/>
      <c r="AB54" s="440">
        <v>0.98209791573682026</v>
      </c>
      <c r="AC54" s="440"/>
      <c r="AD54" s="440">
        <v>-0.51724379112747854</v>
      </c>
      <c r="AE54" s="440"/>
      <c r="AF54" s="440">
        <v>-0.55494993911905754</v>
      </c>
      <c r="AG54" s="440"/>
      <c r="AH54" s="466">
        <v>1.5370478548558779</v>
      </c>
      <c r="AI54" s="466"/>
    </row>
    <row r="55" spans="1:35" ht="10.5" customHeight="1" x14ac:dyDescent="0.25">
      <c r="P55" s="147">
        <f>IF(ISBLANK(Q55)=TRUE,"",45)</f>
        <v>45</v>
      </c>
      <c r="Q55" s="464" t="s">
        <v>338</v>
      </c>
      <c r="R55" s="464"/>
      <c r="S55" s="464"/>
      <c r="T55" s="464"/>
      <c r="U55" s="464"/>
      <c r="V55" s="464"/>
      <c r="W55" s="464"/>
      <c r="X55" s="464"/>
      <c r="Y55" s="464"/>
      <c r="Z55" s="465">
        <v>3.4666752021358342</v>
      </c>
      <c r="AA55" s="465"/>
      <c r="AB55" s="440">
        <v>0.87674791411798414</v>
      </c>
      <c r="AC55" s="440"/>
      <c r="AD55" s="440">
        <v>1.7764647612689379</v>
      </c>
      <c r="AE55" s="440"/>
      <c r="AF55" s="440">
        <v>1.9059658675929441</v>
      </c>
      <c r="AG55" s="440"/>
      <c r="AH55" s="466">
        <v>-1.0292179534749599</v>
      </c>
      <c r="AI55" s="466"/>
    </row>
    <row r="56" spans="1:35" ht="10.5" customHeight="1" x14ac:dyDescent="0.25">
      <c r="P56" s="147" t="str">
        <f>IF(ISBLANK(Q56)=TRUE,"",46)</f>
        <v/>
      </c>
      <c r="Q56" s="464"/>
      <c r="R56" s="464"/>
      <c r="S56" s="464"/>
      <c r="T56" s="464"/>
      <c r="U56" s="464"/>
      <c r="V56" s="464"/>
      <c r="W56" s="464"/>
      <c r="X56" s="464"/>
      <c r="Y56" s="464"/>
      <c r="Z56" s="465"/>
      <c r="AA56" s="465"/>
      <c r="AB56" s="440"/>
      <c r="AC56" s="440"/>
      <c r="AD56" s="440"/>
      <c r="AE56" s="440"/>
      <c r="AF56" s="440"/>
      <c r="AG56" s="440"/>
      <c r="AH56" s="466"/>
      <c r="AI56" s="466"/>
    </row>
    <row r="57" spans="1:35" ht="10.5" customHeight="1" x14ac:dyDescent="0.25">
      <c r="P57" s="147" t="str">
        <f>IF(ISBLANK(Q57)=TRUE,"",47)</f>
        <v/>
      </c>
      <c r="Q57" s="464"/>
      <c r="R57" s="464"/>
      <c r="S57" s="464"/>
      <c r="T57" s="464"/>
      <c r="U57" s="464"/>
      <c r="V57" s="464"/>
      <c r="W57" s="464"/>
      <c r="X57" s="464"/>
      <c r="Y57" s="464"/>
      <c r="Z57" s="465"/>
      <c r="AA57" s="465"/>
      <c r="AB57" s="440"/>
      <c r="AC57" s="440"/>
      <c r="AD57" s="440"/>
      <c r="AE57" s="440"/>
      <c r="AF57" s="440"/>
      <c r="AG57" s="440"/>
      <c r="AH57" s="466"/>
      <c r="AI57" s="466"/>
    </row>
    <row r="58" spans="1:35" ht="10.5" customHeight="1" x14ac:dyDescent="0.25">
      <c r="P58" s="147" t="str">
        <f>IF(ISBLANK(Q58)=TRUE,"",48)</f>
        <v/>
      </c>
      <c r="Q58" s="464"/>
      <c r="R58" s="464"/>
      <c r="S58" s="464"/>
      <c r="T58" s="464"/>
      <c r="U58" s="464"/>
      <c r="V58" s="464"/>
      <c r="W58" s="464"/>
      <c r="X58" s="464"/>
      <c r="Y58" s="464"/>
      <c r="Z58" s="465"/>
      <c r="AA58" s="465"/>
      <c r="AB58" s="440"/>
      <c r="AC58" s="440"/>
      <c r="AD58" s="440"/>
      <c r="AE58" s="440"/>
      <c r="AF58" s="440"/>
      <c r="AG58" s="440"/>
      <c r="AH58" s="466"/>
      <c r="AI58" s="466"/>
    </row>
    <row r="59" spans="1:35" ht="10.5" customHeight="1" x14ac:dyDescent="0.25">
      <c r="P59" s="147" t="str">
        <f>IF(ISBLANK(Q59)=TRUE,"",49)</f>
        <v/>
      </c>
      <c r="Q59" s="464"/>
      <c r="R59" s="464"/>
      <c r="S59" s="464"/>
      <c r="T59" s="464"/>
      <c r="U59" s="464"/>
      <c r="V59" s="464"/>
      <c r="W59" s="464"/>
      <c r="X59" s="464"/>
      <c r="Y59" s="464"/>
      <c r="Z59" s="465"/>
      <c r="AA59" s="465"/>
      <c r="AB59" s="440"/>
      <c r="AC59" s="440"/>
      <c r="AD59" s="440"/>
      <c r="AE59" s="440"/>
      <c r="AF59" s="440"/>
      <c r="AG59" s="440"/>
      <c r="AH59" s="466"/>
      <c r="AI59" s="466"/>
    </row>
    <row r="60" spans="1:35" ht="10.5" customHeight="1" x14ac:dyDescent="0.25">
      <c r="P60" s="147" t="str">
        <f>IF(ISBLANK(Q60)=TRUE,"",50)</f>
        <v/>
      </c>
      <c r="Q60" s="464"/>
      <c r="R60" s="464"/>
      <c r="S60" s="464"/>
      <c r="T60" s="464"/>
      <c r="U60" s="464"/>
      <c r="V60" s="464"/>
      <c r="W60" s="464"/>
      <c r="X60" s="464"/>
      <c r="Y60" s="464"/>
      <c r="Z60" s="465"/>
      <c r="AA60" s="465"/>
      <c r="AB60" s="440"/>
      <c r="AC60" s="440"/>
      <c r="AD60" s="440"/>
      <c r="AE60" s="440"/>
      <c r="AF60" s="440"/>
      <c r="AG60" s="440"/>
      <c r="AH60" s="466"/>
      <c r="AI60" s="466"/>
    </row>
    <row r="61" spans="1:35" ht="10.5" customHeight="1" x14ac:dyDescent="0.25">
      <c r="P61" s="147" t="str">
        <f>IF(ISBLANK(Q61)=TRUE,"",51)</f>
        <v/>
      </c>
      <c r="Q61" s="464"/>
      <c r="R61" s="464"/>
      <c r="S61" s="464"/>
      <c r="T61" s="464"/>
      <c r="U61" s="464"/>
      <c r="V61" s="464"/>
      <c r="W61" s="464"/>
      <c r="X61" s="464"/>
      <c r="Y61" s="464"/>
      <c r="Z61" s="465"/>
      <c r="AA61" s="465"/>
      <c r="AB61" s="440"/>
      <c r="AC61" s="440"/>
      <c r="AD61" s="440"/>
      <c r="AE61" s="440"/>
      <c r="AF61" s="440"/>
      <c r="AG61" s="440"/>
      <c r="AH61" s="466"/>
      <c r="AI61" s="466"/>
    </row>
    <row r="62" spans="1:35" ht="10.5" customHeight="1" x14ac:dyDescent="0.25">
      <c r="P62" s="147" t="str">
        <f>IF(ISBLANK(Q62)=TRUE,"",52)</f>
        <v/>
      </c>
      <c r="Q62" s="464"/>
      <c r="R62" s="464"/>
      <c r="S62" s="464"/>
      <c r="T62" s="464"/>
      <c r="U62" s="464"/>
      <c r="V62" s="464"/>
      <c r="W62" s="464"/>
      <c r="X62" s="464"/>
      <c r="Y62" s="464"/>
      <c r="Z62" s="465"/>
      <c r="AA62" s="465"/>
      <c r="AB62" s="440"/>
      <c r="AC62" s="440"/>
      <c r="AD62" s="440"/>
      <c r="AE62" s="440"/>
      <c r="AF62" s="440"/>
      <c r="AG62" s="440"/>
      <c r="AH62" s="466"/>
      <c r="AI62" s="466"/>
    </row>
    <row r="63" spans="1:35" ht="10.5" customHeight="1" x14ac:dyDescent="0.25">
      <c r="P63" s="147" t="str">
        <f>IF(ISBLANK(Q63)=TRUE,"",53)</f>
        <v/>
      </c>
      <c r="Q63" s="464"/>
      <c r="R63" s="464"/>
      <c r="S63" s="464"/>
      <c r="T63" s="464"/>
      <c r="U63" s="464"/>
      <c r="V63" s="464"/>
      <c r="W63" s="464"/>
      <c r="X63" s="464"/>
      <c r="Y63" s="464"/>
      <c r="Z63" s="465"/>
      <c r="AA63" s="465"/>
      <c r="AB63" s="440"/>
      <c r="AC63" s="440"/>
      <c r="AD63" s="440"/>
      <c r="AE63" s="440"/>
      <c r="AF63" s="440"/>
      <c r="AG63" s="440"/>
      <c r="AH63" s="466"/>
      <c r="AI63" s="466"/>
    </row>
    <row r="64" spans="1:35" ht="10.5" customHeight="1" x14ac:dyDescent="0.25">
      <c r="P64" s="147" t="str">
        <f>IF(ISBLANK(Q64)=TRUE,"",54)</f>
        <v/>
      </c>
      <c r="Q64" s="464"/>
      <c r="R64" s="464"/>
      <c r="S64" s="464"/>
      <c r="T64" s="464"/>
      <c r="U64" s="464"/>
      <c r="V64" s="464"/>
      <c r="W64" s="464"/>
      <c r="X64" s="464"/>
      <c r="Y64" s="464"/>
      <c r="Z64" s="465"/>
      <c r="AA64" s="465"/>
      <c r="AB64" s="440"/>
      <c r="AC64" s="440"/>
      <c r="AD64" s="440"/>
      <c r="AE64" s="440"/>
      <c r="AF64" s="440"/>
      <c r="AG64" s="440"/>
      <c r="AH64" s="466"/>
      <c r="AI64" s="466"/>
    </row>
    <row r="65" spans="16:35" ht="10.5" customHeight="1" x14ac:dyDescent="0.25">
      <c r="P65" s="147" t="str">
        <f>IF(ISBLANK(Q65)=TRUE,"",55)</f>
        <v/>
      </c>
      <c r="Q65" s="464"/>
      <c r="R65" s="464"/>
      <c r="S65" s="464"/>
      <c r="T65" s="464"/>
      <c r="U65" s="464"/>
      <c r="V65" s="464"/>
      <c r="W65" s="464"/>
      <c r="X65" s="464"/>
      <c r="Y65" s="464"/>
      <c r="Z65" s="465"/>
      <c r="AA65" s="465"/>
      <c r="AB65" s="440"/>
      <c r="AC65" s="440"/>
      <c r="AD65" s="440"/>
      <c r="AE65" s="440"/>
      <c r="AF65" s="440"/>
      <c r="AG65" s="440"/>
      <c r="AH65" s="466"/>
      <c r="AI65" s="466"/>
    </row>
    <row r="66" spans="16:35" ht="10.5" customHeight="1" x14ac:dyDescent="0.25">
      <c r="P66" s="147" t="str">
        <f>IF(ISBLANK(Q66)=TRUE,"",56)</f>
        <v/>
      </c>
      <c r="Q66" s="464"/>
      <c r="R66" s="464"/>
      <c r="S66" s="464"/>
      <c r="T66" s="464"/>
      <c r="U66" s="464"/>
      <c r="V66" s="464"/>
      <c r="W66" s="464"/>
      <c r="X66" s="464"/>
      <c r="Y66" s="464"/>
      <c r="Z66" s="465"/>
      <c r="AA66" s="465"/>
      <c r="AB66" s="440"/>
      <c r="AC66" s="440"/>
      <c r="AD66" s="440"/>
      <c r="AE66" s="440"/>
      <c r="AF66" s="440"/>
      <c r="AG66" s="440"/>
      <c r="AH66" s="466"/>
      <c r="AI66" s="466"/>
    </row>
    <row r="67" spans="16:35" ht="10.5" customHeight="1" x14ac:dyDescent="0.25">
      <c r="P67" s="147" t="str">
        <f>IF(ISBLANK(Q67)=TRUE,"",57)</f>
        <v/>
      </c>
      <c r="Q67" s="464"/>
      <c r="R67" s="464"/>
      <c r="S67" s="464"/>
      <c r="T67" s="464"/>
      <c r="U67" s="464"/>
      <c r="V67" s="464"/>
      <c r="W67" s="464"/>
      <c r="X67" s="464"/>
      <c r="Y67" s="464"/>
      <c r="Z67" s="465"/>
      <c r="AA67" s="465"/>
      <c r="AB67" s="440"/>
      <c r="AC67" s="440"/>
      <c r="AD67" s="440"/>
      <c r="AE67" s="440"/>
      <c r="AF67" s="440"/>
      <c r="AG67" s="440"/>
      <c r="AH67" s="466"/>
      <c r="AI67" s="466"/>
    </row>
    <row r="68" spans="16:35" ht="10.5" customHeight="1" x14ac:dyDescent="0.25">
      <c r="P68" s="147" t="str">
        <f>IF(ISBLANK(Q68)=TRUE,"",58)</f>
        <v/>
      </c>
      <c r="Q68" s="464"/>
      <c r="R68" s="464"/>
      <c r="S68" s="464"/>
      <c r="T68" s="464"/>
      <c r="U68" s="464"/>
      <c r="V68" s="464"/>
      <c r="W68" s="464"/>
      <c r="X68" s="464"/>
      <c r="Y68" s="464"/>
      <c r="Z68" s="465"/>
      <c r="AA68" s="465"/>
      <c r="AB68" s="440"/>
      <c r="AC68" s="440"/>
      <c r="AD68" s="440"/>
      <c r="AE68" s="440"/>
      <c r="AF68" s="440"/>
      <c r="AG68" s="440"/>
      <c r="AH68" s="466"/>
      <c r="AI68" s="466"/>
    </row>
    <row r="69" spans="16:35" ht="10.5" customHeight="1" x14ac:dyDescent="0.25">
      <c r="P69" s="147" t="str">
        <f>IF(ISBLANK(Q69)=TRUE,"",59)</f>
        <v/>
      </c>
      <c r="Q69" s="464"/>
      <c r="R69" s="464"/>
      <c r="S69" s="464"/>
      <c r="T69" s="464"/>
      <c r="U69" s="464"/>
      <c r="V69" s="464"/>
      <c r="W69" s="464"/>
      <c r="X69" s="464"/>
      <c r="Y69" s="464"/>
      <c r="Z69" s="465"/>
      <c r="AA69" s="465"/>
      <c r="AB69" s="440"/>
      <c r="AC69" s="440"/>
      <c r="AD69" s="440"/>
      <c r="AE69" s="440"/>
      <c r="AF69" s="440"/>
      <c r="AG69" s="440"/>
      <c r="AH69" s="466"/>
      <c r="AI69" s="466"/>
    </row>
    <row r="70" spans="16:35" ht="10.5" customHeight="1" x14ac:dyDescent="0.25">
      <c r="P70" s="147" t="str">
        <f>IF(ISBLANK(Q70)=TRUE,"",60)</f>
        <v/>
      </c>
      <c r="Q70" s="464"/>
      <c r="R70" s="464"/>
      <c r="S70" s="464"/>
      <c r="T70" s="464"/>
      <c r="U70" s="464"/>
      <c r="V70" s="464"/>
      <c r="W70" s="464"/>
      <c r="X70" s="464"/>
      <c r="Y70" s="464"/>
      <c r="Z70" s="465"/>
      <c r="AA70" s="465"/>
      <c r="AB70" s="440"/>
      <c r="AC70" s="440"/>
      <c r="AD70" s="440"/>
      <c r="AE70" s="440"/>
      <c r="AF70" s="440"/>
      <c r="AG70" s="440"/>
      <c r="AH70" s="466"/>
      <c r="AI70" s="466"/>
    </row>
    <row r="71" spans="16:35" ht="10.5" customHeight="1" x14ac:dyDescent="0.25">
      <c r="P71" s="147" t="str">
        <f>IF(ISBLANK(Q71)=TRUE,"",61)</f>
        <v/>
      </c>
      <c r="Q71" s="464"/>
      <c r="R71" s="464"/>
      <c r="S71" s="464"/>
      <c r="T71" s="464"/>
      <c r="U71" s="464"/>
      <c r="V71" s="464"/>
      <c r="W71" s="464"/>
      <c r="X71" s="464"/>
      <c r="Y71" s="464"/>
      <c r="Z71" s="465"/>
      <c r="AA71" s="465"/>
      <c r="AB71" s="440"/>
      <c r="AC71" s="440"/>
      <c r="AD71" s="440"/>
      <c r="AE71" s="440"/>
      <c r="AF71" s="440"/>
      <c r="AG71" s="440"/>
      <c r="AH71" s="466"/>
      <c r="AI71" s="466"/>
    </row>
    <row r="72" spans="16:35" ht="10.5" customHeight="1" x14ac:dyDescent="0.25">
      <c r="P72" s="147" t="str">
        <f>IF(ISBLANK(Q72)=TRUE,"",62)</f>
        <v/>
      </c>
      <c r="Q72" s="464"/>
      <c r="R72" s="464"/>
      <c r="S72" s="464"/>
      <c r="T72" s="464"/>
      <c r="U72" s="464"/>
      <c r="V72" s="464"/>
      <c r="W72" s="464"/>
      <c r="X72" s="464"/>
      <c r="Y72" s="464"/>
      <c r="Z72" s="465"/>
      <c r="AA72" s="465"/>
      <c r="AB72" s="440"/>
      <c r="AC72" s="440"/>
      <c r="AD72" s="440"/>
      <c r="AE72" s="440"/>
      <c r="AF72" s="440"/>
      <c r="AG72" s="440"/>
      <c r="AH72" s="466"/>
      <c r="AI72" s="466"/>
    </row>
    <row r="73" spans="16:35" ht="10.5" customHeight="1" x14ac:dyDescent="0.25">
      <c r="P73" s="147" t="str">
        <f>IF(ISBLANK(Q73)=TRUE,"",63)</f>
        <v/>
      </c>
      <c r="Q73" s="464"/>
      <c r="R73" s="464"/>
      <c r="S73" s="464"/>
      <c r="T73" s="464"/>
      <c r="U73" s="464"/>
      <c r="V73" s="464"/>
      <c r="W73" s="464"/>
      <c r="X73" s="464"/>
      <c r="Y73" s="464"/>
      <c r="Z73" s="465"/>
      <c r="AA73" s="465"/>
      <c r="AB73" s="440"/>
      <c r="AC73" s="440"/>
      <c r="AD73" s="440"/>
      <c r="AE73" s="440"/>
      <c r="AF73" s="440"/>
      <c r="AG73" s="440"/>
      <c r="AH73" s="466"/>
      <c r="AI73" s="466"/>
    </row>
    <row r="74" spans="16:35" ht="10.5" customHeight="1" x14ac:dyDescent="0.25">
      <c r="P74" s="147" t="str">
        <f>IF(ISBLANK(Q74)=TRUE,"",64)</f>
        <v/>
      </c>
      <c r="Q74" s="464"/>
      <c r="R74" s="464"/>
      <c r="S74" s="464"/>
      <c r="T74" s="464"/>
      <c r="U74" s="464"/>
      <c r="V74" s="464"/>
      <c r="W74" s="464"/>
      <c r="X74" s="464"/>
      <c r="Y74" s="464"/>
      <c r="Z74" s="465"/>
      <c r="AA74" s="465"/>
      <c r="AB74" s="440"/>
      <c r="AC74" s="440"/>
      <c r="AD74" s="440"/>
      <c r="AE74" s="440"/>
      <c r="AF74" s="440"/>
      <c r="AG74" s="440"/>
      <c r="AH74" s="466"/>
      <c r="AI74" s="466"/>
    </row>
    <row r="75" spans="16:35" ht="10.5" customHeight="1" x14ac:dyDescent="0.25">
      <c r="P75" s="147" t="str">
        <f>IF(ISBLANK(Q75)=TRUE,"",65)</f>
        <v/>
      </c>
      <c r="Q75" s="464"/>
      <c r="R75" s="464"/>
      <c r="S75" s="464"/>
      <c r="T75" s="464"/>
      <c r="U75" s="464"/>
      <c r="V75" s="464"/>
      <c r="W75" s="464"/>
      <c r="X75" s="464"/>
      <c r="Y75" s="464"/>
      <c r="Z75" s="465"/>
      <c r="AA75" s="465"/>
      <c r="AB75" s="440"/>
      <c r="AC75" s="440"/>
      <c r="AD75" s="440"/>
      <c r="AE75" s="440"/>
      <c r="AF75" s="440"/>
      <c r="AG75" s="440"/>
      <c r="AH75" s="466"/>
      <c r="AI75" s="466"/>
    </row>
    <row r="76" spans="16:35" ht="10.5" customHeight="1" x14ac:dyDescent="0.25">
      <c r="P76" s="147" t="str">
        <f>IF(ISBLANK(Q76)=TRUE,"",66)</f>
        <v/>
      </c>
      <c r="Q76" s="464"/>
      <c r="R76" s="464"/>
      <c r="S76" s="464"/>
      <c r="T76" s="464"/>
      <c r="U76" s="464"/>
      <c r="V76" s="464"/>
      <c r="W76" s="464"/>
      <c r="X76" s="464"/>
      <c r="Y76" s="464"/>
      <c r="Z76" s="465"/>
      <c r="AA76" s="465"/>
      <c r="AB76" s="440"/>
      <c r="AC76" s="440"/>
      <c r="AD76" s="440"/>
      <c r="AE76" s="440"/>
      <c r="AF76" s="440"/>
      <c r="AG76" s="440"/>
      <c r="AH76" s="466"/>
      <c r="AI76" s="466"/>
    </row>
    <row r="77" spans="16:35" ht="10.5" customHeight="1" x14ac:dyDescent="0.25">
      <c r="P77" s="147" t="str">
        <f>IF(ISBLANK(Q77)=TRUE,"",67)</f>
        <v/>
      </c>
      <c r="Q77" s="464"/>
      <c r="R77" s="464"/>
      <c r="S77" s="464"/>
      <c r="T77" s="464"/>
      <c r="U77" s="464"/>
      <c r="V77" s="464"/>
      <c r="W77" s="464"/>
      <c r="X77" s="464"/>
      <c r="Y77" s="464"/>
      <c r="Z77" s="465"/>
      <c r="AA77" s="465"/>
      <c r="AB77" s="440"/>
      <c r="AC77" s="440"/>
      <c r="AD77" s="440"/>
      <c r="AE77" s="440"/>
      <c r="AF77" s="440"/>
      <c r="AG77" s="440"/>
      <c r="AH77" s="466"/>
      <c r="AI77" s="466"/>
    </row>
    <row r="78" spans="16:35" ht="10.5" customHeight="1" x14ac:dyDescent="0.25">
      <c r="P78" s="147" t="str">
        <f>IF(ISBLANK(Q78)=TRUE,"",68)</f>
        <v/>
      </c>
      <c r="Q78" s="464"/>
      <c r="R78" s="464"/>
      <c r="S78" s="464"/>
      <c r="T78" s="464"/>
      <c r="U78" s="464"/>
      <c r="V78" s="464"/>
      <c r="W78" s="464"/>
      <c r="X78" s="464"/>
      <c r="Y78" s="464"/>
      <c r="Z78" s="465"/>
      <c r="AA78" s="465"/>
      <c r="AB78" s="440"/>
      <c r="AC78" s="440"/>
      <c r="AD78" s="440"/>
      <c r="AE78" s="440"/>
      <c r="AF78" s="440"/>
      <c r="AG78" s="440"/>
      <c r="AH78" s="466"/>
      <c r="AI78" s="466"/>
    </row>
    <row r="79" spans="16:35" ht="10.5" customHeight="1" x14ac:dyDescent="0.25">
      <c r="P79" s="147" t="str">
        <f>IF(ISBLANK(Q79)=TRUE,"",69)</f>
        <v/>
      </c>
      <c r="Q79" s="464"/>
      <c r="R79" s="464"/>
      <c r="S79" s="464"/>
      <c r="T79" s="464"/>
      <c r="U79" s="464"/>
      <c r="V79" s="464"/>
      <c r="W79" s="464"/>
      <c r="X79" s="464"/>
      <c r="Y79" s="464"/>
      <c r="Z79" s="465"/>
      <c r="AA79" s="465"/>
      <c r="AB79" s="440"/>
      <c r="AC79" s="440"/>
      <c r="AD79" s="440"/>
      <c r="AE79" s="440"/>
      <c r="AF79" s="440"/>
      <c r="AG79" s="440"/>
      <c r="AH79" s="466"/>
      <c r="AI79" s="466"/>
    </row>
    <row r="80" spans="16:35" ht="10.5" customHeight="1" x14ac:dyDescent="0.25">
      <c r="P80" s="147" t="str">
        <f>IF(ISBLANK(Q80)=TRUE,"",70)</f>
        <v/>
      </c>
      <c r="Q80" s="464"/>
      <c r="R80" s="464"/>
      <c r="S80" s="464"/>
      <c r="T80" s="464"/>
      <c r="U80" s="464"/>
      <c r="V80" s="464"/>
      <c r="W80" s="464"/>
      <c r="X80" s="464"/>
      <c r="Y80" s="464"/>
      <c r="Z80" s="465"/>
      <c r="AA80" s="465"/>
      <c r="AB80" s="440"/>
      <c r="AC80" s="440"/>
      <c r="AD80" s="440"/>
      <c r="AE80" s="440"/>
      <c r="AF80" s="440"/>
      <c r="AG80" s="440"/>
      <c r="AH80" s="466"/>
      <c r="AI80" s="466"/>
    </row>
    <row r="81" spans="16:35" ht="10.5" customHeight="1" x14ac:dyDescent="0.25">
      <c r="P81" s="147" t="str">
        <f>IF(ISBLANK(Q81)=TRUE,"",71)</f>
        <v/>
      </c>
      <c r="Q81" s="464"/>
      <c r="R81" s="464"/>
      <c r="S81" s="464"/>
      <c r="T81" s="464"/>
      <c r="U81" s="464"/>
      <c r="V81" s="464"/>
      <c r="W81" s="464"/>
      <c r="X81" s="464"/>
      <c r="Y81" s="464"/>
      <c r="Z81" s="465"/>
      <c r="AA81" s="465"/>
      <c r="AB81" s="440"/>
      <c r="AC81" s="440"/>
      <c r="AD81" s="440"/>
      <c r="AE81" s="440"/>
      <c r="AF81" s="440"/>
      <c r="AG81" s="440"/>
      <c r="AH81" s="466"/>
      <c r="AI81" s="466"/>
    </row>
    <row r="82" spans="16:35" ht="10.5" customHeight="1" x14ac:dyDescent="0.25">
      <c r="P82" s="147" t="str">
        <f>IF(ISBLANK(Q82)=TRUE,"",72)</f>
        <v/>
      </c>
      <c r="Q82" s="464"/>
      <c r="R82" s="464"/>
      <c r="S82" s="464"/>
      <c r="T82" s="464"/>
      <c r="U82" s="464"/>
      <c r="V82" s="464"/>
      <c r="W82" s="464"/>
      <c r="X82" s="464"/>
      <c r="Y82" s="464"/>
      <c r="Z82" s="465"/>
      <c r="AA82" s="465"/>
      <c r="AB82" s="440"/>
      <c r="AC82" s="440"/>
      <c r="AD82" s="440"/>
      <c r="AE82" s="440"/>
      <c r="AF82" s="440"/>
      <c r="AG82" s="440"/>
      <c r="AH82" s="466"/>
      <c r="AI82" s="466"/>
    </row>
    <row r="83" spans="16:35" ht="10.5" customHeight="1" x14ac:dyDescent="0.25">
      <c r="P83" s="147" t="str">
        <f>IF(ISBLANK(Q83)=TRUE,"",73)</f>
        <v/>
      </c>
      <c r="Q83" s="464"/>
      <c r="R83" s="464"/>
      <c r="S83" s="464"/>
      <c r="T83" s="464"/>
      <c r="U83" s="464"/>
      <c r="V83" s="464"/>
      <c r="W83" s="464"/>
      <c r="X83" s="464"/>
      <c r="Y83" s="464"/>
      <c r="Z83" s="465"/>
      <c r="AA83" s="465"/>
      <c r="AB83" s="440"/>
      <c r="AC83" s="440"/>
      <c r="AD83" s="440"/>
      <c r="AE83" s="440"/>
      <c r="AF83" s="440"/>
      <c r="AG83" s="440"/>
      <c r="AH83" s="466"/>
      <c r="AI83" s="466"/>
    </row>
    <row r="84" spans="16:35" ht="11.25" customHeight="1" x14ac:dyDescent="0.25">
      <c r="Q84" s="275"/>
      <c r="AB84" s="298"/>
      <c r="AC84" s="298"/>
      <c r="AD84" s="298"/>
      <c r="AE84" s="298"/>
      <c r="AF84" s="298"/>
      <c r="AG84" s="298"/>
    </row>
    <row r="85" spans="16:35" x14ac:dyDescent="0.25">
      <c r="AB85" s="298"/>
      <c r="AC85" s="298"/>
      <c r="AD85" s="298"/>
      <c r="AE85" s="298"/>
      <c r="AF85" s="298"/>
      <c r="AG85" s="298"/>
    </row>
  </sheetData>
  <mergeCells count="455">
    <mergeCell ref="AB83:AC83"/>
    <mergeCell ref="AD83:AE83"/>
    <mergeCell ref="AF83:AG83"/>
    <mergeCell ref="AH83:AI83"/>
    <mergeCell ref="AB81:AC81"/>
    <mergeCell ref="AD81:AE81"/>
    <mergeCell ref="AF81:AG81"/>
    <mergeCell ref="AH81:AI81"/>
    <mergeCell ref="AB82:AC82"/>
    <mergeCell ref="AB70:AC70"/>
    <mergeCell ref="AD70:AE70"/>
    <mergeCell ref="AF70:AG70"/>
    <mergeCell ref="AH70:AI70"/>
    <mergeCell ref="AB68:AC68"/>
    <mergeCell ref="AD68:AE68"/>
    <mergeCell ref="AF68:AG68"/>
    <mergeCell ref="AH68:AI68"/>
    <mergeCell ref="AB69:AC69"/>
    <mergeCell ref="AD69:AE69"/>
    <mergeCell ref="AF69:AG69"/>
    <mergeCell ref="AH69:AI69"/>
    <mergeCell ref="AB78:AC78"/>
    <mergeCell ref="AD78:AE78"/>
    <mergeCell ref="AF78:AG78"/>
    <mergeCell ref="AH78:AI78"/>
    <mergeCell ref="Q77:Y77"/>
    <mergeCell ref="AD73:AE73"/>
    <mergeCell ref="AF73:AG73"/>
    <mergeCell ref="AH73:AI73"/>
    <mergeCell ref="AB74:AC74"/>
    <mergeCell ref="AD74:AE74"/>
    <mergeCell ref="AF74:AG74"/>
    <mergeCell ref="AH74:AI74"/>
    <mergeCell ref="AF77:AG77"/>
    <mergeCell ref="AH77:AI77"/>
    <mergeCell ref="AB71:AC71"/>
    <mergeCell ref="AD71:AE71"/>
    <mergeCell ref="AF71:AG71"/>
    <mergeCell ref="AH71:AI71"/>
    <mergeCell ref="AB72:AC72"/>
    <mergeCell ref="AD72:AE72"/>
    <mergeCell ref="AF72:AG72"/>
    <mergeCell ref="AH72:AI72"/>
    <mergeCell ref="Q71:Y71"/>
    <mergeCell ref="Q72:Y72"/>
    <mergeCell ref="Z71:AA71"/>
    <mergeCell ref="Z72:AA72"/>
    <mergeCell ref="AF64:AG64"/>
    <mergeCell ref="AH64:AI64"/>
    <mergeCell ref="AB65:AC65"/>
    <mergeCell ref="AD65:AE65"/>
    <mergeCell ref="AF65:AG65"/>
    <mergeCell ref="AH65:AI65"/>
    <mergeCell ref="Q64:Y64"/>
    <mergeCell ref="Q65:Y65"/>
    <mergeCell ref="Z64:AA64"/>
    <mergeCell ref="Z65:AA65"/>
    <mergeCell ref="AF66:AG66"/>
    <mergeCell ref="AH66:AI66"/>
    <mergeCell ref="AB67:AC67"/>
    <mergeCell ref="AD67:AE67"/>
    <mergeCell ref="AF67:AG67"/>
    <mergeCell ref="AH67:AI67"/>
    <mergeCell ref="Q66:Y66"/>
    <mergeCell ref="Q67:Y67"/>
    <mergeCell ref="Z66:AA66"/>
    <mergeCell ref="Z67:AA67"/>
    <mergeCell ref="AF60:AG60"/>
    <mergeCell ref="AH60:AI60"/>
    <mergeCell ref="AB61:AC61"/>
    <mergeCell ref="AD61:AE61"/>
    <mergeCell ref="AF61:AG61"/>
    <mergeCell ref="AH61:AI61"/>
    <mergeCell ref="Q60:Y60"/>
    <mergeCell ref="Q61:Y61"/>
    <mergeCell ref="Z60:AA60"/>
    <mergeCell ref="Z61:AA61"/>
    <mergeCell ref="AF62:AG62"/>
    <mergeCell ref="AH62:AI62"/>
    <mergeCell ref="AB63:AC63"/>
    <mergeCell ref="AD63:AE63"/>
    <mergeCell ref="AF63:AG63"/>
    <mergeCell ref="AH63:AI63"/>
    <mergeCell ref="Q62:Y62"/>
    <mergeCell ref="Q63:Y63"/>
    <mergeCell ref="Z62:AA62"/>
    <mergeCell ref="Z63:AA63"/>
    <mergeCell ref="AF59:AG59"/>
    <mergeCell ref="AH59:AI59"/>
    <mergeCell ref="Q58:Y58"/>
    <mergeCell ref="Q59:Y59"/>
    <mergeCell ref="Z58:AA58"/>
    <mergeCell ref="Z59:AA59"/>
    <mergeCell ref="AB56:AC56"/>
    <mergeCell ref="AD56:AE56"/>
    <mergeCell ref="AF56:AG56"/>
    <mergeCell ref="AH56:AI56"/>
    <mergeCell ref="AB57:AC57"/>
    <mergeCell ref="AD57:AE57"/>
    <mergeCell ref="AF57:AG57"/>
    <mergeCell ref="AH57:AI57"/>
    <mergeCell ref="Q56:Y56"/>
    <mergeCell ref="Q57:Y57"/>
    <mergeCell ref="Z56:AA56"/>
    <mergeCell ref="Z57:AA57"/>
    <mergeCell ref="AF53:AG53"/>
    <mergeCell ref="AH53:AI53"/>
    <mergeCell ref="Q52:Y52"/>
    <mergeCell ref="Q53:Y53"/>
    <mergeCell ref="Z52:AA52"/>
    <mergeCell ref="Z53:AA53"/>
    <mergeCell ref="AB55:AC55"/>
    <mergeCell ref="AD55:AE55"/>
    <mergeCell ref="AB58:AC58"/>
    <mergeCell ref="AD58:AE58"/>
    <mergeCell ref="AF58:AG58"/>
    <mergeCell ref="AH58:AI58"/>
    <mergeCell ref="AF46:AG46"/>
    <mergeCell ref="AH46:AI46"/>
    <mergeCell ref="Q46:Y46"/>
    <mergeCell ref="Z46:AA46"/>
    <mergeCell ref="AB54:AC54"/>
    <mergeCell ref="AD54:AE54"/>
    <mergeCell ref="AF54:AG54"/>
    <mergeCell ref="AH54:AI54"/>
    <mergeCell ref="AB50:AC50"/>
    <mergeCell ref="AD50:AE50"/>
    <mergeCell ref="AF50:AG50"/>
    <mergeCell ref="AH50:AI50"/>
    <mergeCell ref="AB51:AC51"/>
    <mergeCell ref="AD51:AE51"/>
    <mergeCell ref="AF51:AG51"/>
    <mergeCell ref="AH51:AI51"/>
    <mergeCell ref="Q50:Y50"/>
    <mergeCell ref="Q51:Y51"/>
    <mergeCell ref="Z50:AA50"/>
    <mergeCell ref="Z51:AA51"/>
    <mergeCell ref="Q54:Y54"/>
    <mergeCell ref="Z54:AA54"/>
    <mergeCell ref="AB52:AC52"/>
    <mergeCell ref="AD52:AE52"/>
    <mergeCell ref="AH41:AI41"/>
    <mergeCell ref="Q41:Y41"/>
    <mergeCell ref="AB42:AC42"/>
    <mergeCell ref="AD42:AE42"/>
    <mergeCell ref="AF42:AG42"/>
    <mergeCell ref="AH42:AI42"/>
    <mergeCell ref="AF45:AG45"/>
    <mergeCell ref="AH45:AI45"/>
    <mergeCell ref="Q44:Y44"/>
    <mergeCell ref="Q45:Y45"/>
    <mergeCell ref="Z44:AA44"/>
    <mergeCell ref="Z45:AA45"/>
    <mergeCell ref="AH43:AI43"/>
    <mergeCell ref="Q42:Y42"/>
    <mergeCell ref="Q43:Y43"/>
    <mergeCell ref="Z42:AA42"/>
    <mergeCell ref="Z43:AA43"/>
    <mergeCell ref="AB44:AC44"/>
    <mergeCell ref="AD44:AE44"/>
    <mergeCell ref="AF44:AG44"/>
    <mergeCell ref="AH44:AI44"/>
    <mergeCell ref="AH40:AI40"/>
    <mergeCell ref="Z38:AA38"/>
    <mergeCell ref="Z39:AA39"/>
    <mergeCell ref="AH21:AI21"/>
    <mergeCell ref="AB21:AC21"/>
    <mergeCell ref="AD21:AE21"/>
    <mergeCell ref="AF21:AG21"/>
    <mergeCell ref="AH24:AI24"/>
    <mergeCell ref="AB24:AC24"/>
    <mergeCell ref="AD24:AE24"/>
    <mergeCell ref="AF24:AG24"/>
    <mergeCell ref="AH23:AI23"/>
    <mergeCell ref="AB23:AC23"/>
    <mergeCell ref="AD23:AE23"/>
    <mergeCell ref="AF23:AG23"/>
    <mergeCell ref="AB22:AC22"/>
    <mergeCell ref="AD22:AE22"/>
    <mergeCell ref="AF22:AG22"/>
    <mergeCell ref="AH22:AI22"/>
    <mergeCell ref="Z21:AA21"/>
    <mergeCell ref="Z22:AA22"/>
    <mergeCell ref="Z23:AA23"/>
    <mergeCell ref="Z24:AA24"/>
    <mergeCell ref="AH26:AI26"/>
    <mergeCell ref="AH25:AI25"/>
    <mergeCell ref="AB25:AC25"/>
    <mergeCell ref="AD25:AE25"/>
    <mergeCell ref="AF25:AG25"/>
    <mergeCell ref="AF38:AG38"/>
    <mergeCell ref="AH38:AI38"/>
    <mergeCell ref="AB39:AC39"/>
    <mergeCell ref="AD39:AE39"/>
    <mergeCell ref="AF39:AG39"/>
    <mergeCell ref="AH39:AI39"/>
    <mergeCell ref="AH28:AI28"/>
    <mergeCell ref="AF34:AG34"/>
    <mergeCell ref="AH34:AI34"/>
    <mergeCell ref="AH33:AI33"/>
    <mergeCell ref="AB33:AC33"/>
    <mergeCell ref="AD33:AE33"/>
    <mergeCell ref="AH27:AI27"/>
    <mergeCell ref="AB27:AC27"/>
    <mergeCell ref="AD27:AE27"/>
    <mergeCell ref="AF27:AG27"/>
    <mergeCell ref="AB28:AC28"/>
    <mergeCell ref="AD28:AE28"/>
    <mergeCell ref="AF28:AG28"/>
    <mergeCell ref="AD12:AE12"/>
    <mergeCell ref="AF12:AG12"/>
    <mergeCell ref="Z10:AA10"/>
    <mergeCell ref="Z11:AA11"/>
    <mergeCell ref="Z12:AA12"/>
    <mergeCell ref="Z13:AA13"/>
    <mergeCell ref="Z14:AA14"/>
    <mergeCell ref="AH19:AI19"/>
    <mergeCell ref="AB19:AC19"/>
    <mergeCell ref="AD19:AE19"/>
    <mergeCell ref="AF19:AG19"/>
    <mergeCell ref="AH18:AI18"/>
    <mergeCell ref="AH17:AI17"/>
    <mergeCell ref="AB17:AC17"/>
    <mergeCell ref="AD17:AE17"/>
    <mergeCell ref="AF17:AG17"/>
    <mergeCell ref="AB16:AC16"/>
    <mergeCell ref="AD16:AE16"/>
    <mergeCell ref="AF16:AG16"/>
    <mergeCell ref="AH16:AI16"/>
    <mergeCell ref="AH15:AI15"/>
    <mergeCell ref="AB15:AC15"/>
    <mergeCell ref="AD15:AE15"/>
    <mergeCell ref="AF15:AG15"/>
    <mergeCell ref="AH14:AI14"/>
    <mergeCell ref="AH13:AI13"/>
    <mergeCell ref="AB13:AC13"/>
    <mergeCell ref="AD13:AE13"/>
    <mergeCell ref="AF13:AG13"/>
    <mergeCell ref="B1:J2"/>
    <mergeCell ref="AF11:AG11"/>
    <mergeCell ref="AB10:AC10"/>
    <mergeCell ref="AD10:AE10"/>
    <mergeCell ref="AF10:AG10"/>
    <mergeCell ref="A5:AI6"/>
    <mergeCell ref="A4:AI4"/>
    <mergeCell ref="AH10:AI10"/>
    <mergeCell ref="AB9:AC9"/>
    <mergeCell ref="AD9:AE9"/>
    <mergeCell ref="AF9:AG9"/>
    <mergeCell ref="AH9:AI9"/>
    <mergeCell ref="AH12:AI12"/>
    <mergeCell ref="AH11:AI11"/>
    <mergeCell ref="AB11:AC11"/>
    <mergeCell ref="AD11:AE11"/>
    <mergeCell ref="X9:Y9"/>
    <mergeCell ref="Z9:AA9"/>
    <mergeCell ref="AB12:AC12"/>
    <mergeCell ref="AB14:AC14"/>
    <mergeCell ref="AD14:AE14"/>
    <mergeCell ref="AF14:AG14"/>
    <mergeCell ref="AD37:AE37"/>
    <mergeCell ref="AF37:AG37"/>
    <mergeCell ref="AH37:AI37"/>
    <mergeCell ref="AB30:AC30"/>
    <mergeCell ref="AD30:AE30"/>
    <mergeCell ref="AF30:AG30"/>
    <mergeCell ref="AH30:AI30"/>
    <mergeCell ref="AH29:AI29"/>
    <mergeCell ref="AB29:AC29"/>
    <mergeCell ref="AD29:AE29"/>
    <mergeCell ref="AF29:AG29"/>
    <mergeCell ref="AF33:AG33"/>
    <mergeCell ref="AB32:AC32"/>
    <mergeCell ref="AD32:AE32"/>
    <mergeCell ref="AF32:AG32"/>
    <mergeCell ref="AH32:AI32"/>
    <mergeCell ref="AB36:AC36"/>
    <mergeCell ref="AD36:AE36"/>
    <mergeCell ref="AF36:AG36"/>
    <mergeCell ref="AH36:AI36"/>
    <mergeCell ref="AH35:AI35"/>
    <mergeCell ref="AH55:AI55"/>
    <mergeCell ref="Q55:Y55"/>
    <mergeCell ref="Z55:AA55"/>
    <mergeCell ref="AF52:AG52"/>
    <mergeCell ref="AH52:AI52"/>
    <mergeCell ref="AB53:AC53"/>
    <mergeCell ref="Z15:AA15"/>
    <mergeCell ref="Z16:AA16"/>
    <mergeCell ref="Z17:AA17"/>
    <mergeCell ref="Z18:AA18"/>
    <mergeCell ref="AB35:AC35"/>
    <mergeCell ref="AD35:AE35"/>
    <mergeCell ref="Z19:AA19"/>
    <mergeCell ref="Z20:AA20"/>
    <mergeCell ref="AB18:AC18"/>
    <mergeCell ref="AD18:AE18"/>
    <mergeCell ref="AF18:AG18"/>
    <mergeCell ref="AB20:AC20"/>
    <mergeCell ref="AD20:AE20"/>
    <mergeCell ref="AF20:AG20"/>
    <mergeCell ref="AH20:AI20"/>
    <mergeCell ref="AF35:AG35"/>
    <mergeCell ref="AH31:AI31"/>
    <mergeCell ref="AB31:AC31"/>
    <mergeCell ref="AH75:AI75"/>
    <mergeCell ref="AB76:AC76"/>
    <mergeCell ref="AF76:AG76"/>
    <mergeCell ref="AH76:AI76"/>
    <mergeCell ref="Q75:Y75"/>
    <mergeCell ref="Q76:Y76"/>
    <mergeCell ref="Z75:AA75"/>
    <mergeCell ref="Z76:AA76"/>
    <mergeCell ref="F46:H46"/>
    <mergeCell ref="I46:K46"/>
    <mergeCell ref="AB47:AC47"/>
    <mergeCell ref="AD47:AE47"/>
    <mergeCell ref="AF47:AG47"/>
    <mergeCell ref="AH47:AI47"/>
    <mergeCell ref="Q47:Y47"/>
    <mergeCell ref="Z47:AA47"/>
    <mergeCell ref="AB48:AC48"/>
    <mergeCell ref="AD48:AE48"/>
    <mergeCell ref="AF48:AG48"/>
    <mergeCell ref="AH48:AI48"/>
    <mergeCell ref="AB49:AC49"/>
    <mergeCell ref="AD49:AE49"/>
    <mergeCell ref="AF49:AG49"/>
    <mergeCell ref="AH49:AI49"/>
    <mergeCell ref="Q23:Y23"/>
    <mergeCell ref="Q24:Y24"/>
    <mergeCell ref="Q25:Y25"/>
    <mergeCell ref="Q26:Y26"/>
    <mergeCell ref="Q27:Y27"/>
    <mergeCell ref="Q28:Y28"/>
    <mergeCell ref="Q29:Y29"/>
    <mergeCell ref="Q73:Y73"/>
    <mergeCell ref="AF75:AG75"/>
    <mergeCell ref="AF55:AG55"/>
    <mergeCell ref="AD31:AE31"/>
    <mergeCell ref="AF31:AG31"/>
    <mergeCell ref="AB34:AC34"/>
    <mergeCell ref="AD34:AE34"/>
    <mergeCell ref="AB26:AC26"/>
    <mergeCell ref="AD26:AE26"/>
    <mergeCell ref="AF26:AG26"/>
    <mergeCell ref="AB40:AC40"/>
    <mergeCell ref="AD40:AE40"/>
    <mergeCell ref="AF40:AG40"/>
    <mergeCell ref="AF43:AG43"/>
    <mergeCell ref="AB41:AC41"/>
    <mergeCell ref="AD41:AE41"/>
    <mergeCell ref="AF41:AG41"/>
    <mergeCell ref="Q10:Y10"/>
    <mergeCell ref="Q11:Y11"/>
    <mergeCell ref="Q12:Y12"/>
    <mergeCell ref="Q13:Y13"/>
    <mergeCell ref="Q14:Y14"/>
    <mergeCell ref="Q15:Y15"/>
    <mergeCell ref="Q16:Y16"/>
    <mergeCell ref="Q17:Y17"/>
    <mergeCell ref="Q18:Y18"/>
    <mergeCell ref="AF82:AG82"/>
    <mergeCell ref="AH82:AI82"/>
    <mergeCell ref="AB79:AC79"/>
    <mergeCell ref="AD79:AE79"/>
    <mergeCell ref="AF79:AG79"/>
    <mergeCell ref="AH79:AI79"/>
    <mergeCell ref="AB80:AC80"/>
    <mergeCell ref="AD80:AE80"/>
    <mergeCell ref="AF80:AG80"/>
    <mergeCell ref="AH80:AI80"/>
    <mergeCell ref="AD82:AE82"/>
    <mergeCell ref="Q74:Y74"/>
    <mergeCell ref="Z73:AA73"/>
    <mergeCell ref="Z74:AA74"/>
    <mergeCell ref="AB73:AC73"/>
    <mergeCell ref="AB75:AC75"/>
    <mergeCell ref="AD75:AE75"/>
    <mergeCell ref="AB38:AC38"/>
    <mergeCell ref="AD38:AE38"/>
    <mergeCell ref="AB43:AC43"/>
    <mergeCell ref="AD43:AE43"/>
    <mergeCell ref="AB45:AC45"/>
    <mergeCell ref="AD45:AE45"/>
    <mergeCell ref="AD53:AE53"/>
    <mergeCell ref="Z68:AA68"/>
    <mergeCell ref="AB62:AC62"/>
    <mergeCell ref="AB77:AC77"/>
    <mergeCell ref="AD77:AE77"/>
    <mergeCell ref="Q38:Y38"/>
    <mergeCell ref="Q39:Y39"/>
    <mergeCell ref="Q40:Y40"/>
    <mergeCell ref="AB46:AC46"/>
    <mergeCell ref="AD46:AE46"/>
    <mergeCell ref="AB59:AC59"/>
    <mergeCell ref="AD76:AE76"/>
    <mergeCell ref="Z28:AA28"/>
    <mergeCell ref="Z29:AA29"/>
    <mergeCell ref="Z30:AA30"/>
    <mergeCell ref="Q32:Y32"/>
    <mergeCell ref="Q33:Y33"/>
    <mergeCell ref="Q34:Y34"/>
    <mergeCell ref="Q35:Y35"/>
    <mergeCell ref="AB37:AC37"/>
    <mergeCell ref="Z31:AA31"/>
    <mergeCell ref="Z32:AA32"/>
    <mergeCell ref="Z33:AA33"/>
    <mergeCell ref="Z34:AA34"/>
    <mergeCell ref="Z35:AA35"/>
    <mergeCell ref="Z36:AA36"/>
    <mergeCell ref="Z37:AA37"/>
    <mergeCell ref="AD59:AE59"/>
    <mergeCell ref="AD62:AE62"/>
    <mergeCell ref="AB60:AC60"/>
    <mergeCell ref="AD60:AE60"/>
    <mergeCell ref="AB66:AC66"/>
    <mergeCell ref="AD66:AE66"/>
    <mergeCell ref="AB64:AC64"/>
    <mergeCell ref="AD64:AE64"/>
    <mergeCell ref="Q19:Y19"/>
    <mergeCell ref="Q20:Y20"/>
    <mergeCell ref="Q21:Y21"/>
    <mergeCell ref="Q22:Y22"/>
    <mergeCell ref="Z40:AA40"/>
    <mergeCell ref="Z41:AA41"/>
    <mergeCell ref="Q78:Y78"/>
    <mergeCell ref="Q79:Y79"/>
    <mergeCell ref="Z78:AA78"/>
    <mergeCell ref="Z79:AA79"/>
    <mergeCell ref="Z69:AA69"/>
    <mergeCell ref="Z70:AA70"/>
    <mergeCell ref="Z77:AA77"/>
    <mergeCell ref="Q48:Y48"/>
    <mergeCell ref="Q49:Y49"/>
    <mergeCell ref="Z48:AA48"/>
    <mergeCell ref="Z49:AA49"/>
    <mergeCell ref="Q68:Y68"/>
    <mergeCell ref="Q69:Y69"/>
    <mergeCell ref="Q70:Y70"/>
    <mergeCell ref="Q36:Y36"/>
    <mergeCell ref="Q37:Y37"/>
    <mergeCell ref="Q30:Y30"/>
    <mergeCell ref="Q31:Y31"/>
    <mergeCell ref="Q81:Y81"/>
    <mergeCell ref="Q82:Y82"/>
    <mergeCell ref="Q83:Y83"/>
    <mergeCell ref="Z81:AA81"/>
    <mergeCell ref="Z82:AA82"/>
    <mergeCell ref="Z83:AA83"/>
    <mergeCell ref="Z25:AA25"/>
    <mergeCell ref="Z26:AA26"/>
    <mergeCell ref="Z27:AA27"/>
    <mergeCell ref="Q80:Y80"/>
    <mergeCell ref="Z80:AA80"/>
  </mergeCells>
  <conditionalFormatting sqref="Q11:AI83">
    <cfRule type="expression" dxfId="117" priority="5">
      <formula>ISBLANK($Q11)</formula>
    </cfRule>
  </conditionalFormatting>
  <dataValidations count="3">
    <dataValidation allowBlank="1" showInputMessage="1" showErrorMessage="1" prompt="The average of the simulated returns of the asset/strategy" sqref="Z9:AC9" xr:uid="{00000000-0002-0000-0600-000000000000}"/>
    <dataValidation allowBlank="1" showInputMessage="1" showErrorMessage="1" prompt="Portfolio expected tail loss sensitivity to a small change in the weight of each asset" sqref="AD9:AE9" xr:uid="{00000000-0002-0000-0600-000001000000}"/>
    <dataValidation allowBlank="1" showInputMessage="1" showErrorMessage="1" prompt="The return an asset must deliver in order to justify the amount of tail risk it contributes to the overall portfolio" sqref="AF9:AG9" xr:uid="{00000000-0002-0000-0600-000002000000}"/>
  </dataValidations>
  <pageMargins left="0.7" right="0.7" top="0" bottom="0" header="0" footer="0"/>
  <pageSetup scale="66"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16" id="{40368B5E-BB43-4867-A4AB-B89801F7A995}">
            <x14:iconSet iconSet="3Symbols" custom="1">
              <x14:cfvo type="percent">
                <xm:f>0</xm:f>
              </x14:cfvo>
              <x14:cfvo type="num">
                <xm:f>0</xm:f>
              </x14:cfvo>
              <x14:cfvo type="num" gte="0">
                <xm:f>0</xm:f>
              </x14:cfvo>
              <x14:cfIcon iconSet="3Symbols" iconId="1"/>
              <x14:cfIcon iconSet="NoIcons" iconId="0"/>
              <x14:cfIcon iconSet="3Symbols" iconId="2"/>
            </x14:iconSet>
          </x14:cfRule>
          <xm:sqref>AH10:AI83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M103"/>
  <sheetViews>
    <sheetView workbookViewId="0"/>
  </sheetViews>
  <sheetFormatPr defaultRowHeight="15" x14ac:dyDescent="0.25"/>
  <cols>
    <col min="2" max="5" width="16.28515625" customWidth="1"/>
    <col min="9" max="12" width="16.28515625" customWidth="1"/>
  </cols>
  <sheetData>
    <row r="1" spans="1:13" x14ac:dyDescent="0.25">
      <c r="B1" s="308" t="s">
        <v>258</v>
      </c>
      <c r="C1" s="308" t="s">
        <v>18</v>
      </c>
      <c r="D1" s="308" t="s">
        <v>121</v>
      </c>
      <c r="E1" s="308" t="s">
        <v>257</v>
      </c>
      <c r="F1" s="308" t="s">
        <v>260</v>
      </c>
      <c r="I1" s="308" t="s">
        <v>259</v>
      </c>
      <c r="J1" s="308" t="s">
        <v>18</v>
      </c>
      <c r="K1" s="308" t="s">
        <v>121</v>
      </c>
      <c r="L1" s="308" t="s">
        <v>257</v>
      </c>
      <c r="M1" s="308" t="s">
        <v>260</v>
      </c>
    </row>
    <row r="2" spans="1:13" x14ac:dyDescent="0.25">
      <c r="B2" s="302" t="s">
        <v>351</v>
      </c>
      <c r="C2" s="269">
        <v>0.9376493977324154</v>
      </c>
      <c r="D2" s="269" t="s">
        <v>294</v>
      </c>
      <c r="E2" s="269" t="s">
        <v>294</v>
      </c>
      <c r="F2" s="270" t="s">
        <v>294</v>
      </c>
      <c r="I2" s="302" t="s">
        <v>351</v>
      </c>
      <c r="J2" s="269">
        <v>0.9376493977324154</v>
      </c>
      <c r="K2" s="269" t="s">
        <v>294</v>
      </c>
      <c r="L2" s="269" t="s">
        <v>294</v>
      </c>
      <c r="M2" s="270" t="s">
        <v>294</v>
      </c>
    </row>
    <row r="3" spans="1:13" x14ac:dyDescent="0.25">
      <c r="A3">
        <f t="array" ref="A3">INDEX('RISK BUDGETING (ETL)'!P$11:P$87, MATCH(1, (B3='RISK BUDGETING (ETL)'!Q$11:Q$87) * (C3='RISK BUDGETING (ETL)'!AB$11:AB$87) * (D3='RISK BUDGETING (ETL)'!AD$11:AD$87) * (E3='RISK BUDGETING (ETL)'!AF$11:AF$87), 0))</f>
        <v>1</v>
      </c>
      <c r="B3" t="s">
        <v>322</v>
      </c>
      <c r="C3">
        <v>0.52696580394678449</v>
      </c>
      <c r="D3">
        <v>0.76447256455201174</v>
      </c>
      <c r="E3">
        <v>0.82020124829641639</v>
      </c>
      <c r="F3">
        <v>-0.29323544434963189</v>
      </c>
      <c r="H3">
        <f t="array" ref="H3">INDEX('RISK BUDGETING (ETL)'!P$11:P$87, MATCH(1, (I3='RISK BUDGETING (ETL)'!Q$11:Q$87) * (J3='RISK BUDGETING (ETL)'!AB$11:AB$87) * (K3='RISK BUDGETING (ETL)'!AD$11:AD$87) * (L3='RISK BUDGETING (ETL)'!AF$11:AF$87), 0))</f>
        <v>13</v>
      </c>
      <c r="I3" t="s">
        <v>323</v>
      </c>
      <c r="J3">
        <v>1.070412969088532</v>
      </c>
      <c r="K3">
        <v>7.9299843185739863E-2</v>
      </c>
      <c r="L3">
        <v>8.5080660034894826E-2</v>
      </c>
      <c r="M3">
        <v>0.98533230905363722</v>
      </c>
    </row>
    <row r="4" spans="1:13" x14ac:dyDescent="0.25">
      <c r="A4">
        <f t="array" ref="A4">INDEX('RISK BUDGETING (ETL)'!P$11:P$87, MATCH(1, (B4='RISK BUDGETING (ETL)'!Q$11:Q$87) * (C4='RISK BUDGETING (ETL)'!AB$11:AB$87) * (D4='RISK BUDGETING (ETL)'!AD$11:AD$87) * (E4='RISK BUDGETING (ETL)'!AF$11:AF$87), 0))</f>
        <v>4</v>
      </c>
      <c r="B4" t="s">
        <v>320</v>
      </c>
      <c r="C4">
        <v>0.71084486914380762</v>
      </c>
      <c r="D4">
        <v>2.4810784144745837</v>
      </c>
      <c r="E4">
        <v>2.6619445968814675</v>
      </c>
      <c r="F4">
        <v>-1.9510997277376598</v>
      </c>
      <c r="H4">
        <f t="array" ref="H4">INDEX('RISK BUDGETING (ETL)'!P$11:P$87, MATCH(1, (I4='RISK BUDGETING (ETL)'!Q$11:Q$87) * (J4='RISK BUDGETING (ETL)'!AB$11:AB$87) * (K4='RISK BUDGETING (ETL)'!AD$11:AD$87) * (L4='RISK BUDGETING (ETL)'!AF$11:AF$87), 0))</f>
        <v>35</v>
      </c>
      <c r="I4" t="s">
        <v>324</v>
      </c>
      <c r="J4">
        <v>-0.59150315309951873</v>
      </c>
      <c r="K4">
        <v>1.9869707103934462</v>
      </c>
      <c r="L4">
        <v>2.1318173242072471</v>
      </c>
      <c r="M4">
        <v>-2.7233204773067659</v>
      </c>
    </row>
    <row r="5" spans="1:13" x14ac:dyDescent="0.25">
      <c r="A5">
        <f t="array" ref="A5">INDEX('RISK BUDGETING (ETL)'!P$11:P$87, MATCH(1, (B5='RISK BUDGETING (ETL)'!Q$11:Q$87) * (C5='RISK BUDGETING (ETL)'!AB$11:AB$87) * (D5='RISK BUDGETING (ETL)'!AD$11:AD$87) * (E5='RISK BUDGETING (ETL)'!AF$11:AF$87), 0))</f>
        <v>12</v>
      </c>
      <c r="B5" t="s">
        <v>318</v>
      </c>
      <c r="C5">
        <v>0.97744841860439702</v>
      </c>
      <c r="D5">
        <v>1.6134786363166522</v>
      </c>
      <c r="E5">
        <v>1.7310983454089415</v>
      </c>
      <c r="F5">
        <v>-0.75364992680454446</v>
      </c>
      <c r="H5">
        <f t="array" ref="H5">INDEX('RISK BUDGETING (ETL)'!P$11:P$87, MATCH(1, (I5='RISK BUDGETING (ETL)'!Q$11:Q$87) * (J5='RISK BUDGETING (ETL)'!AB$11:AB$87) * (K5='RISK BUDGETING (ETL)'!AD$11:AD$87) * (L5='RISK BUDGETING (ETL)'!AF$11:AF$87), 0))</f>
        <v>44</v>
      </c>
      <c r="I5" t="s">
        <v>313</v>
      </c>
      <c r="J5">
        <v>0.98209791573682026</v>
      </c>
      <c r="K5">
        <v>-0.51724379112747854</v>
      </c>
      <c r="L5">
        <v>-0.55494993911905754</v>
      </c>
      <c r="M5">
        <v>1.5370478548558779</v>
      </c>
    </row>
    <row r="6" spans="1:13" x14ac:dyDescent="0.25">
      <c r="A6">
        <f t="array" ref="A6">INDEX('RISK BUDGETING (ETL)'!P$11:P$87, MATCH(1, (B6='RISK BUDGETING (ETL)'!Q$11:Q$87) * (C6='RISK BUDGETING (ETL)'!AB$11:AB$87) * (D6='RISK BUDGETING (ETL)'!AD$11:AD$87) * (E6='RISK BUDGETING (ETL)'!AF$11:AF$87), 0))</f>
        <v>17</v>
      </c>
      <c r="B6" t="s">
        <v>319</v>
      </c>
      <c r="C6">
        <v>0.82495861727283271</v>
      </c>
      <c r="D6">
        <v>-6.8971375279234068E-2</v>
      </c>
      <c r="E6">
        <v>-7.3999265276313966E-2</v>
      </c>
      <c r="F6">
        <v>0.89895788254914666</v>
      </c>
      <c r="H6">
        <f t="array" ref="H6">INDEX('RISK BUDGETING (ETL)'!P$11:P$87, MATCH(1, (I6='RISK BUDGETING (ETL)'!Q$11:Q$87) * (J6='RISK BUDGETING (ETL)'!AB$11:AB$87) * (K6='RISK BUDGETING (ETL)'!AD$11:AD$87) * (L6='RISK BUDGETING (ETL)'!AF$11:AF$87), 0))</f>
        <v>36</v>
      </c>
      <c r="I6" t="s">
        <v>325</v>
      </c>
      <c r="J6">
        <v>0.76373881324272452</v>
      </c>
      <c r="K6">
        <v>0.50817707819248614</v>
      </c>
      <c r="L6">
        <v>0.54522227901449405</v>
      </c>
      <c r="M6">
        <v>0.21851653422823047</v>
      </c>
    </row>
    <row r="7" spans="1:13" x14ac:dyDescent="0.25">
      <c r="A7">
        <f t="array" ref="A7">INDEX('RISK BUDGETING (ETL)'!P$11:P$87, MATCH(1, (B7='RISK BUDGETING (ETL)'!Q$11:Q$87) * (C7='RISK BUDGETING (ETL)'!AB$11:AB$87) * (D7='RISK BUDGETING (ETL)'!AD$11:AD$87) * (E7='RISK BUDGETING (ETL)'!AF$11:AF$87), 0))</f>
        <v>21</v>
      </c>
      <c r="B7" t="s">
        <v>317</v>
      </c>
      <c r="C7">
        <v>0.96297433745027849</v>
      </c>
      <c r="D7">
        <v>2.147241368679035</v>
      </c>
      <c r="E7">
        <v>2.3037714270574412</v>
      </c>
      <c r="F7">
        <v>-1.3407970896071628</v>
      </c>
      <c r="H7">
        <f t="array" ref="H7">INDEX('RISK BUDGETING (ETL)'!P$11:P$87, MATCH(1, (I7='RISK BUDGETING (ETL)'!Q$11:Q$87) * (J7='RISK BUDGETING (ETL)'!AB$11:AB$87) * (K7='RISK BUDGETING (ETL)'!AD$11:AD$87) * (L7='RISK BUDGETING (ETL)'!AF$11:AF$87), 0))</f>
        <v>5</v>
      </c>
      <c r="I7" t="s">
        <v>326</v>
      </c>
      <c r="J7">
        <v>0.87289775521258461</v>
      </c>
      <c r="K7">
        <v>-0.48203512894296996</v>
      </c>
      <c r="L7">
        <v>-0.51717462838373562</v>
      </c>
      <c r="M7">
        <v>1.3900723835963202</v>
      </c>
    </row>
    <row r="8" spans="1:13" x14ac:dyDescent="0.25">
      <c r="A8">
        <f t="array" ref="A8">INDEX('RISK BUDGETING (ETL)'!P$11:P$87, MATCH(1, (B8='RISK BUDGETING (ETL)'!Q$11:Q$87) * (C8='RISK BUDGETING (ETL)'!AB$11:AB$87) * (D8='RISK BUDGETING (ETL)'!AD$11:AD$87) * (E8='RISK BUDGETING (ETL)'!AF$11:AF$87), 0))</f>
        <v>27</v>
      </c>
      <c r="B8" t="s">
        <v>315</v>
      </c>
      <c r="C8">
        <v>1.098552404780093</v>
      </c>
      <c r="D8">
        <v>0.13950148318753869</v>
      </c>
      <c r="E8">
        <v>0.14967089200470077</v>
      </c>
      <c r="F8">
        <v>0.94888151277539223</v>
      </c>
      <c r="H8">
        <f t="array" ref="H8">INDEX('RISK BUDGETING (ETL)'!P$11:P$87, MATCH(1, (I8='RISK BUDGETING (ETL)'!Q$11:Q$87) * (J8='RISK BUDGETING (ETL)'!AB$11:AB$87) * (K8='RISK BUDGETING (ETL)'!AD$11:AD$87) * (L8='RISK BUDGETING (ETL)'!AF$11:AF$87), 0))</f>
        <v>37</v>
      </c>
      <c r="I8" t="s">
        <v>327</v>
      </c>
      <c r="J8">
        <v>1.2240245840614499</v>
      </c>
      <c r="K8">
        <v>0.29927866651738322</v>
      </c>
      <c r="L8">
        <v>0.32109554645678046</v>
      </c>
      <c r="M8">
        <v>0.90292903760466947</v>
      </c>
    </row>
    <row r="9" spans="1:13" x14ac:dyDescent="0.25">
      <c r="A9">
        <f t="array" ref="A9">INDEX('RISK BUDGETING (ETL)'!P$11:P$87, MATCH(1, (B9='RISK BUDGETING (ETL)'!Q$11:Q$87) * (C9='RISK BUDGETING (ETL)'!AB$11:AB$87) * (D9='RISK BUDGETING (ETL)'!AD$11:AD$87) * (E9='RISK BUDGETING (ETL)'!AF$11:AF$87), 0))</f>
        <v>34</v>
      </c>
      <c r="B9" t="s">
        <v>316</v>
      </c>
      <c r="C9">
        <v>0.82337776998936218</v>
      </c>
      <c r="D9">
        <v>0.36659533493995389</v>
      </c>
      <c r="E9">
        <v>0.39331947970375558</v>
      </c>
      <c r="F9">
        <v>0.4300582902856066</v>
      </c>
      <c r="H9">
        <f t="array" ref="H9">INDEX('RISK BUDGETING (ETL)'!P$11:P$87, MATCH(1, (I9='RISK BUDGETING (ETL)'!Q$11:Q$87) * (J9='RISK BUDGETING (ETL)'!AB$11:AB$87) * (K9='RISK BUDGETING (ETL)'!AD$11:AD$87) * (L9='RISK BUDGETING (ETL)'!AF$11:AF$87), 0))</f>
        <v>28</v>
      </c>
      <c r="I9" t="s">
        <v>328</v>
      </c>
      <c r="J9">
        <v>0.90210471791805935</v>
      </c>
      <c r="K9">
        <v>-0.18409756111793116</v>
      </c>
      <c r="L9">
        <v>-0.19751794431725442</v>
      </c>
      <c r="M9">
        <v>1.0996226622353138</v>
      </c>
    </row>
    <row r="10" spans="1:13" x14ac:dyDescent="0.25">
      <c r="A10">
        <f t="array" ref="A10">INDEX('RISK BUDGETING (ETL)'!P$11:P$87, MATCH(1, (B10='RISK BUDGETING (ETL)'!Q$11:Q$87) * (C10='RISK BUDGETING (ETL)'!AB$11:AB$87) * (D10='RISK BUDGETING (ETL)'!AD$11:AD$87) * (E10='RISK BUDGETING (ETL)'!AF$11:AF$87), 0))</f>
        <v>43</v>
      </c>
      <c r="B10" t="s">
        <v>321</v>
      </c>
      <c r="C10">
        <v>0.91070065104020836</v>
      </c>
      <c r="D10">
        <v>1.0372366468029455</v>
      </c>
      <c r="E10">
        <v>1.1128493446787175</v>
      </c>
      <c r="F10">
        <v>-0.20214869363850918</v>
      </c>
      <c r="H10">
        <f t="array" ref="H10">INDEX('RISK BUDGETING (ETL)'!P$11:P$87, MATCH(1, (I10='RISK BUDGETING (ETL)'!Q$11:Q$87) * (J10='RISK BUDGETING (ETL)'!AB$11:AB$87) * (K10='RISK BUDGETING (ETL)'!AD$11:AD$87) * (L10='RISK BUDGETING (ETL)'!AF$11:AF$87), 0))</f>
        <v>6</v>
      </c>
      <c r="I10" t="s">
        <v>329</v>
      </c>
      <c r="J10">
        <v>0.8489291545414801</v>
      </c>
      <c r="K10">
        <v>-0.21583425689737501</v>
      </c>
      <c r="L10">
        <v>-0.2315681885014359</v>
      </c>
      <c r="M10">
        <v>1.0804973430429161</v>
      </c>
    </row>
    <row r="11" spans="1:13" x14ac:dyDescent="0.25">
      <c r="A11" t="str">
        <f t="array" ref="A11">INDEX('RISK BUDGETING (ETL)'!P$11:P$87, MATCH(1, (B11='RISK BUDGETING (ETL)'!Q$11:Q$87) * (C11='RISK BUDGETING (ETL)'!AB$11:AB$87) * (D11='RISK BUDGETING (ETL)'!AD$11:AD$87) * (E11='RISK BUDGETING (ETL)'!AF$11:AF$87), 0))</f>
        <v/>
      </c>
      <c r="H11">
        <f t="array" ref="H11">INDEX('RISK BUDGETING (ETL)'!P$11:P$87, MATCH(1, (I11='RISK BUDGETING (ETL)'!Q$11:Q$87) * (J11='RISK BUDGETING (ETL)'!AB$11:AB$87) * (K11='RISK BUDGETING (ETL)'!AD$11:AD$87) * (L11='RISK BUDGETING (ETL)'!AF$11:AF$87), 0))</f>
        <v>2</v>
      </c>
      <c r="I11" t="s">
        <v>330</v>
      </c>
      <c r="J11">
        <v>0.23526581837368488</v>
      </c>
      <c r="K11">
        <v>-0.48610383221778891</v>
      </c>
      <c r="L11">
        <v>-0.52153993285598943</v>
      </c>
      <c r="M11">
        <v>0.75680575122967431</v>
      </c>
    </row>
    <row r="12" spans="1:13" x14ac:dyDescent="0.25">
      <c r="A12" t="str">
        <f t="array" ref="A12">INDEX('RISK BUDGETING (ETL)'!P$11:P$87, MATCH(1, (B12='RISK BUDGETING (ETL)'!Q$11:Q$87) * (C12='RISK BUDGETING (ETL)'!AB$11:AB$87) * (D12='RISK BUDGETING (ETL)'!AD$11:AD$87) * (E12='RISK BUDGETING (ETL)'!AF$11:AF$87), 0))</f>
        <v/>
      </c>
      <c r="H12">
        <f t="array" ref="H12">INDEX('RISK BUDGETING (ETL)'!P$11:P$87, MATCH(1, (I12='RISK BUDGETING (ETL)'!Q$11:Q$87) * (J12='RISK BUDGETING (ETL)'!AB$11:AB$87) * (K12='RISK BUDGETING (ETL)'!AD$11:AD$87) * (L12='RISK BUDGETING (ETL)'!AF$11:AF$87), 0))</f>
        <v>22</v>
      </c>
      <c r="I12" t="s">
        <v>312</v>
      </c>
      <c r="J12">
        <v>0.89036567185711524</v>
      </c>
      <c r="K12">
        <v>-0.60281091627904182</v>
      </c>
      <c r="L12">
        <v>-0.64675475477464028</v>
      </c>
      <c r="M12">
        <v>1.5371204266317555</v>
      </c>
    </row>
    <row r="13" spans="1:13" x14ac:dyDescent="0.25">
      <c r="A13" t="str">
        <f t="array" ref="A13">INDEX('RISK BUDGETING (ETL)'!P$11:P$87, MATCH(1, (B13='RISK BUDGETING (ETL)'!Q$11:Q$87) * (C13='RISK BUDGETING (ETL)'!AB$11:AB$87) * (D13='RISK BUDGETING (ETL)'!AD$11:AD$87) * (E13='RISK BUDGETING (ETL)'!AF$11:AF$87), 0))</f>
        <v/>
      </c>
      <c r="H13">
        <f t="array" ref="H13">INDEX('RISK BUDGETING (ETL)'!P$11:P$87, MATCH(1, (I13='RISK BUDGETING (ETL)'!Q$11:Q$87) * (J13='RISK BUDGETING (ETL)'!AB$11:AB$87) * (K13='RISK BUDGETING (ETL)'!AD$11:AD$87) * (L13='RISK BUDGETING (ETL)'!AF$11:AF$87), 0))</f>
        <v>29</v>
      </c>
      <c r="I13" t="s">
        <v>331</v>
      </c>
      <c r="J13">
        <v>1.7007493867712347</v>
      </c>
      <c r="K13">
        <v>2.2178291229613043</v>
      </c>
      <c r="L13">
        <v>2.3795049024774335</v>
      </c>
      <c r="M13">
        <v>-0.67875551570619885</v>
      </c>
    </row>
    <row r="14" spans="1:13" x14ac:dyDescent="0.25">
      <c r="A14" t="str">
        <f t="array" ref="A14">INDEX('RISK BUDGETING (ETL)'!P$11:P$87, MATCH(1, (B14='RISK BUDGETING (ETL)'!Q$11:Q$87) * (C14='RISK BUDGETING (ETL)'!AB$11:AB$87) * (D14='RISK BUDGETING (ETL)'!AD$11:AD$87) * (E14='RISK BUDGETING (ETL)'!AF$11:AF$87), 0))</f>
        <v/>
      </c>
      <c r="H14">
        <f t="array" ref="H14">INDEX('RISK BUDGETING (ETL)'!P$11:P$87, MATCH(1, (I14='RISK BUDGETING (ETL)'!Q$11:Q$87) * (J14='RISK BUDGETING (ETL)'!AB$11:AB$87) * (K14='RISK BUDGETING (ETL)'!AD$11:AD$87) * (L14='RISK BUDGETING (ETL)'!AF$11:AF$87), 0))</f>
        <v>30</v>
      </c>
      <c r="I14" t="s">
        <v>311</v>
      </c>
      <c r="J14">
        <v>1.4252162442827232</v>
      </c>
      <c r="K14">
        <v>-0.65923582946166093</v>
      </c>
      <c r="L14">
        <v>-0.70729294328964787</v>
      </c>
      <c r="M14">
        <v>2.1325091875723712</v>
      </c>
    </row>
    <row r="15" spans="1:13" x14ac:dyDescent="0.25">
      <c r="A15" t="str">
        <f t="array" ref="A15">INDEX('RISK BUDGETING (ETL)'!P$11:P$87, MATCH(1, (B15='RISK BUDGETING (ETL)'!Q$11:Q$87) * (C15='RISK BUDGETING (ETL)'!AB$11:AB$87) * (D15='RISK BUDGETING (ETL)'!AD$11:AD$87) * (E15='RISK BUDGETING (ETL)'!AF$11:AF$87), 0))</f>
        <v/>
      </c>
      <c r="H15">
        <f t="array" ref="H15">INDEX('RISK BUDGETING (ETL)'!P$11:P$87, MATCH(1, (I15='RISK BUDGETING (ETL)'!Q$11:Q$87) * (J15='RISK BUDGETING (ETL)'!AB$11:AB$87) * (K15='RISK BUDGETING (ETL)'!AD$11:AD$87) * (L15='RISK BUDGETING (ETL)'!AF$11:AF$87), 0))</f>
        <v>31</v>
      </c>
      <c r="I15" t="s">
        <v>309</v>
      </c>
      <c r="J15">
        <v>1.2936613506325858</v>
      </c>
      <c r="K15">
        <v>-2.264879627312316</v>
      </c>
      <c r="L15">
        <v>-2.4299853045102915</v>
      </c>
      <c r="M15">
        <v>3.7236466551428773</v>
      </c>
    </row>
    <row r="16" spans="1:13" x14ac:dyDescent="0.25">
      <c r="A16" t="str">
        <f t="array" ref="A16">INDEX('RISK BUDGETING (ETL)'!P$11:P$87, MATCH(1, (B16='RISK BUDGETING (ETL)'!Q$11:Q$87) * (C16='RISK BUDGETING (ETL)'!AB$11:AB$87) * (D16='RISK BUDGETING (ETL)'!AD$11:AD$87) * (E16='RISK BUDGETING (ETL)'!AF$11:AF$87), 0))</f>
        <v/>
      </c>
      <c r="H16">
        <f t="array" ref="H16">INDEX('RISK BUDGETING (ETL)'!P$11:P$87, MATCH(1, (I16='RISK BUDGETING (ETL)'!Q$11:Q$87) * (J16='RISK BUDGETING (ETL)'!AB$11:AB$87) * (K16='RISK BUDGETING (ETL)'!AD$11:AD$87) * (L16='RISK BUDGETING (ETL)'!AF$11:AF$87), 0))</f>
        <v>14</v>
      </c>
      <c r="I16" t="s">
        <v>332</v>
      </c>
      <c r="J16">
        <v>1.0463513292958786</v>
      </c>
      <c r="K16">
        <v>2.413451607491222</v>
      </c>
      <c r="L16">
        <v>2.5893879165268787</v>
      </c>
      <c r="M16">
        <v>-1.5430365872310001</v>
      </c>
    </row>
    <row r="17" spans="1:13" x14ac:dyDescent="0.25">
      <c r="A17" t="str">
        <f t="array" ref="A17">INDEX('RISK BUDGETING (ETL)'!P$11:P$87, MATCH(1, (B17='RISK BUDGETING (ETL)'!Q$11:Q$87) * (C17='RISK BUDGETING (ETL)'!AB$11:AB$87) * (D17='RISK BUDGETING (ETL)'!AD$11:AD$87) * (E17='RISK BUDGETING (ETL)'!AF$11:AF$87), 0))</f>
        <v/>
      </c>
      <c r="H17">
        <f t="array" ref="H17">INDEX('RISK BUDGETING (ETL)'!P$11:P$87, MATCH(1, (I17='RISK BUDGETING (ETL)'!Q$11:Q$87) * (J17='RISK BUDGETING (ETL)'!AB$11:AB$87) * (K17='RISK BUDGETING (ETL)'!AD$11:AD$87) * (L17='RISK BUDGETING (ETL)'!AF$11:AF$87), 0))</f>
        <v>15</v>
      </c>
      <c r="I17" t="s">
        <v>333</v>
      </c>
      <c r="J17">
        <v>0.57425514939531197</v>
      </c>
      <c r="K17">
        <v>0.83931385375139567</v>
      </c>
      <c r="L17">
        <v>0.90049833372736299</v>
      </c>
      <c r="M17">
        <v>-0.32624318433205102</v>
      </c>
    </row>
    <row r="18" spans="1:13" x14ac:dyDescent="0.25">
      <c r="A18" t="str">
        <f t="array" ref="A18">INDEX('RISK BUDGETING (ETL)'!P$11:P$87, MATCH(1, (B18='RISK BUDGETING (ETL)'!Q$11:Q$87) * (C18='RISK BUDGETING (ETL)'!AB$11:AB$87) * (D18='RISK BUDGETING (ETL)'!AD$11:AD$87) * (E18='RISK BUDGETING (ETL)'!AF$11:AF$87), 0))</f>
        <v/>
      </c>
      <c r="H18">
        <f t="array" ref="H18">INDEX('RISK BUDGETING (ETL)'!P$11:P$87, MATCH(1, (I18='RISK BUDGETING (ETL)'!Q$11:Q$87) * (J18='RISK BUDGETING (ETL)'!AB$11:AB$87) * (K18='RISK BUDGETING (ETL)'!AD$11:AD$87) * (L18='RISK BUDGETING (ETL)'!AF$11:AF$87), 0))</f>
        <v>32</v>
      </c>
      <c r="I18" t="s">
        <v>334</v>
      </c>
      <c r="J18">
        <v>0.71204297040772346</v>
      </c>
      <c r="K18">
        <v>0.16092826100120697</v>
      </c>
      <c r="L18">
        <v>0.17265964362855971</v>
      </c>
      <c r="M18">
        <v>0.53938332677916379</v>
      </c>
    </row>
    <row r="19" spans="1:13" x14ac:dyDescent="0.25">
      <c r="A19" t="str">
        <f t="array" ref="A19">INDEX('RISK BUDGETING (ETL)'!P$11:P$87, MATCH(1, (B19='RISK BUDGETING (ETL)'!Q$11:Q$87) * (C19='RISK BUDGETING (ETL)'!AB$11:AB$87) * (D19='RISK BUDGETING (ETL)'!AD$11:AD$87) * (E19='RISK BUDGETING (ETL)'!AF$11:AF$87), 0))</f>
        <v/>
      </c>
      <c r="H19">
        <f t="array" ref="H19">INDEX('RISK BUDGETING (ETL)'!P$11:P$87, MATCH(1, (I19='RISK BUDGETING (ETL)'!Q$11:Q$87) * (J19='RISK BUDGETING (ETL)'!AB$11:AB$87) * (K19='RISK BUDGETING (ETL)'!AD$11:AD$87) * (L19='RISK BUDGETING (ETL)'!AF$11:AF$87), 0))</f>
        <v>18</v>
      </c>
      <c r="I19" t="s">
        <v>335</v>
      </c>
      <c r="J19">
        <v>0.86964862390834785</v>
      </c>
      <c r="K19">
        <v>5.4908593816934047E-2</v>
      </c>
      <c r="L19">
        <v>5.8911332177423233E-2</v>
      </c>
      <c r="M19">
        <v>0.81073729173092457</v>
      </c>
    </row>
    <row r="20" spans="1:13" x14ac:dyDescent="0.25">
      <c r="A20" t="str">
        <f t="array" ref="A20">INDEX('RISK BUDGETING (ETL)'!P$11:P$87, MATCH(1, (B20='RISK BUDGETING (ETL)'!Q$11:Q$87) * (C20='RISK BUDGETING (ETL)'!AB$11:AB$87) * (D20='RISK BUDGETING (ETL)'!AD$11:AD$87) * (E20='RISK BUDGETING (ETL)'!AF$11:AF$87), 0))</f>
        <v/>
      </c>
      <c r="H20">
        <f t="array" ref="H20">INDEX('RISK BUDGETING (ETL)'!P$11:P$87, MATCH(1, (I20='RISK BUDGETING (ETL)'!Q$11:Q$87) * (J20='RISK BUDGETING (ETL)'!AB$11:AB$87) * (K20='RISK BUDGETING (ETL)'!AD$11:AD$87) * (L20='RISK BUDGETING (ETL)'!AF$11:AF$87), 0))</f>
        <v>19</v>
      </c>
      <c r="I20" t="s">
        <v>336</v>
      </c>
      <c r="J20">
        <v>0.6302408043882255</v>
      </c>
      <c r="K20">
        <v>0.87795681949155957</v>
      </c>
      <c r="L20">
        <v>0.94195830261000268</v>
      </c>
      <c r="M20">
        <v>-0.31171749822177719</v>
      </c>
    </row>
    <row r="21" spans="1:13" x14ac:dyDescent="0.25">
      <c r="A21" t="str">
        <f t="array" ref="A21">INDEX('RISK BUDGETING (ETL)'!P$11:P$87, MATCH(1, (B21='RISK BUDGETING (ETL)'!Q$11:Q$87) * (C21='RISK BUDGETING (ETL)'!AB$11:AB$87) * (D21='RISK BUDGETING (ETL)'!AD$11:AD$87) * (E21='RISK BUDGETING (ETL)'!AF$11:AF$87), 0))</f>
        <v/>
      </c>
      <c r="H21">
        <f t="array" ref="H21">INDEX('RISK BUDGETING (ETL)'!P$11:P$87, MATCH(1, (I21='RISK BUDGETING (ETL)'!Q$11:Q$87) * (J21='RISK BUDGETING (ETL)'!AB$11:AB$87) * (K21='RISK BUDGETING (ETL)'!AD$11:AD$87) * (L21='RISK BUDGETING (ETL)'!AF$11:AF$87), 0))</f>
        <v>23</v>
      </c>
      <c r="I21" t="s">
        <v>307</v>
      </c>
      <c r="J21">
        <v>0.73676292898015627</v>
      </c>
      <c r="K21">
        <v>3.6846310090976009</v>
      </c>
      <c r="L21">
        <v>3.9532340247482121</v>
      </c>
      <c r="M21">
        <v>-3.216471095768056</v>
      </c>
    </row>
    <row r="22" spans="1:13" x14ac:dyDescent="0.25">
      <c r="A22" t="str">
        <f t="array" ref="A22">INDEX('RISK BUDGETING (ETL)'!P$11:P$87, MATCH(1, (B22='RISK BUDGETING (ETL)'!Q$11:Q$87) * (C22='RISK BUDGETING (ETL)'!AB$11:AB$87) * (D22='RISK BUDGETING (ETL)'!AD$11:AD$87) * (E22='RISK BUDGETING (ETL)'!AF$11:AF$87), 0))</f>
        <v/>
      </c>
      <c r="H22">
        <f t="array" ref="H22">INDEX('RISK BUDGETING (ETL)'!P$11:P$87, MATCH(1, (I22='RISK BUDGETING (ETL)'!Q$11:Q$87) * (J22='RISK BUDGETING (ETL)'!AB$11:AB$87) * (K22='RISK BUDGETING (ETL)'!AD$11:AD$87) * (L22='RISK BUDGETING (ETL)'!AF$11:AF$87), 0))</f>
        <v>3</v>
      </c>
      <c r="I22" t="s">
        <v>337</v>
      </c>
      <c r="J22">
        <v>0.64839132159262669</v>
      </c>
      <c r="K22">
        <v>1.2850481348084899</v>
      </c>
      <c r="L22">
        <v>1.3787258472886574</v>
      </c>
      <c r="M22">
        <v>-0.73033452569603075</v>
      </c>
    </row>
    <row r="23" spans="1:13" x14ac:dyDescent="0.25">
      <c r="A23" t="str">
        <f t="array" ref="A23">INDEX('RISK BUDGETING (ETL)'!P$11:P$87, MATCH(1, (B23='RISK BUDGETING (ETL)'!Q$11:Q$87) * (C23='RISK BUDGETING (ETL)'!AB$11:AB$87) * (D23='RISK BUDGETING (ETL)'!AD$11:AD$87) * (E23='RISK BUDGETING (ETL)'!AF$11:AF$87), 0))</f>
        <v/>
      </c>
      <c r="H23">
        <f t="array" ref="H23">INDEX('RISK BUDGETING (ETL)'!P$11:P$87, MATCH(1, (I23='RISK BUDGETING (ETL)'!Q$11:Q$87) * (J23='RISK BUDGETING (ETL)'!AB$11:AB$87) * (K23='RISK BUDGETING (ETL)'!AD$11:AD$87) * (L23='RISK BUDGETING (ETL)'!AF$11:AF$87), 0))</f>
        <v>45</v>
      </c>
      <c r="I23" t="s">
        <v>338</v>
      </c>
      <c r="J23">
        <v>0.87674791411798414</v>
      </c>
      <c r="K23">
        <v>1.7764647612689379</v>
      </c>
      <c r="L23">
        <v>1.9059658675929441</v>
      </c>
      <c r="M23">
        <v>-1.0292179534749599</v>
      </c>
    </row>
    <row r="24" spans="1:13" x14ac:dyDescent="0.25">
      <c r="A24" t="str">
        <f t="array" ref="A24">INDEX('RISK BUDGETING (ETL)'!P$11:P$87, MATCH(1, (B24='RISK BUDGETING (ETL)'!Q$11:Q$87) * (C24='RISK BUDGETING (ETL)'!AB$11:AB$87) * (D24='RISK BUDGETING (ETL)'!AD$11:AD$87) * (E24='RISK BUDGETING (ETL)'!AF$11:AF$87), 0))</f>
        <v/>
      </c>
      <c r="H24">
        <f t="array" ref="H24">INDEX('RISK BUDGETING (ETL)'!P$11:P$87, MATCH(1, (I24='RISK BUDGETING (ETL)'!Q$11:Q$87) * (J24='RISK BUDGETING (ETL)'!AB$11:AB$87) * (K24='RISK BUDGETING (ETL)'!AD$11:AD$87) * (L24='RISK BUDGETING (ETL)'!AF$11:AF$87), 0))</f>
        <v>20</v>
      </c>
      <c r="I24" t="s">
        <v>339</v>
      </c>
      <c r="J24">
        <v>0.87570578509636088</v>
      </c>
      <c r="K24">
        <v>-0.46679857445270523</v>
      </c>
      <c r="L24">
        <v>-0.50082735630082587</v>
      </c>
      <c r="M24">
        <v>1.3765331413971866</v>
      </c>
    </row>
    <row r="25" spans="1:13" x14ac:dyDescent="0.25">
      <c r="A25" t="str">
        <f t="array" ref="A25">INDEX('RISK BUDGETING (ETL)'!P$11:P$87, MATCH(1, (B25='RISK BUDGETING (ETL)'!Q$11:Q$87) * (C25='RISK BUDGETING (ETL)'!AB$11:AB$87) * (D25='RISK BUDGETING (ETL)'!AD$11:AD$87) * (E25='RISK BUDGETING (ETL)'!AF$11:AF$87), 0))</f>
        <v/>
      </c>
      <c r="H25">
        <f t="array" ref="H25">INDEX('RISK BUDGETING (ETL)'!P$11:P$87, MATCH(1, (I25='RISK BUDGETING (ETL)'!Q$11:Q$87) * (J25='RISK BUDGETING (ETL)'!AB$11:AB$87) * (K25='RISK BUDGETING (ETL)'!AD$11:AD$87) * (L25='RISK BUDGETING (ETL)'!AF$11:AF$87), 0))</f>
        <v>38</v>
      </c>
      <c r="I25" t="s">
        <v>340</v>
      </c>
      <c r="J25">
        <v>9.619057318761301E-2</v>
      </c>
      <c r="K25">
        <v>0.41708352334018872</v>
      </c>
      <c r="L25">
        <v>0.44748816680943909</v>
      </c>
      <c r="M25">
        <v>-0.35129759362182611</v>
      </c>
    </row>
    <row r="26" spans="1:13" x14ac:dyDescent="0.25">
      <c r="A26" t="str">
        <f t="array" ref="A26">INDEX('RISK BUDGETING (ETL)'!P$11:P$87, MATCH(1, (B26='RISK BUDGETING (ETL)'!Q$11:Q$87) * (C26='RISK BUDGETING (ETL)'!AB$11:AB$87) * (D26='RISK BUDGETING (ETL)'!AD$11:AD$87) * (E26='RISK BUDGETING (ETL)'!AF$11:AF$87), 0))</f>
        <v/>
      </c>
      <c r="H26">
        <f t="array" ref="H26">INDEX('RISK BUDGETING (ETL)'!P$11:P$87, MATCH(1, (I26='RISK BUDGETING (ETL)'!Q$11:Q$87) * (J26='RISK BUDGETING (ETL)'!AB$11:AB$87) * (K26='RISK BUDGETING (ETL)'!AD$11:AD$87) * (L26='RISK BUDGETING (ETL)'!AF$11:AF$87), 0))</f>
        <v>7</v>
      </c>
      <c r="I26" t="s">
        <v>341</v>
      </c>
      <c r="J26">
        <v>-7.0365045698543821E-2</v>
      </c>
      <c r="K26">
        <v>2.0657822450594341</v>
      </c>
      <c r="L26">
        <v>2.2163740789039705</v>
      </c>
      <c r="M26">
        <v>-2.2867391246025144</v>
      </c>
    </row>
    <row r="27" spans="1:13" x14ac:dyDescent="0.25">
      <c r="A27" t="str">
        <f t="array" ref="A27">INDEX('RISK BUDGETING (ETL)'!P$11:P$87, MATCH(1, (B27='RISK BUDGETING (ETL)'!Q$11:Q$87) * (C27='RISK BUDGETING (ETL)'!AB$11:AB$87) * (D27='RISK BUDGETING (ETL)'!AD$11:AD$87) * (E27='RISK BUDGETING (ETL)'!AF$11:AF$87), 0))</f>
        <v/>
      </c>
      <c r="H27">
        <f t="array" ref="H27">INDEX('RISK BUDGETING (ETL)'!P$11:P$87, MATCH(1, (I27='RISK BUDGETING (ETL)'!Q$11:Q$87) * (J27='RISK BUDGETING (ETL)'!AB$11:AB$87) * (K27='RISK BUDGETING (ETL)'!AD$11:AD$87) * (L27='RISK BUDGETING (ETL)'!AF$11:AF$87), 0))</f>
        <v>8</v>
      </c>
      <c r="I27" t="s">
        <v>310</v>
      </c>
      <c r="J27">
        <v>0.34156768158000195</v>
      </c>
      <c r="K27">
        <v>-0.66547759197340295</v>
      </c>
      <c r="L27">
        <v>-0.71398971913365827</v>
      </c>
      <c r="M27">
        <v>1.0555574007136603</v>
      </c>
    </row>
    <row r="28" spans="1:13" x14ac:dyDescent="0.25">
      <c r="A28" t="str">
        <f t="array" ref="A28">INDEX('RISK BUDGETING (ETL)'!P$11:P$87, MATCH(1, (B28='RISK BUDGETING (ETL)'!Q$11:Q$87) * (C28='RISK BUDGETING (ETL)'!AB$11:AB$87) * (D28='RISK BUDGETING (ETL)'!AD$11:AD$87) * (E28='RISK BUDGETING (ETL)'!AF$11:AF$87), 0))</f>
        <v/>
      </c>
      <c r="H28">
        <f t="array" ref="H28">INDEX('RISK BUDGETING (ETL)'!P$11:P$87, MATCH(1, (I28='RISK BUDGETING (ETL)'!Q$11:Q$87) * (J28='RISK BUDGETING (ETL)'!AB$11:AB$87) * (K28='RISK BUDGETING (ETL)'!AD$11:AD$87) * (L28='RISK BUDGETING (ETL)'!AF$11:AF$87), 0))</f>
        <v>9</v>
      </c>
      <c r="I28" t="s">
        <v>305</v>
      </c>
      <c r="J28">
        <v>0.51903774134260061</v>
      </c>
      <c r="K28">
        <v>4.5622008412224346</v>
      </c>
      <c r="L28">
        <v>4.8947771293040514</v>
      </c>
      <c r="M28">
        <v>-4.3757393879614508</v>
      </c>
    </row>
    <row r="29" spans="1:13" x14ac:dyDescent="0.25">
      <c r="A29" t="str">
        <f t="array" ref="A29">INDEX('RISK BUDGETING (ETL)'!P$11:P$87, MATCH(1, (B29='RISK BUDGETING (ETL)'!Q$11:Q$87) * (C29='RISK BUDGETING (ETL)'!AB$11:AB$87) * (D29='RISK BUDGETING (ETL)'!AD$11:AD$87) * (E29='RISK BUDGETING (ETL)'!AF$11:AF$87), 0))</f>
        <v/>
      </c>
      <c r="H29">
        <f t="array" ref="H29">INDEX('RISK BUDGETING (ETL)'!P$11:P$87, MATCH(1, (I29='RISK BUDGETING (ETL)'!Q$11:Q$87) * (J29='RISK BUDGETING (ETL)'!AB$11:AB$87) * (K29='RISK BUDGETING (ETL)'!AD$11:AD$87) * (L29='RISK BUDGETING (ETL)'!AF$11:AF$87), 0))</f>
        <v>24</v>
      </c>
      <c r="I29" t="s">
        <v>342</v>
      </c>
      <c r="J29">
        <v>0.56030430209459359</v>
      </c>
      <c r="K29">
        <v>2.6105921263060146</v>
      </c>
      <c r="L29">
        <v>2.8008996268476407</v>
      </c>
      <c r="M29">
        <v>-2.240595324753047</v>
      </c>
    </row>
    <row r="30" spans="1:13" x14ac:dyDescent="0.25">
      <c r="A30" t="str">
        <f t="array" ref="A30">INDEX('RISK BUDGETING (ETL)'!P$11:P$87, MATCH(1, (B30='RISK BUDGETING (ETL)'!Q$11:Q$87) * (C30='RISK BUDGETING (ETL)'!AB$11:AB$87) * (D30='RISK BUDGETING (ETL)'!AD$11:AD$87) * (E30='RISK BUDGETING (ETL)'!AF$11:AF$87), 0))</f>
        <v/>
      </c>
      <c r="H30">
        <f t="array" ref="H30">INDEX('RISK BUDGETING (ETL)'!P$11:P$87, MATCH(1, (I30='RISK BUDGETING (ETL)'!Q$11:Q$87) * (J30='RISK BUDGETING (ETL)'!AB$11:AB$87) * (K30='RISK BUDGETING (ETL)'!AD$11:AD$87) * (L30='RISK BUDGETING (ETL)'!AF$11:AF$87), 0))</f>
        <v>39</v>
      </c>
      <c r="I30" t="s">
        <v>343</v>
      </c>
      <c r="J30">
        <v>0.81454710070217551</v>
      </c>
      <c r="K30">
        <v>0.22079253197842122</v>
      </c>
      <c r="L30">
        <v>0.23688791297481096</v>
      </c>
      <c r="M30">
        <v>0.57765918772736458</v>
      </c>
    </row>
    <row r="31" spans="1:13" x14ac:dyDescent="0.25">
      <c r="A31" t="str">
        <f t="array" ref="A31">INDEX('RISK BUDGETING (ETL)'!P$11:P$87, MATCH(1, (B31='RISK BUDGETING (ETL)'!Q$11:Q$87) * (C31='RISK BUDGETING (ETL)'!AB$11:AB$87) * (D31='RISK BUDGETING (ETL)'!AD$11:AD$87) * (E31='RISK BUDGETING (ETL)'!AF$11:AF$87), 0))</f>
        <v/>
      </c>
      <c r="H31">
        <f t="array" ref="H31">INDEX('RISK BUDGETING (ETL)'!P$11:P$87, MATCH(1, (I31='RISK BUDGETING (ETL)'!Q$11:Q$87) * (J31='RISK BUDGETING (ETL)'!AB$11:AB$87) * (K31='RISK BUDGETING (ETL)'!AD$11:AD$87) * (L31='RISK BUDGETING (ETL)'!AF$11:AF$87), 0))</f>
        <v>25</v>
      </c>
      <c r="I31" t="s">
        <v>306</v>
      </c>
      <c r="J31">
        <v>0.48438409188778858</v>
      </c>
      <c r="K31">
        <v>3.9659144711266996</v>
      </c>
      <c r="L31">
        <v>4.2550225484692721</v>
      </c>
      <c r="M31">
        <v>-3.7706384565814837</v>
      </c>
    </row>
    <row r="32" spans="1:13" x14ac:dyDescent="0.25">
      <c r="A32" t="str">
        <f t="array" ref="A32">INDEX('RISK BUDGETING (ETL)'!P$11:P$87, MATCH(1, (B32='RISK BUDGETING (ETL)'!Q$11:Q$87) * (C32='RISK BUDGETING (ETL)'!AB$11:AB$87) * (D32='RISK BUDGETING (ETL)'!AD$11:AD$87) * (E32='RISK BUDGETING (ETL)'!AF$11:AF$87), 0))</f>
        <v/>
      </c>
      <c r="H32">
        <f t="array" ref="H32">INDEX('RISK BUDGETING (ETL)'!P$11:P$87, MATCH(1, (I32='RISK BUDGETING (ETL)'!Q$11:Q$87) * (J32='RISK BUDGETING (ETL)'!AB$11:AB$87) * (K32='RISK BUDGETING (ETL)'!AD$11:AD$87) * (L32='RISK BUDGETING (ETL)'!AF$11:AF$87), 0))</f>
        <v>40</v>
      </c>
      <c r="I32" t="s">
        <v>344</v>
      </c>
      <c r="J32">
        <v>0.4723515398106492</v>
      </c>
      <c r="K32">
        <v>-0.19166953958387264</v>
      </c>
      <c r="L32">
        <v>-0.2056419064812573</v>
      </c>
      <c r="M32">
        <v>0.6779934462919065</v>
      </c>
    </row>
    <row r="33" spans="1:13" x14ac:dyDescent="0.25">
      <c r="A33" t="str">
        <f t="array" ref="A33">INDEX('RISK BUDGETING (ETL)'!P$11:P$87, MATCH(1, (B33='RISK BUDGETING (ETL)'!Q$11:Q$87) * (C33='RISK BUDGETING (ETL)'!AB$11:AB$87) * (D33='RISK BUDGETING (ETL)'!AD$11:AD$87) * (E33='RISK BUDGETING (ETL)'!AF$11:AF$87), 0))</f>
        <v/>
      </c>
      <c r="H33">
        <f t="array" ref="H33">INDEX('RISK BUDGETING (ETL)'!P$11:P$87, MATCH(1, (I33='RISK BUDGETING (ETL)'!Q$11:Q$87) * (J33='RISK BUDGETING (ETL)'!AB$11:AB$87) * (K33='RISK BUDGETING (ETL)'!AD$11:AD$87) * (L33='RISK BUDGETING (ETL)'!AF$11:AF$87), 0))</f>
        <v>26</v>
      </c>
      <c r="I33" t="s">
        <v>345</v>
      </c>
      <c r="J33">
        <v>1.389198981781846</v>
      </c>
      <c r="K33">
        <v>2.111088475260992</v>
      </c>
      <c r="L33">
        <v>2.2649830523191237</v>
      </c>
      <c r="M33">
        <v>-0.87578407053727769</v>
      </c>
    </row>
    <row r="34" spans="1:13" x14ac:dyDescent="0.25">
      <c r="H34">
        <f t="array" ref="H34">INDEX('RISK BUDGETING (ETL)'!P$11:P$87, MATCH(1, (I34='RISK BUDGETING (ETL)'!Q$11:Q$87) * (J34='RISK BUDGETING (ETL)'!AB$11:AB$87) * (K34='RISK BUDGETING (ETL)'!AD$11:AD$87) * (L34='RISK BUDGETING (ETL)'!AF$11:AF$87), 0))</f>
        <v>16</v>
      </c>
      <c r="I34" t="s">
        <v>308</v>
      </c>
      <c r="J34">
        <v>1.3756037275364426</v>
      </c>
      <c r="K34">
        <v>3.3337493887132088</v>
      </c>
      <c r="L34">
        <v>3.5767737613086763</v>
      </c>
      <c r="M34">
        <v>-2.2011700337722337</v>
      </c>
    </row>
    <row r="35" spans="1:13" x14ac:dyDescent="0.25">
      <c r="H35">
        <f t="array" ref="H35">INDEX('RISK BUDGETING (ETL)'!P$11:P$87, MATCH(1, (I35='RISK BUDGETING (ETL)'!Q$11:Q$87) * (J35='RISK BUDGETING (ETL)'!AB$11:AB$87) * (K35='RISK BUDGETING (ETL)'!AD$11:AD$87) * (L35='RISK BUDGETING (ETL)'!AF$11:AF$87), 0))</f>
        <v>10</v>
      </c>
      <c r="I35" t="s">
        <v>346</v>
      </c>
      <c r="J35">
        <v>1.5690664565354817</v>
      </c>
      <c r="K35">
        <v>0.1491950547596631</v>
      </c>
      <c r="L35">
        <v>0.16007110762076576</v>
      </c>
      <c r="M35">
        <v>1.408995348914716</v>
      </c>
    </row>
    <row r="36" spans="1:13" x14ac:dyDescent="0.25">
      <c r="H36">
        <f t="array" ref="H36">INDEX('RISK BUDGETING (ETL)'!P$11:P$87, MATCH(1, (I36='RISK BUDGETING (ETL)'!Q$11:Q$87) * (J36='RISK BUDGETING (ETL)'!AB$11:AB$87) * (K36='RISK BUDGETING (ETL)'!AD$11:AD$87) * (L36='RISK BUDGETING (ETL)'!AF$11:AF$87), 0))</f>
        <v>11</v>
      </c>
      <c r="I36" t="s">
        <v>304</v>
      </c>
      <c r="J36">
        <v>1.1693906991605869</v>
      </c>
      <c r="K36">
        <v>8.5089925743591461</v>
      </c>
      <c r="L36">
        <v>9.1292829263586732</v>
      </c>
      <c r="M36">
        <v>-7.9598922271980861</v>
      </c>
    </row>
    <row r="37" spans="1:13" x14ac:dyDescent="0.25">
      <c r="H37">
        <f t="array" ref="H37">INDEX('RISK BUDGETING (ETL)'!P$11:P$87, MATCH(1, (I37='RISK BUDGETING (ETL)'!Q$11:Q$87) * (J37='RISK BUDGETING (ETL)'!AB$11:AB$87) * (K37='RISK BUDGETING (ETL)'!AD$11:AD$87) * (L37='RISK BUDGETING (ETL)'!AF$11:AF$87), 0))</f>
        <v>41</v>
      </c>
      <c r="I37" t="s">
        <v>347</v>
      </c>
      <c r="J37">
        <v>1.2224809786082593</v>
      </c>
      <c r="K37">
        <v>-0.21440134630106125</v>
      </c>
      <c r="L37">
        <v>-0.2300308212834476</v>
      </c>
      <c r="M37">
        <v>1.452511799891707</v>
      </c>
    </row>
    <row r="38" spans="1:13" x14ac:dyDescent="0.25">
      <c r="H38">
        <f t="array" ref="H38">INDEX('RISK BUDGETING (ETL)'!P$11:P$87, MATCH(1, (I38='RISK BUDGETING (ETL)'!Q$11:Q$87) * (J38='RISK BUDGETING (ETL)'!AB$11:AB$87) * (K38='RISK BUDGETING (ETL)'!AD$11:AD$87) * (L38='RISK BUDGETING (ETL)'!AF$11:AF$87), 0))</f>
        <v>42</v>
      </c>
      <c r="I38" t="s">
        <v>348</v>
      </c>
      <c r="J38">
        <v>0.75803820129462485</v>
      </c>
      <c r="K38">
        <v>1.1825809274189345</v>
      </c>
      <c r="L38">
        <v>1.2687889636025673</v>
      </c>
      <c r="M38">
        <v>-0.51075076230794247</v>
      </c>
    </row>
    <row r="39" spans="1:13" x14ac:dyDescent="0.25">
      <c r="H39">
        <f t="array" ref="H39">INDEX('RISK BUDGETING (ETL)'!P$11:P$87, MATCH(1, (I39='RISK BUDGETING (ETL)'!Q$11:Q$87) * (J39='RISK BUDGETING (ETL)'!AB$11:AB$87) * (K39='RISK BUDGETING (ETL)'!AD$11:AD$87) * (L39='RISK BUDGETING (ETL)'!AF$11:AF$87), 0))</f>
        <v>33</v>
      </c>
      <c r="I39" t="s">
        <v>349</v>
      </c>
      <c r="J39">
        <v>0.94527755569980543</v>
      </c>
      <c r="K39">
        <v>2.7799232957931466</v>
      </c>
      <c r="L39">
        <v>2.9825747359736647</v>
      </c>
      <c r="M39">
        <v>-2.0372971802738595</v>
      </c>
    </row>
    <row r="40" spans="1:13" x14ac:dyDescent="0.25">
      <c r="H40" t="str">
        <f t="array" ref="H40">INDEX('RISK BUDGETING (ETL)'!P$11:P$87, MATCH(1, (I40='RISK BUDGETING (ETL)'!Q$11:Q$87) * (J40='RISK BUDGETING (ETL)'!AB$11:AB$87) * (K40='RISK BUDGETING (ETL)'!AD$11:AD$87) * (L40='RISK BUDGETING (ETL)'!AF$11:AF$87), 0))</f>
        <v/>
      </c>
    </row>
    <row r="41" spans="1:13" x14ac:dyDescent="0.25">
      <c r="H41" t="str">
        <f t="array" ref="H41">INDEX('RISK BUDGETING (ETL)'!P$11:P$87, MATCH(1, (I41='RISK BUDGETING (ETL)'!Q$11:Q$87) * (J41='RISK BUDGETING (ETL)'!AB$11:AB$87) * (K41='RISK BUDGETING (ETL)'!AD$11:AD$87) * (L41='RISK BUDGETING (ETL)'!AF$11:AF$87), 0))</f>
        <v/>
      </c>
    </row>
    <row r="42" spans="1:13" x14ac:dyDescent="0.25">
      <c r="H42" t="str">
        <f t="array" ref="H42">INDEX('RISK BUDGETING (ETL)'!P$11:P$87, MATCH(1, (I42='RISK BUDGETING (ETL)'!Q$11:Q$87) * (J42='RISK BUDGETING (ETL)'!AB$11:AB$87) * (K42='RISK BUDGETING (ETL)'!AD$11:AD$87) * (L42='RISK BUDGETING (ETL)'!AF$11:AF$87), 0))</f>
        <v/>
      </c>
    </row>
    <row r="43" spans="1:13" x14ac:dyDescent="0.25">
      <c r="H43" t="str">
        <f t="array" ref="H43">INDEX('RISK BUDGETING (ETL)'!P$11:P$87, MATCH(1, (I43='RISK BUDGETING (ETL)'!Q$11:Q$87) * (J43='RISK BUDGETING (ETL)'!AB$11:AB$87) * (K43='RISK BUDGETING (ETL)'!AD$11:AD$87) * (L43='RISK BUDGETING (ETL)'!AF$11:AF$87), 0))</f>
        <v/>
      </c>
    </row>
    <row r="44" spans="1:13" x14ac:dyDescent="0.25">
      <c r="H44" t="str">
        <f t="array" ref="H44">INDEX('RISK BUDGETING (ETL)'!P$11:P$87, MATCH(1, (I44='RISK BUDGETING (ETL)'!Q$11:Q$87) * (J44='RISK BUDGETING (ETL)'!AB$11:AB$87) * (K44='RISK BUDGETING (ETL)'!AD$11:AD$87) * (L44='RISK BUDGETING (ETL)'!AF$11:AF$87), 0))</f>
        <v/>
      </c>
    </row>
    <row r="45" spans="1:13" x14ac:dyDescent="0.25">
      <c r="H45" t="str">
        <f t="array" ref="H45">INDEX('RISK BUDGETING (ETL)'!P$11:P$87, MATCH(1, (I45='RISK BUDGETING (ETL)'!Q$11:Q$87) * (J45='RISK BUDGETING (ETL)'!AB$11:AB$87) * (K45='RISK BUDGETING (ETL)'!AD$11:AD$87) * (L45='RISK BUDGETING (ETL)'!AF$11:AF$87), 0))</f>
        <v/>
      </c>
    </row>
    <row r="46" spans="1:13" x14ac:dyDescent="0.25">
      <c r="H46" t="str">
        <f t="array" ref="H46">INDEX('RISK BUDGETING (ETL)'!P$11:P$87, MATCH(1, (I46='RISK BUDGETING (ETL)'!Q$11:Q$87) * (J46='RISK BUDGETING (ETL)'!AB$11:AB$87) * (K46='RISK BUDGETING (ETL)'!AD$11:AD$87) * (L46='RISK BUDGETING (ETL)'!AF$11:AF$87), 0))</f>
        <v/>
      </c>
    </row>
    <row r="47" spans="1:13" x14ac:dyDescent="0.25">
      <c r="H47" t="str">
        <f t="array" ref="H47">INDEX('RISK BUDGETING (ETL)'!P$11:P$87, MATCH(1, (I47='RISK BUDGETING (ETL)'!Q$11:Q$87) * (J47='RISK BUDGETING (ETL)'!AB$11:AB$87) * (K47='RISK BUDGETING (ETL)'!AD$11:AD$87) * (L47='RISK BUDGETING (ETL)'!AF$11:AF$87), 0))</f>
        <v/>
      </c>
    </row>
    <row r="48" spans="1:13" x14ac:dyDescent="0.25">
      <c r="H48" t="str">
        <f t="array" ref="H48">INDEX('RISK BUDGETING (ETL)'!P$11:P$87, MATCH(1, (I48='RISK BUDGETING (ETL)'!Q$11:Q$87) * (J48='RISK BUDGETING (ETL)'!AB$11:AB$87) * (K48='RISK BUDGETING (ETL)'!AD$11:AD$87) * (L48='RISK BUDGETING (ETL)'!AF$11:AF$87), 0))</f>
        <v/>
      </c>
    </row>
    <row r="49" spans="8:8" x14ac:dyDescent="0.25">
      <c r="H49" t="str">
        <f t="array" ref="H49">INDEX('RISK BUDGETING (ETL)'!P$11:P$87, MATCH(1, (I49='RISK BUDGETING (ETL)'!Q$11:Q$87) * (J49='RISK BUDGETING (ETL)'!AB$11:AB$87) * (K49='RISK BUDGETING (ETL)'!AD$11:AD$87) * (L49='RISK BUDGETING (ETL)'!AF$11:AF$87), 0))</f>
        <v/>
      </c>
    </row>
    <row r="50" spans="8:8" x14ac:dyDescent="0.25">
      <c r="H50" t="str">
        <f t="array" ref="H50">INDEX('RISK BUDGETING (ETL)'!P$11:P$87, MATCH(1, (I50='RISK BUDGETING (ETL)'!Q$11:Q$87) * (J50='RISK BUDGETING (ETL)'!AB$11:AB$87) * (K50='RISK BUDGETING (ETL)'!AD$11:AD$87) * (L50='RISK BUDGETING (ETL)'!AF$11:AF$87), 0))</f>
        <v/>
      </c>
    </row>
    <row r="51" spans="8:8" x14ac:dyDescent="0.25">
      <c r="H51" t="str">
        <f t="array" ref="H51">INDEX('RISK BUDGETING (ETL)'!P$11:P$87, MATCH(1, (I51='RISK BUDGETING (ETL)'!Q$11:Q$87) * (J51='RISK BUDGETING (ETL)'!AB$11:AB$87) * (K51='RISK BUDGETING (ETL)'!AD$11:AD$87) * (L51='RISK BUDGETING (ETL)'!AF$11:AF$87), 0))</f>
        <v/>
      </c>
    </row>
    <row r="52" spans="8:8" x14ac:dyDescent="0.25">
      <c r="H52" t="str">
        <f t="array" ref="H52">INDEX('RISK BUDGETING (ETL)'!P$11:P$87, MATCH(1, (I52='RISK BUDGETING (ETL)'!Q$11:Q$87) * (J52='RISK BUDGETING (ETL)'!AB$11:AB$87) * (K52='RISK BUDGETING (ETL)'!AD$11:AD$87) * (L52='RISK BUDGETING (ETL)'!AF$11:AF$87), 0))</f>
        <v/>
      </c>
    </row>
    <row r="53" spans="8:8" x14ac:dyDescent="0.25">
      <c r="H53" t="str">
        <f t="array" ref="H53">INDEX('RISK BUDGETING (ETL)'!P$11:P$87, MATCH(1, (I53='RISK BUDGETING (ETL)'!Q$11:Q$87) * (J53='RISK BUDGETING (ETL)'!AB$11:AB$87) * (K53='RISK BUDGETING (ETL)'!AD$11:AD$87) * (L53='RISK BUDGETING (ETL)'!AF$11:AF$87), 0))</f>
        <v/>
      </c>
    </row>
    <row r="54" spans="8:8" x14ac:dyDescent="0.25">
      <c r="H54" t="str">
        <f t="array" ref="H54">INDEX('RISK BUDGETING (ETL)'!P$11:P$87, MATCH(1, (I54='RISK BUDGETING (ETL)'!Q$11:Q$87) * (J54='RISK BUDGETING (ETL)'!AB$11:AB$87) * (K54='RISK BUDGETING (ETL)'!AD$11:AD$87) * (L54='RISK BUDGETING (ETL)'!AF$11:AF$87), 0))</f>
        <v/>
      </c>
    </row>
    <row r="55" spans="8:8" x14ac:dyDescent="0.25">
      <c r="H55" t="str">
        <f t="array" ref="H55">INDEX('RISK BUDGETING (ETL)'!P$11:P$87, MATCH(1, (I55='RISK BUDGETING (ETL)'!Q$11:Q$87) * (J55='RISK BUDGETING (ETL)'!AB$11:AB$87) * (K55='RISK BUDGETING (ETL)'!AD$11:AD$87) * (L55='RISK BUDGETING (ETL)'!AF$11:AF$87), 0))</f>
        <v/>
      </c>
    </row>
    <row r="56" spans="8:8" x14ac:dyDescent="0.25">
      <c r="H56" t="str">
        <f t="array" ref="H56">INDEX('RISK BUDGETING (ETL)'!P$11:P$87, MATCH(1, (I56='RISK BUDGETING (ETL)'!Q$11:Q$87) * (J56='RISK BUDGETING (ETL)'!AB$11:AB$87) * (K56='RISK BUDGETING (ETL)'!AD$11:AD$87) * (L56='RISK BUDGETING (ETL)'!AF$11:AF$87), 0))</f>
        <v/>
      </c>
    </row>
    <row r="57" spans="8:8" x14ac:dyDescent="0.25">
      <c r="H57" t="str">
        <f t="array" ref="H57">INDEX('RISK BUDGETING (ETL)'!P$11:P$87, MATCH(1, (I57='RISK BUDGETING (ETL)'!Q$11:Q$87) * (J57='RISK BUDGETING (ETL)'!AB$11:AB$87) * (K57='RISK BUDGETING (ETL)'!AD$11:AD$87) * (L57='RISK BUDGETING (ETL)'!AF$11:AF$87), 0))</f>
        <v/>
      </c>
    </row>
    <row r="58" spans="8:8" x14ac:dyDescent="0.25">
      <c r="H58" t="str">
        <f t="array" ref="H58">INDEX('RISK BUDGETING (ETL)'!P$11:P$87, MATCH(1, (I58='RISK BUDGETING (ETL)'!Q$11:Q$87) * (J58='RISK BUDGETING (ETL)'!AB$11:AB$87) * (K58='RISK BUDGETING (ETL)'!AD$11:AD$87) * (L58='RISK BUDGETING (ETL)'!AF$11:AF$87), 0))</f>
        <v/>
      </c>
    </row>
    <row r="59" spans="8:8" x14ac:dyDescent="0.25">
      <c r="H59" t="str">
        <f t="array" ref="H59">INDEX('RISK BUDGETING (ETL)'!P$11:P$87, MATCH(1, (I59='RISK BUDGETING (ETL)'!Q$11:Q$87) * (J59='RISK BUDGETING (ETL)'!AB$11:AB$87) * (K59='RISK BUDGETING (ETL)'!AD$11:AD$87) * (L59='RISK BUDGETING (ETL)'!AF$11:AF$87), 0))</f>
        <v/>
      </c>
    </row>
    <row r="60" spans="8:8" x14ac:dyDescent="0.25">
      <c r="H60" t="str">
        <f t="array" ref="H60">INDEX('RISK BUDGETING (ETL)'!P$11:P$87, MATCH(1, (I60='RISK BUDGETING (ETL)'!Q$11:Q$87) * (J60='RISK BUDGETING (ETL)'!AB$11:AB$87) * (K60='RISK BUDGETING (ETL)'!AD$11:AD$87) * (L60='RISK BUDGETING (ETL)'!AF$11:AF$87), 0))</f>
        <v/>
      </c>
    </row>
    <row r="61" spans="8:8" x14ac:dyDescent="0.25">
      <c r="H61" t="str">
        <f t="array" ref="H61">INDEX('RISK BUDGETING (ETL)'!P$11:P$87, MATCH(1, (I61='RISK BUDGETING (ETL)'!Q$11:Q$87) * (J61='RISK BUDGETING (ETL)'!AB$11:AB$87) * (K61='RISK BUDGETING (ETL)'!AD$11:AD$87) * (L61='RISK BUDGETING (ETL)'!AF$11:AF$87), 0))</f>
        <v/>
      </c>
    </row>
    <row r="62" spans="8:8" x14ac:dyDescent="0.25">
      <c r="H62" t="str">
        <f t="array" ref="H62">INDEX('RISK BUDGETING (ETL)'!P$11:P$87, MATCH(1, (I62='RISK BUDGETING (ETL)'!Q$11:Q$87) * (J62='RISK BUDGETING (ETL)'!AB$11:AB$87) * (K62='RISK BUDGETING (ETL)'!AD$11:AD$87) * (L62='RISK BUDGETING (ETL)'!AF$11:AF$87), 0))</f>
        <v/>
      </c>
    </row>
    <row r="63" spans="8:8" x14ac:dyDescent="0.25">
      <c r="H63" t="str">
        <f t="array" ref="H63">INDEX('RISK BUDGETING (ETL)'!P$11:P$87, MATCH(1, (I63='RISK BUDGETING (ETL)'!Q$11:Q$87) * (J63='RISK BUDGETING (ETL)'!AB$11:AB$87) * (K63='RISK BUDGETING (ETL)'!AD$11:AD$87) * (L63='RISK BUDGETING (ETL)'!AF$11:AF$87), 0))</f>
        <v/>
      </c>
    </row>
    <row r="64" spans="8:8" x14ac:dyDescent="0.25">
      <c r="H64" t="str">
        <f t="array" ref="H64">INDEX('RISK BUDGETING (ETL)'!P$11:P$87, MATCH(1, (I64='RISK BUDGETING (ETL)'!Q$11:Q$87) * (J64='RISK BUDGETING (ETL)'!AB$11:AB$87) * (K64='RISK BUDGETING (ETL)'!AD$11:AD$87) * (L64='RISK BUDGETING (ETL)'!AF$11:AF$87), 0))</f>
        <v/>
      </c>
    </row>
    <row r="65" spans="8:8" x14ac:dyDescent="0.25">
      <c r="H65" t="str">
        <f t="array" ref="H65">INDEX('RISK BUDGETING (ETL)'!P$11:P$87, MATCH(1, (I65='RISK BUDGETING (ETL)'!Q$11:Q$87) * (J65='RISK BUDGETING (ETL)'!AB$11:AB$87) * (K65='RISK BUDGETING (ETL)'!AD$11:AD$87) * (L65='RISK BUDGETING (ETL)'!AF$11:AF$87), 0))</f>
        <v/>
      </c>
    </row>
    <row r="66" spans="8:8" x14ac:dyDescent="0.25">
      <c r="H66" t="str">
        <f t="array" ref="H66">INDEX('RISK BUDGETING (ETL)'!P$11:P$87, MATCH(1, (I66='RISK BUDGETING (ETL)'!Q$11:Q$87) * (J66='RISK BUDGETING (ETL)'!AB$11:AB$87) * (K66='RISK BUDGETING (ETL)'!AD$11:AD$87) * (L66='RISK BUDGETING (ETL)'!AF$11:AF$87), 0))</f>
        <v/>
      </c>
    </row>
    <row r="67" spans="8:8" x14ac:dyDescent="0.25">
      <c r="H67" t="str">
        <f t="array" ref="H67">INDEX('RISK BUDGETING (ETL)'!P$11:P$87, MATCH(1, (I67='RISK BUDGETING (ETL)'!Q$11:Q$87) * (J67='RISK BUDGETING (ETL)'!AB$11:AB$87) * (K67='RISK BUDGETING (ETL)'!AD$11:AD$87) * (L67='RISK BUDGETING (ETL)'!AF$11:AF$87), 0))</f>
        <v/>
      </c>
    </row>
    <row r="68" spans="8:8" x14ac:dyDescent="0.25">
      <c r="H68" t="str">
        <f t="array" ref="H68">INDEX('RISK BUDGETING (ETL)'!P$11:P$87, MATCH(1, (I68='RISK BUDGETING (ETL)'!Q$11:Q$87) * (J68='RISK BUDGETING (ETL)'!AB$11:AB$87) * (K68='RISK BUDGETING (ETL)'!AD$11:AD$87) * (L68='RISK BUDGETING (ETL)'!AF$11:AF$87), 0))</f>
        <v/>
      </c>
    </row>
    <row r="69" spans="8:8" x14ac:dyDescent="0.25">
      <c r="H69" t="str">
        <f t="array" ref="H69">INDEX('RISK BUDGETING (ETL)'!P$11:P$87, MATCH(1, (I69='RISK BUDGETING (ETL)'!Q$11:Q$87) * (J69='RISK BUDGETING (ETL)'!AB$11:AB$87) * (K69='RISK BUDGETING (ETL)'!AD$11:AD$87) * (L69='RISK BUDGETING (ETL)'!AF$11:AF$87), 0))</f>
        <v/>
      </c>
    </row>
    <row r="70" spans="8:8" x14ac:dyDescent="0.25">
      <c r="H70" t="str">
        <f t="array" ref="H70">INDEX('RISK BUDGETING (ETL)'!P$11:P$87, MATCH(1, (I70='RISK BUDGETING (ETL)'!Q$11:Q$87) * (J70='RISK BUDGETING (ETL)'!AB$11:AB$87) * (K70='RISK BUDGETING (ETL)'!AD$11:AD$87) * (L70='RISK BUDGETING (ETL)'!AF$11:AF$87), 0))</f>
        <v/>
      </c>
    </row>
    <row r="71" spans="8:8" x14ac:dyDescent="0.25">
      <c r="H71" t="str">
        <f t="array" ref="H71">INDEX('RISK BUDGETING (ETL)'!P$11:P$87, MATCH(1, (I71='RISK BUDGETING (ETL)'!Q$11:Q$87) * (J71='RISK BUDGETING (ETL)'!AB$11:AB$87) * (K71='RISK BUDGETING (ETL)'!AD$11:AD$87) * (L71='RISK BUDGETING (ETL)'!AF$11:AF$87), 0))</f>
        <v/>
      </c>
    </row>
    <row r="72" spans="8:8" x14ac:dyDescent="0.25">
      <c r="H72" t="str">
        <f t="array" ref="H72">INDEX('RISK BUDGETING (ETL)'!P$11:P$87, MATCH(1, (I72='RISK BUDGETING (ETL)'!Q$11:Q$87) * (J72='RISK BUDGETING (ETL)'!AB$11:AB$87) * (K72='RISK BUDGETING (ETL)'!AD$11:AD$87) * (L72='RISK BUDGETING (ETL)'!AF$11:AF$87), 0))</f>
        <v/>
      </c>
    </row>
    <row r="73" spans="8:8" x14ac:dyDescent="0.25">
      <c r="H73" t="str">
        <f t="array" ref="H73">INDEX('RISK BUDGETING (ETL)'!P$11:P$87, MATCH(1, (I73='RISK BUDGETING (ETL)'!Q$11:Q$87) * (J73='RISK BUDGETING (ETL)'!AB$11:AB$87) * (K73='RISK BUDGETING (ETL)'!AD$11:AD$87) * (L73='RISK BUDGETING (ETL)'!AF$11:AF$87), 0))</f>
        <v/>
      </c>
    </row>
    <row r="74" spans="8:8" x14ac:dyDescent="0.25">
      <c r="H74" t="str">
        <f t="array" ref="H74">INDEX('RISK BUDGETING (ETL)'!P$11:P$87, MATCH(1, (I74='RISK BUDGETING (ETL)'!Q$11:Q$87) * (J74='RISK BUDGETING (ETL)'!AB$11:AB$87) * (K74='RISK BUDGETING (ETL)'!AD$11:AD$87) * (L74='RISK BUDGETING (ETL)'!AF$11:AF$87), 0))</f>
        <v/>
      </c>
    </row>
    <row r="75" spans="8:8" x14ac:dyDescent="0.25">
      <c r="H75" t="str">
        <f t="array" ref="H75">INDEX('RISK BUDGETING (ETL)'!P$11:P$87, MATCH(1, (I75='RISK BUDGETING (ETL)'!Q$11:Q$87) * (J75='RISK BUDGETING (ETL)'!AB$11:AB$87) * (K75='RISK BUDGETING (ETL)'!AD$11:AD$87) * (L75='RISK BUDGETING (ETL)'!AF$11:AF$87), 0))</f>
        <v/>
      </c>
    </row>
    <row r="76" spans="8:8" x14ac:dyDescent="0.25">
      <c r="H76" t="str">
        <f t="array" ref="H76">INDEX('RISK BUDGETING (ETL)'!P$11:P$87, MATCH(1, (I76='RISK BUDGETING (ETL)'!Q$11:Q$87) * (J76='RISK BUDGETING (ETL)'!AB$11:AB$87) * (K76='RISK BUDGETING (ETL)'!AD$11:AD$87) * (L76='RISK BUDGETING (ETL)'!AF$11:AF$87), 0))</f>
        <v/>
      </c>
    </row>
    <row r="77" spans="8:8" x14ac:dyDescent="0.25">
      <c r="H77" t="str">
        <f t="array" ref="H77">INDEX('RISK BUDGETING (ETL)'!P$11:P$87, MATCH(1, (I77='RISK BUDGETING (ETL)'!Q$11:Q$87) * (J77='RISK BUDGETING (ETL)'!AB$11:AB$87) * (K77='RISK BUDGETING (ETL)'!AD$11:AD$87) * (L77='RISK BUDGETING (ETL)'!AF$11:AF$87), 0))</f>
        <v/>
      </c>
    </row>
    <row r="78" spans="8:8" x14ac:dyDescent="0.25">
      <c r="H78" t="str">
        <f t="array" ref="H78">INDEX('RISK BUDGETING (ETL)'!P$11:P$87, MATCH(1, (I78='RISK BUDGETING (ETL)'!Q$11:Q$87) * (J78='RISK BUDGETING (ETL)'!AB$11:AB$87) * (K78='RISK BUDGETING (ETL)'!AD$11:AD$87) * (L78='RISK BUDGETING (ETL)'!AF$11:AF$87), 0))</f>
        <v/>
      </c>
    </row>
    <row r="79" spans="8:8" x14ac:dyDescent="0.25">
      <c r="H79" t="str">
        <f t="array" ref="H79">INDEX('RISK BUDGETING (ETL)'!P$11:P$87, MATCH(1, (I79='RISK BUDGETING (ETL)'!Q$11:Q$87) * (J79='RISK BUDGETING (ETL)'!AB$11:AB$87) * (K79='RISK BUDGETING (ETL)'!AD$11:AD$87) * (L79='RISK BUDGETING (ETL)'!AF$11:AF$87), 0))</f>
        <v/>
      </c>
    </row>
    <row r="80" spans="8:8" x14ac:dyDescent="0.25">
      <c r="H80" t="str">
        <f t="array" ref="H80">INDEX('RISK BUDGETING (ETL)'!P$11:P$87, MATCH(1, (I80='RISK BUDGETING (ETL)'!Q$11:Q$87) * (J80='RISK BUDGETING (ETL)'!AB$11:AB$87) * (K80='RISK BUDGETING (ETL)'!AD$11:AD$87) * (L80='RISK BUDGETING (ETL)'!AF$11:AF$87), 0))</f>
        <v/>
      </c>
    </row>
    <row r="81" spans="8:8" x14ac:dyDescent="0.25">
      <c r="H81" t="str">
        <f t="array" ref="H81">INDEX('RISK BUDGETING (ETL)'!P$11:P$87, MATCH(1, (I81='RISK BUDGETING (ETL)'!Q$11:Q$87) * (J81='RISK BUDGETING (ETL)'!AB$11:AB$87) * (K81='RISK BUDGETING (ETL)'!AD$11:AD$87) * (L81='RISK BUDGETING (ETL)'!AF$11:AF$87), 0))</f>
        <v/>
      </c>
    </row>
    <row r="82" spans="8:8" x14ac:dyDescent="0.25">
      <c r="H82" t="str">
        <f t="array" ref="H82">INDEX('RISK BUDGETING (ETL)'!P$11:P$87, MATCH(1, (I82='RISK BUDGETING (ETL)'!Q$11:Q$87) * (J82='RISK BUDGETING (ETL)'!AB$11:AB$87) * (K82='RISK BUDGETING (ETL)'!AD$11:AD$87) * (L82='RISK BUDGETING (ETL)'!AF$11:AF$87), 0))</f>
        <v/>
      </c>
    </row>
    <row r="83" spans="8:8" x14ac:dyDescent="0.25">
      <c r="H83" t="str">
        <f t="array" ref="H83">INDEX('RISK BUDGETING (ETL)'!P$11:P$87, MATCH(1, (I83='RISK BUDGETING (ETL)'!Q$11:Q$87) * (J83='RISK BUDGETING (ETL)'!AB$11:AB$87) * (K83='RISK BUDGETING (ETL)'!AD$11:AD$87) * (L83='RISK BUDGETING (ETL)'!AF$11:AF$87), 0))</f>
        <v/>
      </c>
    </row>
    <row r="84" spans="8:8" x14ac:dyDescent="0.25">
      <c r="H84" t="str">
        <f t="array" ref="H84">INDEX('RISK BUDGETING (ETL)'!P$11:P$87, MATCH(1, (I84='RISK BUDGETING (ETL)'!Q$11:Q$87) * (J84='RISK BUDGETING (ETL)'!AB$11:AB$87) * (K84='RISK BUDGETING (ETL)'!AD$11:AD$87) * (L84='RISK BUDGETING (ETL)'!AF$11:AF$87), 0))</f>
        <v/>
      </c>
    </row>
    <row r="85" spans="8:8" x14ac:dyDescent="0.25">
      <c r="H85" t="str">
        <f t="array" ref="H85">INDEX('RISK BUDGETING (ETL)'!P$11:P$87, MATCH(1, (I85='RISK BUDGETING (ETL)'!Q$11:Q$87) * (J85='RISK BUDGETING (ETL)'!AB$11:AB$87) * (K85='RISK BUDGETING (ETL)'!AD$11:AD$87) * (L85='RISK BUDGETING (ETL)'!AF$11:AF$87), 0))</f>
        <v/>
      </c>
    </row>
    <row r="86" spans="8:8" x14ac:dyDescent="0.25">
      <c r="H86" t="str">
        <f t="array" ref="H86">INDEX('RISK BUDGETING (ETL)'!P$11:P$87, MATCH(1, (I86='RISK BUDGETING (ETL)'!Q$11:Q$87) * (J86='RISK BUDGETING (ETL)'!AB$11:AB$87) * (K86='RISK BUDGETING (ETL)'!AD$11:AD$87) * (L86='RISK BUDGETING (ETL)'!AF$11:AF$87), 0))</f>
        <v/>
      </c>
    </row>
    <row r="87" spans="8:8" x14ac:dyDescent="0.25">
      <c r="H87" t="str">
        <f t="array" ref="H87">INDEX('RISK BUDGETING (ETL)'!P$11:P$87, MATCH(1, (I87='RISK BUDGETING (ETL)'!Q$11:Q$87) * (J87='RISK BUDGETING (ETL)'!AB$11:AB$87) * (K87='RISK BUDGETING (ETL)'!AD$11:AD$87) * (L87='RISK BUDGETING (ETL)'!AF$11:AF$87), 0))</f>
        <v/>
      </c>
    </row>
    <row r="88" spans="8:8" x14ac:dyDescent="0.25">
      <c r="H88" t="str">
        <f t="array" ref="H88">INDEX('RISK BUDGETING (ETL)'!P$11:P$87, MATCH(1, (I88='RISK BUDGETING (ETL)'!Q$11:Q$87) * (J88='RISK BUDGETING (ETL)'!AB$11:AB$87) * (K88='RISK BUDGETING (ETL)'!AD$11:AD$87) * (L88='RISK BUDGETING (ETL)'!AF$11:AF$87), 0))</f>
        <v/>
      </c>
    </row>
    <row r="89" spans="8:8" x14ac:dyDescent="0.25">
      <c r="H89" t="str">
        <f t="array" ref="H89">INDEX('RISK BUDGETING (ETL)'!P$11:P$87, MATCH(1, (I89='RISK BUDGETING (ETL)'!Q$11:Q$87) * (J89='RISK BUDGETING (ETL)'!AB$11:AB$87) * (K89='RISK BUDGETING (ETL)'!AD$11:AD$87) * (L89='RISK BUDGETING (ETL)'!AF$11:AF$87), 0))</f>
        <v/>
      </c>
    </row>
    <row r="90" spans="8:8" x14ac:dyDescent="0.25">
      <c r="H90" t="str">
        <f t="array" ref="H90">INDEX('RISK BUDGETING (ETL)'!P$11:P$87, MATCH(1, (I90='RISK BUDGETING (ETL)'!Q$11:Q$87) * (J90='RISK BUDGETING (ETL)'!AB$11:AB$87) * (K90='RISK BUDGETING (ETL)'!AD$11:AD$87) * (L90='RISK BUDGETING (ETL)'!AF$11:AF$87), 0))</f>
        <v/>
      </c>
    </row>
    <row r="91" spans="8:8" x14ac:dyDescent="0.25">
      <c r="H91" t="str">
        <f t="array" ref="H91">INDEX('RISK BUDGETING (ETL)'!P$11:P$87, MATCH(1, (I91='RISK BUDGETING (ETL)'!Q$11:Q$87) * (J91='RISK BUDGETING (ETL)'!AB$11:AB$87) * (K91='RISK BUDGETING (ETL)'!AD$11:AD$87) * (L91='RISK BUDGETING (ETL)'!AF$11:AF$87), 0))</f>
        <v/>
      </c>
    </row>
    <row r="92" spans="8:8" x14ac:dyDescent="0.25">
      <c r="H92" t="str">
        <f t="array" ref="H92">INDEX('RISK BUDGETING (ETL)'!P$11:P$87, MATCH(1, (I92='RISK BUDGETING (ETL)'!Q$11:Q$87) * (J92='RISK BUDGETING (ETL)'!AB$11:AB$87) * (K92='RISK BUDGETING (ETL)'!AD$11:AD$87) * (L92='RISK BUDGETING (ETL)'!AF$11:AF$87), 0))</f>
        <v/>
      </c>
    </row>
    <row r="93" spans="8:8" x14ac:dyDescent="0.25">
      <c r="H93" t="str">
        <f t="array" ref="H93">INDEX('RISK BUDGETING (ETL)'!P$11:P$87, MATCH(1, (I93='RISK BUDGETING (ETL)'!Q$11:Q$87) * (J93='RISK BUDGETING (ETL)'!AB$11:AB$87) * (K93='RISK BUDGETING (ETL)'!AD$11:AD$87) * (L93='RISK BUDGETING (ETL)'!AF$11:AF$87), 0))</f>
        <v/>
      </c>
    </row>
    <row r="94" spans="8:8" x14ac:dyDescent="0.25">
      <c r="H94" t="str">
        <f t="array" ref="H94">INDEX('RISK BUDGETING (ETL)'!P$11:P$87, MATCH(1, (I94='RISK BUDGETING (ETL)'!Q$11:Q$87) * (J94='RISK BUDGETING (ETL)'!AB$11:AB$87) * (K94='RISK BUDGETING (ETL)'!AD$11:AD$87) * (L94='RISK BUDGETING (ETL)'!AF$11:AF$87), 0))</f>
        <v/>
      </c>
    </row>
    <row r="95" spans="8:8" x14ac:dyDescent="0.25">
      <c r="H95" t="str">
        <f t="array" ref="H95">INDEX('RISK BUDGETING (ETL)'!P$11:P$87, MATCH(1, (I95='RISK BUDGETING (ETL)'!Q$11:Q$87) * (J95='RISK BUDGETING (ETL)'!AB$11:AB$87) * (K95='RISK BUDGETING (ETL)'!AD$11:AD$87) * (L95='RISK BUDGETING (ETL)'!AF$11:AF$87), 0))</f>
        <v/>
      </c>
    </row>
    <row r="96" spans="8:8" x14ac:dyDescent="0.25">
      <c r="H96" t="str">
        <f t="array" ref="H96">INDEX('RISK BUDGETING (ETL)'!P$11:P$87, MATCH(1, (I96='RISK BUDGETING (ETL)'!Q$11:Q$87) * (J96='RISK BUDGETING (ETL)'!AB$11:AB$87) * (K96='RISK BUDGETING (ETL)'!AD$11:AD$87) * (L96='RISK BUDGETING (ETL)'!AF$11:AF$87), 0))</f>
        <v/>
      </c>
    </row>
    <row r="97" spans="8:8" x14ac:dyDescent="0.25">
      <c r="H97" t="str">
        <f t="array" ref="H97">INDEX('RISK BUDGETING (ETL)'!P$11:P$87, MATCH(1, (I97='RISK BUDGETING (ETL)'!Q$11:Q$87) * (J97='RISK BUDGETING (ETL)'!AB$11:AB$87) * (K97='RISK BUDGETING (ETL)'!AD$11:AD$87) * (L97='RISK BUDGETING (ETL)'!AF$11:AF$87), 0))</f>
        <v/>
      </c>
    </row>
    <row r="98" spans="8:8" x14ac:dyDescent="0.25">
      <c r="H98" t="str">
        <f t="array" ref="H98">INDEX('RISK BUDGETING (ETL)'!P$11:P$87, MATCH(1, (I98='RISK BUDGETING (ETL)'!Q$11:Q$87) * (J98='RISK BUDGETING (ETL)'!AB$11:AB$87) * (K98='RISK BUDGETING (ETL)'!AD$11:AD$87) * (L98='RISK BUDGETING (ETL)'!AF$11:AF$87), 0))</f>
        <v/>
      </c>
    </row>
    <row r="99" spans="8:8" x14ac:dyDescent="0.25">
      <c r="H99" t="str">
        <f t="array" ref="H99">INDEX('RISK BUDGETING (ETL)'!P$11:P$87, MATCH(1, (I99='RISK BUDGETING (ETL)'!Q$11:Q$87) * (J99='RISK BUDGETING (ETL)'!AB$11:AB$87) * (K99='RISK BUDGETING (ETL)'!AD$11:AD$87) * (L99='RISK BUDGETING (ETL)'!AF$11:AF$87), 0))</f>
        <v/>
      </c>
    </row>
    <row r="100" spans="8:8" x14ac:dyDescent="0.25">
      <c r="H100" t="str">
        <f t="array" ref="H100">INDEX('RISK BUDGETING (ETL)'!P$11:P$87, MATCH(1, (I100='RISK BUDGETING (ETL)'!Q$11:Q$87) * (J100='RISK BUDGETING (ETL)'!AB$11:AB$87) * (K100='RISK BUDGETING (ETL)'!AD$11:AD$87) * (L100='RISK BUDGETING (ETL)'!AF$11:AF$87), 0))</f>
        <v/>
      </c>
    </row>
    <row r="101" spans="8:8" x14ac:dyDescent="0.25">
      <c r="H101" t="str">
        <f t="array" ref="H101">INDEX('RISK BUDGETING (ETL)'!P$11:P$87, MATCH(1, (I101='RISK BUDGETING (ETL)'!Q$11:Q$87) * (J101='RISK BUDGETING (ETL)'!AB$11:AB$87) * (K101='RISK BUDGETING (ETL)'!AD$11:AD$87) * (L101='RISK BUDGETING (ETL)'!AF$11:AF$87), 0))</f>
        <v/>
      </c>
    </row>
    <row r="102" spans="8:8" x14ac:dyDescent="0.25">
      <c r="H102" t="str">
        <f t="array" ref="H102">INDEX('RISK BUDGETING (ETL)'!P$11:P$87, MATCH(1, (I102='RISK BUDGETING (ETL)'!Q$11:Q$87) * (J102='RISK BUDGETING (ETL)'!AB$11:AB$87) * (K102='RISK BUDGETING (ETL)'!AD$11:AD$87) * (L102='RISK BUDGETING (ETL)'!AF$11:AF$87), 0))</f>
        <v/>
      </c>
    </row>
    <row r="103" spans="8:8" x14ac:dyDescent="0.25">
      <c r="H103" t="str">
        <f t="array" ref="H103">INDEX('RISK BUDGETING (ETL)'!P$11:P$87, MATCH(1, (I103='RISK BUDGETING (ETL)'!Q$11:Q$87) * (J103='RISK BUDGETING (ETL)'!AB$11:AB$87) * (K103='RISK BUDGETING (ETL)'!AD$11:AD$87) * (L103='RISK BUDGETING (ETL)'!AF$11:AF$87), 0))</f>
        <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pageSetUpPr fitToPage="1"/>
  </sheetPr>
  <dimension ref="A1:AI85"/>
  <sheetViews>
    <sheetView showGridLines="0" zoomScaleNormal="100" workbookViewId="0">
      <selection activeCell="Q10" sqref="Q10:Y10"/>
    </sheetView>
  </sheetViews>
  <sheetFormatPr defaultRowHeight="15" x14ac:dyDescent="0.25"/>
  <cols>
    <col min="1" max="15" width="5" style="41" customWidth="1"/>
    <col min="16" max="16" width="10" style="41" customWidth="1"/>
    <col min="17" max="35" width="5" style="41" customWidth="1"/>
    <col min="36" max="16384" width="9.140625" style="41"/>
  </cols>
  <sheetData>
    <row r="1" spans="1:35" x14ac:dyDescent="0.25">
      <c r="B1" s="386"/>
      <c r="C1" s="386"/>
      <c r="D1" s="386"/>
      <c r="E1" s="386"/>
      <c r="F1" s="386"/>
      <c r="G1" s="386"/>
      <c r="H1" s="386"/>
      <c r="I1" s="386"/>
      <c r="J1" s="386"/>
    </row>
    <row r="2" spans="1:35" x14ac:dyDescent="0.25">
      <c r="B2" s="386"/>
      <c r="C2" s="386"/>
      <c r="D2" s="386"/>
      <c r="E2" s="386"/>
      <c r="F2" s="386"/>
      <c r="G2" s="386"/>
      <c r="H2" s="386"/>
      <c r="I2" s="386"/>
      <c r="J2" s="386"/>
    </row>
    <row r="3" spans="1:35" customFormat="1" ht="6" customHeight="1" x14ac:dyDescent="0.25"/>
    <row r="4" spans="1:35" ht="11.25" customHeight="1" x14ac:dyDescent="0.25">
      <c r="A4" s="395" t="s">
        <v>170</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10.5" customHeight="1" x14ac:dyDescent="0.25">
      <c r="A5" s="471" t="s">
        <v>115</v>
      </c>
      <c r="B5" s="472"/>
      <c r="C5" s="472"/>
      <c r="D5" s="472"/>
      <c r="E5" s="472"/>
      <c r="F5" s="472"/>
      <c r="G5" s="472"/>
      <c r="H5" s="472"/>
      <c r="I5" s="472"/>
      <c r="J5" s="472"/>
      <c r="K5" s="472"/>
      <c r="L5" s="472"/>
      <c r="M5" s="472"/>
      <c r="N5" s="472"/>
      <c r="O5" s="472"/>
      <c r="P5" s="472"/>
      <c r="Q5" s="472"/>
      <c r="R5" s="472"/>
      <c r="S5" s="472"/>
      <c r="T5" s="472"/>
      <c r="U5" s="472"/>
      <c r="V5" s="472"/>
      <c r="W5" s="472"/>
      <c r="X5" s="472"/>
      <c r="Y5" s="472"/>
      <c r="Z5" s="472"/>
      <c r="AA5" s="472"/>
      <c r="AB5" s="472"/>
      <c r="AC5" s="472"/>
      <c r="AD5" s="472"/>
      <c r="AE5" s="472"/>
      <c r="AF5" s="472"/>
      <c r="AG5" s="472"/>
      <c r="AH5" s="472"/>
      <c r="AI5" s="472"/>
    </row>
    <row r="6" spans="1:35" ht="11.25" customHeight="1" x14ac:dyDescent="0.25">
      <c r="A6" s="473"/>
      <c r="B6" s="474"/>
      <c r="C6" s="474"/>
      <c r="D6" s="474"/>
      <c r="E6" s="474"/>
      <c r="F6" s="474"/>
      <c r="G6" s="474"/>
      <c r="H6" s="474"/>
      <c r="I6" s="474"/>
      <c r="J6" s="474"/>
      <c r="K6" s="474"/>
      <c r="L6" s="474"/>
      <c r="M6" s="474"/>
      <c r="N6" s="474"/>
      <c r="O6" s="474"/>
      <c r="P6" s="474"/>
      <c r="Q6" s="474"/>
      <c r="R6" s="474"/>
      <c r="S6" s="474"/>
      <c r="T6" s="474"/>
      <c r="U6" s="474"/>
      <c r="V6" s="474"/>
      <c r="W6" s="474"/>
      <c r="X6" s="474"/>
      <c r="Y6" s="474"/>
      <c r="Z6" s="474"/>
      <c r="AA6" s="474"/>
      <c r="AB6" s="474"/>
      <c r="AC6" s="474"/>
      <c r="AD6" s="474"/>
      <c r="AE6" s="474"/>
      <c r="AF6" s="474"/>
      <c r="AG6" s="474"/>
      <c r="AH6" s="474"/>
      <c r="AI6" s="474"/>
    </row>
    <row r="7" spans="1:35" ht="5.25" customHeight="1" x14ac:dyDescent="0.25">
      <c r="A7" s="102"/>
      <c r="B7" s="96"/>
      <c r="C7" s="96"/>
      <c r="D7" s="96"/>
      <c r="E7" s="96"/>
      <c r="F7" s="96"/>
      <c r="G7" s="96"/>
      <c r="H7" s="96"/>
      <c r="I7" s="96"/>
      <c r="J7" s="96"/>
      <c r="K7" s="96"/>
      <c r="L7" s="96"/>
      <c r="M7" s="96"/>
      <c r="N7" s="96"/>
      <c r="O7" s="96"/>
      <c r="P7" s="96"/>
      <c r="Q7" s="96"/>
      <c r="R7" s="96"/>
      <c r="S7" s="96"/>
      <c r="T7" s="96"/>
      <c r="U7" s="96"/>
      <c r="V7" s="96"/>
      <c r="W7" s="96"/>
      <c r="X7" s="96"/>
      <c r="Y7" s="96"/>
      <c r="Z7" s="96"/>
      <c r="AA7" s="96"/>
      <c r="AB7" s="96"/>
      <c r="AC7" s="96"/>
    </row>
    <row r="8" spans="1:35" ht="18" hidden="1" customHeight="1" x14ac:dyDescent="0.25">
      <c r="A8" s="63"/>
      <c r="B8" s="63"/>
      <c r="C8" s="63"/>
      <c r="D8" s="63"/>
      <c r="E8" s="63"/>
      <c r="F8" s="63"/>
      <c r="G8" s="64"/>
      <c r="H8" s="64"/>
      <c r="I8" s="64"/>
      <c r="J8" s="64"/>
      <c r="K8" s="64"/>
      <c r="L8" s="64"/>
      <c r="M8" s="64"/>
      <c r="N8" s="64"/>
      <c r="O8" s="64"/>
      <c r="P8" s="64"/>
      <c r="Q8" s="64"/>
      <c r="R8" s="64"/>
      <c r="S8" s="64"/>
    </row>
    <row r="9" spans="1:35" ht="19.5" customHeight="1" x14ac:dyDescent="0.25">
      <c r="A9" s="53"/>
      <c r="B9" s="53"/>
      <c r="C9" s="53"/>
      <c r="D9" s="53"/>
      <c r="E9" s="53"/>
      <c r="F9" s="53"/>
      <c r="G9" s="61"/>
      <c r="H9" s="61"/>
      <c r="I9" s="61"/>
      <c r="J9" s="61"/>
      <c r="K9" s="61"/>
      <c r="L9" s="61"/>
      <c r="M9" s="61"/>
      <c r="N9" s="61"/>
      <c r="O9" s="61"/>
      <c r="P9" s="64"/>
      <c r="Q9" s="219"/>
      <c r="R9" s="101"/>
      <c r="S9" s="101"/>
      <c r="T9" s="101"/>
      <c r="U9" s="101"/>
      <c r="V9" s="101"/>
      <c r="W9" s="101"/>
      <c r="X9" s="476"/>
      <c r="Y9" s="476"/>
      <c r="Z9" s="476" t="s">
        <v>225</v>
      </c>
      <c r="AA9" s="476"/>
      <c r="AB9" s="476" t="s">
        <v>18</v>
      </c>
      <c r="AC9" s="476"/>
      <c r="AD9" s="476" t="s">
        <v>173</v>
      </c>
      <c r="AE9" s="476"/>
      <c r="AF9" s="476" t="s">
        <v>171</v>
      </c>
      <c r="AG9" s="476"/>
      <c r="AH9" s="476" t="s">
        <v>63</v>
      </c>
      <c r="AI9" s="476"/>
    </row>
    <row r="10" spans="1:35" ht="10.5" customHeight="1" x14ac:dyDescent="0.25">
      <c r="B10" s="65"/>
      <c r="C10" s="65"/>
      <c r="D10" s="65"/>
      <c r="E10" s="65"/>
      <c r="F10" s="65"/>
      <c r="G10" s="259"/>
      <c r="H10" s="259"/>
      <c r="I10" s="259"/>
      <c r="J10" s="259"/>
      <c r="K10" s="259"/>
      <c r="L10" s="259"/>
      <c r="M10" s="259"/>
      <c r="N10" s="259"/>
      <c r="O10" s="259"/>
      <c r="P10" s="147"/>
      <c r="Q10" s="449" t="s">
        <v>351</v>
      </c>
      <c r="R10" s="467"/>
      <c r="S10" s="467"/>
      <c r="T10" s="467"/>
      <c r="U10" s="467"/>
      <c r="V10" s="467"/>
      <c r="W10" s="467"/>
      <c r="X10" s="467"/>
      <c r="Y10" s="467"/>
      <c r="Z10" s="448">
        <v>100</v>
      </c>
      <c r="AA10" s="477"/>
      <c r="AB10" s="448">
        <v>0.9376493977324154</v>
      </c>
      <c r="AC10" s="458"/>
      <c r="AD10" s="448" t="s">
        <v>294</v>
      </c>
      <c r="AE10" s="458"/>
      <c r="AF10" s="448" t="s">
        <v>294</v>
      </c>
      <c r="AG10" s="458"/>
      <c r="AH10" s="470" t="s">
        <v>294</v>
      </c>
      <c r="AI10" s="475"/>
    </row>
    <row r="11" spans="1:35" ht="10.5" customHeight="1" x14ac:dyDescent="0.25">
      <c r="A11" s="262"/>
      <c r="B11" s="260"/>
      <c r="C11" s="260"/>
      <c r="D11" s="260"/>
      <c r="E11" s="260"/>
      <c r="F11" s="260"/>
      <c r="G11" s="261"/>
      <c r="H11" s="261"/>
      <c r="I11" s="261"/>
      <c r="J11" s="261"/>
      <c r="K11" s="261"/>
      <c r="L11" s="261"/>
      <c r="M11" s="261"/>
      <c r="N11" s="261"/>
      <c r="O11" s="261"/>
      <c r="P11" s="147">
        <f>IF(ISBLANK(Q11)=TRUE,"",1)</f>
        <v>1</v>
      </c>
      <c r="Q11" s="449" t="s">
        <v>322</v>
      </c>
      <c r="R11" s="464"/>
      <c r="S11" s="464"/>
      <c r="T11" s="464"/>
      <c r="U11" s="464"/>
      <c r="V11" s="464"/>
      <c r="W11" s="464"/>
      <c r="X11" s="464"/>
      <c r="Y11" s="464"/>
      <c r="Z11" s="448">
        <v>2.1508199127308192</v>
      </c>
      <c r="AA11" s="465"/>
      <c r="AB11" s="448">
        <v>0.52696580394678449</v>
      </c>
      <c r="AC11" s="440"/>
      <c r="AD11" s="448">
        <v>0.62705205788520435</v>
      </c>
      <c r="AE11" s="440"/>
      <c r="AF11" s="448">
        <v>0.78294267871567458</v>
      </c>
      <c r="AG11" s="440"/>
      <c r="AH11" s="470">
        <v>-0.25597687476889008</v>
      </c>
      <c r="AI11" s="466"/>
    </row>
    <row r="12" spans="1:35" ht="10.5" customHeight="1" x14ac:dyDescent="0.25">
      <c r="A12" s="65"/>
      <c r="B12" s="65"/>
      <c r="C12" s="65"/>
      <c r="D12" s="65"/>
      <c r="E12" s="65"/>
      <c r="F12" s="65"/>
      <c r="G12" s="259"/>
      <c r="H12" s="259"/>
      <c r="I12" s="259"/>
      <c r="J12" s="259"/>
      <c r="K12" s="259"/>
      <c r="L12" s="259"/>
      <c r="M12" s="259"/>
      <c r="N12" s="259"/>
      <c r="O12" s="259"/>
      <c r="P12" s="147">
        <f>IF(ISBLANK(Q12)=TRUE,"",2)</f>
        <v>2</v>
      </c>
      <c r="Q12" s="464" t="s">
        <v>330</v>
      </c>
      <c r="R12" s="464"/>
      <c r="S12" s="464"/>
      <c r="T12" s="464"/>
      <c r="U12" s="464"/>
      <c r="V12" s="464"/>
      <c r="W12" s="464"/>
      <c r="X12" s="464"/>
      <c r="Y12" s="464"/>
      <c r="Z12" s="465">
        <v>0.63216726934408507</v>
      </c>
      <c r="AA12" s="465"/>
      <c r="AB12" s="440">
        <v>0.23526581837368488</v>
      </c>
      <c r="AC12" s="440"/>
      <c r="AD12" s="440">
        <v>0.18108481106104202</v>
      </c>
      <c r="AE12" s="440"/>
      <c r="AF12" s="440">
        <v>0.22610407742703864</v>
      </c>
      <c r="AG12" s="440"/>
      <c r="AH12" s="466">
        <v>9.1617409466462352E-3</v>
      </c>
      <c r="AI12" s="466"/>
    </row>
    <row r="13" spans="1:35" ht="10.5" customHeight="1" x14ac:dyDescent="0.25">
      <c r="A13" s="65"/>
      <c r="B13" s="65"/>
      <c r="C13" s="65"/>
      <c r="D13" s="65"/>
      <c r="E13" s="65"/>
      <c r="F13" s="65"/>
      <c r="G13" s="259"/>
      <c r="H13" s="259"/>
      <c r="I13" s="259"/>
      <c r="J13" s="259"/>
      <c r="K13" s="259"/>
      <c r="L13" s="259"/>
      <c r="M13" s="259"/>
      <c r="N13" s="259"/>
      <c r="O13" s="259"/>
      <c r="P13" s="147">
        <f>IF(ISBLANK(Q13)=TRUE,"",3)</f>
        <v>3</v>
      </c>
      <c r="Q13" s="464" t="s">
        <v>337</v>
      </c>
      <c r="R13" s="464"/>
      <c r="S13" s="464"/>
      <c r="T13" s="464"/>
      <c r="U13" s="464"/>
      <c r="V13" s="464"/>
      <c r="W13" s="464"/>
      <c r="X13" s="464"/>
      <c r="Y13" s="464"/>
      <c r="Z13" s="465">
        <v>1.5186526433867344</v>
      </c>
      <c r="AA13" s="465"/>
      <c r="AB13" s="440">
        <v>0.64839132159262669</v>
      </c>
      <c r="AC13" s="440"/>
      <c r="AD13" s="440">
        <v>0.8126941781353062</v>
      </c>
      <c r="AE13" s="440"/>
      <c r="AF13" s="440">
        <v>1.0147370522183725</v>
      </c>
      <c r="AG13" s="440"/>
      <c r="AH13" s="466">
        <v>-0.36634573062574582</v>
      </c>
      <c r="AI13" s="466"/>
    </row>
    <row r="14" spans="1:35" ht="10.5" customHeight="1" x14ac:dyDescent="0.25">
      <c r="A14" s="260"/>
      <c r="B14" s="260"/>
      <c r="C14" s="260"/>
      <c r="D14" s="260"/>
      <c r="E14" s="260"/>
      <c r="F14" s="260"/>
      <c r="G14" s="261"/>
      <c r="H14" s="261"/>
      <c r="I14" s="261"/>
      <c r="J14" s="261"/>
      <c r="K14" s="261"/>
      <c r="L14" s="261"/>
      <c r="M14" s="261"/>
      <c r="N14" s="261"/>
      <c r="O14" s="261"/>
      <c r="P14" s="147">
        <f>IF(ISBLANK(Q14)=TRUE,"",4)</f>
        <v>4</v>
      </c>
      <c r="Q14" s="449" t="s">
        <v>320</v>
      </c>
      <c r="R14" s="464"/>
      <c r="S14" s="464"/>
      <c r="T14" s="464"/>
      <c r="U14" s="464"/>
      <c r="V14" s="464"/>
      <c r="W14" s="464"/>
      <c r="X14" s="464"/>
      <c r="Y14" s="464"/>
      <c r="Z14" s="448">
        <v>6.6920935905961025</v>
      </c>
      <c r="AA14" s="465"/>
      <c r="AB14" s="448">
        <v>0.71084486914380762</v>
      </c>
      <c r="AC14" s="440"/>
      <c r="AD14" s="448">
        <v>1.1300130887324948</v>
      </c>
      <c r="AE14" s="440"/>
      <c r="AF14" s="448">
        <v>1.410944216752702</v>
      </c>
      <c r="AG14" s="440"/>
      <c r="AH14" s="470">
        <v>-0.70009934760889436</v>
      </c>
      <c r="AI14" s="466"/>
    </row>
    <row r="15" spans="1:35" ht="10.5" customHeight="1" x14ac:dyDescent="0.25">
      <c r="A15" s="65"/>
      <c r="B15" s="65"/>
      <c r="C15" s="65"/>
      <c r="D15" s="65"/>
      <c r="E15" s="65"/>
      <c r="F15" s="65"/>
      <c r="G15" s="259"/>
      <c r="H15" s="259"/>
      <c r="I15" s="259"/>
      <c r="J15" s="259"/>
      <c r="K15" s="259"/>
      <c r="L15" s="259"/>
      <c r="M15" s="259"/>
      <c r="N15" s="259"/>
      <c r="O15" s="259"/>
      <c r="P15" s="147">
        <f>IF(ISBLANK(Q15)=TRUE,"",5)</f>
        <v>5</v>
      </c>
      <c r="Q15" s="464" t="s">
        <v>326</v>
      </c>
      <c r="R15" s="464"/>
      <c r="S15" s="464"/>
      <c r="T15" s="464"/>
      <c r="U15" s="464"/>
      <c r="V15" s="464"/>
      <c r="W15" s="464"/>
      <c r="X15" s="464"/>
      <c r="Y15" s="464"/>
      <c r="Z15" s="465">
        <v>7.4708538114854242E-2</v>
      </c>
      <c r="AA15" s="465"/>
      <c r="AB15" s="440">
        <v>0.87289775521258461</v>
      </c>
      <c r="AC15" s="440"/>
      <c r="AD15" s="440">
        <v>0.14432683517284745</v>
      </c>
      <c r="AE15" s="440"/>
      <c r="AF15" s="440">
        <v>0.18020774753836005</v>
      </c>
      <c r="AG15" s="440"/>
      <c r="AH15" s="466">
        <v>0.69269000767422462</v>
      </c>
      <c r="AI15" s="466"/>
    </row>
    <row r="16" spans="1:35" ht="10.5" customHeight="1" x14ac:dyDescent="0.25">
      <c r="A16" s="65"/>
      <c r="B16" s="65"/>
      <c r="C16" s="65"/>
      <c r="D16" s="65"/>
      <c r="E16" s="65"/>
      <c r="F16" s="65"/>
      <c r="G16" s="259"/>
      <c r="H16" s="259"/>
      <c r="I16" s="259"/>
      <c r="J16" s="259"/>
      <c r="K16" s="259"/>
      <c r="L16" s="259"/>
      <c r="M16" s="259"/>
      <c r="N16" s="259"/>
      <c r="O16" s="259"/>
      <c r="P16" s="147">
        <f>IF(ISBLANK(Q16)=TRUE,"",6)</f>
        <v>6</v>
      </c>
      <c r="Q16" s="464" t="s">
        <v>329</v>
      </c>
      <c r="R16" s="464"/>
      <c r="S16" s="464"/>
      <c r="T16" s="464"/>
      <c r="U16" s="464"/>
      <c r="V16" s="464"/>
      <c r="W16" s="464"/>
      <c r="X16" s="464"/>
      <c r="Y16" s="464"/>
      <c r="Z16" s="465">
        <v>0.31241514888606614</v>
      </c>
      <c r="AA16" s="465"/>
      <c r="AB16" s="440">
        <v>0.8489291545414801</v>
      </c>
      <c r="AC16" s="440"/>
      <c r="AD16" s="440">
        <v>0.27266888490959423</v>
      </c>
      <c r="AE16" s="440"/>
      <c r="AF16" s="440">
        <v>0.34045675230463107</v>
      </c>
      <c r="AG16" s="440"/>
      <c r="AH16" s="466">
        <v>0.50847240223684897</v>
      </c>
      <c r="AI16" s="466"/>
    </row>
    <row r="17" spans="1:35" ht="10.5" customHeight="1" x14ac:dyDescent="0.25">
      <c r="A17" s="260"/>
      <c r="B17" s="260"/>
      <c r="C17" s="260"/>
      <c r="D17" s="260"/>
      <c r="E17" s="260"/>
      <c r="F17" s="260"/>
      <c r="G17" s="261"/>
      <c r="H17" s="261"/>
      <c r="I17" s="261"/>
      <c r="J17" s="261"/>
      <c r="K17" s="261"/>
      <c r="L17" s="261"/>
      <c r="M17" s="261"/>
      <c r="N17" s="261"/>
      <c r="O17" s="261"/>
      <c r="P17" s="147">
        <f>IF(ISBLANK(Q17)=TRUE,"",7)</f>
        <v>7</v>
      </c>
      <c r="Q17" s="464" t="s">
        <v>341</v>
      </c>
      <c r="R17" s="464"/>
      <c r="S17" s="464"/>
      <c r="T17" s="464"/>
      <c r="U17" s="464"/>
      <c r="V17" s="464"/>
      <c r="W17" s="464"/>
      <c r="X17" s="464"/>
      <c r="Y17" s="464"/>
      <c r="Z17" s="465">
        <v>6.1233379465673921E-2</v>
      </c>
      <c r="AA17" s="465"/>
      <c r="AB17" s="440">
        <v>-7.0365045698543821E-2</v>
      </c>
      <c r="AC17" s="440"/>
      <c r="AD17" s="440">
        <v>0.65353361493851447</v>
      </c>
      <c r="AE17" s="440"/>
      <c r="AF17" s="440">
        <v>0.81600778225079906</v>
      </c>
      <c r="AG17" s="440"/>
      <c r="AH17" s="466">
        <v>-0.88637282794934291</v>
      </c>
      <c r="AI17" s="466"/>
    </row>
    <row r="18" spans="1:35" ht="10.5" customHeight="1" x14ac:dyDescent="0.25">
      <c r="A18" s="65"/>
      <c r="B18" s="65"/>
      <c r="C18" s="65"/>
      <c r="D18" s="65"/>
      <c r="E18" s="65"/>
      <c r="F18" s="65"/>
      <c r="G18" s="259"/>
      <c r="H18" s="259"/>
      <c r="I18" s="259"/>
      <c r="J18" s="259"/>
      <c r="K18" s="259"/>
      <c r="L18" s="259"/>
      <c r="M18" s="259"/>
      <c r="N18" s="259"/>
      <c r="O18" s="259"/>
      <c r="P18" s="147">
        <f>IF(ISBLANK(Q18)=TRUE,"",8)</f>
        <v>8</v>
      </c>
      <c r="Q18" s="464" t="s">
        <v>310</v>
      </c>
      <c r="R18" s="464"/>
      <c r="S18" s="464"/>
      <c r="T18" s="464"/>
      <c r="U18" s="464"/>
      <c r="V18" s="464"/>
      <c r="W18" s="464"/>
      <c r="X18" s="464"/>
      <c r="Y18" s="464"/>
      <c r="Z18" s="465">
        <v>2.0217776167760064</v>
      </c>
      <c r="AA18" s="465"/>
      <c r="AB18" s="440">
        <v>0.34156768158000195</v>
      </c>
      <c r="AC18" s="440"/>
      <c r="AD18" s="440">
        <v>-0.13901257234755304</v>
      </c>
      <c r="AE18" s="440"/>
      <c r="AF18" s="440">
        <v>-0.17357231253816427</v>
      </c>
      <c r="AG18" s="440"/>
      <c r="AH18" s="466">
        <v>0.51513999411816624</v>
      </c>
      <c r="AI18" s="466"/>
    </row>
    <row r="19" spans="1:35" ht="10.5" customHeight="1" x14ac:dyDescent="0.25">
      <c r="A19" s="65"/>
      <c r="B19" s="65"/>
      <c r="C19" s="65"/>
      <c r="D19" s="65"/>
      <c r="E19" s="65"/>
      <c r="F19" s="65"/>
      <c r="G19" s="259"/>
      <c r="H19" s="259"/>
      <c r="I19" s="259"/>
      <c r="J19" s="259"/>
      <c r="K19" s="259"/>
      <c r="L19" s="259"/>
      <c r="M19" s="259"/>
      <c r="N19" s="259"/>
      <c r="O19" s="259"/>
      <c r="P19" s="147">
        <f>IF(ISBLANK(Q19)=TRUE,"",9)</f>
        <v>9</v>
      </c>
      <c r="Q19" s="464" t="s">
        <v>305</v>
      </c>
      <c r="R19" s="464"/>
      <c r="S19" s="464"/>
      <c r="T19" s="464"/>
      <c r="U19" s="464"/>
      <c r="V19" s="464"/>
      <c r="W19" s="464"/>
      <c r="X19" s="464"/>
      <c r="Y19" s="464"/>
      <c r="Z19" s="465">
        <v>2.451922259654467</v>
      </c>
      <c r="AA19" s="465"/>
      <c r="AB19" s="440">
        <v>0.51903774134260061</v>
      </c>
      <c r="AC19" s="440"/>
      <c r="AD19" s="440">
        <v>1.7618599311303809</v>
      </c>
      <c r="AE19" s="440"/>
      <c r="AF19" s="440">
        <v>2.1998737053081894</v>
      </c>
      <c r="AG19" s="440"/>
      <c r="AH19" s="466">
        <v>-1.6808359639655888</v>
      </c>
      <c r="AI19" s="466"/>
    </row>
    <row r="20" spans="1:35" ht="10.5" customHeight="1" x14ac:dyDescent="0.25">
      <c r="A20" s="260"/>
      <c r="B20" s="260"/>
      <c r="C20" s="260"/>
      <c r="D20" s="260"/>
      <c r="E20" s="260"/>
      <c r="F20" s="260"/>
      <c r="G20" s="261"/>
      <c r="H20" s="261"/>
      <c r="I20" s="261"/>
      <c r="J20" s="261"/>
      <c r="K20" s="261"/>
      <c r="L20" s="261"/>
      <c r="M20" s="261"/>
      <c r="N20" s="261"/>
      <c r="O20" s="261"/>
      <c r="P20" s="147">
        <f>IF(ISBLANK(Q20)=TRUE,"",10)</f>
        <v>10</v>
      </c>
      <c r="Q20" s="464" t="s">
        <v>346</v>
      </c>
      <c r="R20" s="464"/>
      <c r="S20" s="464"/>
      <c r="T20" s="464"/>
      <c r="U20" s="464"/>
      <c r="V20" s="464"/>
      <c r="W20" s="464"/>
      <c r="X20" s="464"/>
      <c r="Y20" s="464"/>
      <c r="Z20" s="465">
        <v>0.99540528455700705</v>
      </c>
      <c r="AA20" s="465"/>
      <c r="AB20" s="440">
        <v>1.5690664565354817</v>
      </c>
      <c r="AC20" s="440"/>
      <c r="AD20" s="440">
        <v>0.83188046408107552</v>
      </c>
      <c r="AE20" s="440"/>
      <c r="AF20" s="440">
        <v>1.0386932165018572</v>
      </c>
      <c r="AG20" s="440"/>
      <c r="AH20" s="466">
        <v>0.53037324003362452</v>
      </c>
      <c r="AI20" s="466"/>
    </row>
    <row r="21" spans="1:35" ht="10.5" customHeight="1" x14ac:dyDescent="0.25">
      <c r="A21" s="65"/>
      <c r="B21" s="65"/>
      <c r="C21" s="65"/>
      <c r="D21" s="65"/>
      <c r="E21" s="65"/>
      <c r="F21" s="65"/>
      <c r="G21" s="259"/>
      <c r="H21" s="259"/>
      <c r="I21" s="259"/>
      <c r="J21" s="259"/>
      <c r="K21" s="259"/>
      <c r="L21" s="259"/>
      <c r="M21" s="259"/>
      <c r="N21" s="259"/>
      <c r="O21" s="259"/>
      <c r="P21" s="147">
        <f>IF(ISBLANK(Q21)=TRUE,"",11)</f>
        <v>11</v>
      </c>
      <c r="Q21" s="464" t="s">
        <v>304</v>
      </c>
      <c r="R21" s="464"/>
      <c r="S21" s="464"/>
      <c r="T21" s="464"/>
      <c r="U21" s="464"/>
      <c r="V21" s="464"/>
      <c r="W21" s="464"/>
      <c r="X21" s="464"/>
      <c r="Y21" s="464"/>
      <c r="Z21" s="465">
        <v>0.77463136314202918</v>
      </c>
      <c r="AA21" s="465"/>
      <c r="AB21" s="440">
        <v>1.1693906991605869</v>
      </c>
      <c r="AC21" s="440"/>
      <c r="AD21" s="440">
        <v>3.3037878077405223</v>
      </c>
      <c r="AE21" s="440"/>
      <c r="AF21" s="440">
        <v>4.1251383255552092</v>
      </c>
      <c r="AG21" s="440"/>
      <c r="AH21" s="466">
        <v>-2.9557476263946221</v>
      </c>
      <c r="AI21" s="466"/>
    </row>
    <row r="22" spans="1:35" ht="10.5" customHeight="1" x14ac:dyDescent="0.25">
      <c r="A22" s="65"/>
      <c r="B22" s="65"/>
      <c r="C22" s="65"/>
      <c r="D22" s="65"/>
      <c r="E22" s="65"/>
      <c r="F22" s="65"/>
      <c r="G22" s="259"/>
      <c r="H22" s="259"/>
      <c r="I22" s="259"/>
      <c r="J22" s="259"/>
      <c r="K22" s="259"/>
      <c r="L22" s="259"/>
      <c r="M22" s="259"/>
      <c r="N22" s="259"/>
      <c r="O22" s="259"/>
      <c r="P22" s="147">
        <f>IF(ISBLANK(Q22)=TRUE,"",12)</f>
        <v>12</v>
      </c>
      <c r="Q22" s="449" t="s">
        <v>318</v>
      </c>
      <c r="R22" s="464"/>
      <c r="S22" s="464"/>
      <c r="T22" s="464"/>
      <c r="U22" s="464"/>
      <c r="V22" s="464"/>
      <c r="W22" s="464"/>
      <c r="X22" s="464"/>
      <c r="Y22" s="464"/>
      <c r="Z22" s="448">
        <v>13.58995647854081</v>
      </c>
      <c r="AA22" s="465"/>
      <c r="AB22" s="448">
        <v>0.97744841860439702</v>
      </c>
      <c r="AC22" s="440"/>
      <c r="AD22" s="448">
        <v>1.0891745405043893</v>
      </c>
      <c r="AE22" s="440"/>
      <c r="AF22" s="448">
        <v>1.3599528485839587</v>
      </c>
      <c r="AG22" s="440"/>
      <c r="AH22" s="470">
        <v>-0.38250442997956169</v>
      </c>
      <c r="AI22" s="466"/>
    </row>
    <row r="23" spans="1:35" ht="10.5" customHeight="1" x14ac:dyDescent="0.25">
      <c r="A23" s="65"/>
      <c r="B23" s="65"/>
      <c r="C23" s="65"/>
      <c r="D23" s="65"/>
      <c r="E23" s="65"/>
      <c r="F23" s="65"/>
      <c r="G23" s="259"/>
      <c r="H23" s="259"/>
      <c r="I23" s="259"/>
      <c r="J23" s="259"/>
      <c r="K23" s="259"/>
      <c r="L23" s="259"/>
      <c r="M23" s="259"/>
      <c r="N23" s="259"/>
      <c r="O23" s="259"/>
      <c r="P23" s="147">
        <f>IF(ISBLANK(Q23)=TRUE,"",13)</f>
        <v>13</v>
      </c>
      <c r="Q23" s="464" t="s">
        <v>323</v>
      </c>
      <c r="R23" s="464"/>
      <c r="S23" s="464"/>
      <c r="T23" s="464"/>
      <c r="U23" s="464"/>
      <c r="V23" s="464"/>
      <c r="W23" s="464"/>
      <c r="X23" s="464"/>
      <c r="Y23" s="464"/>
      <c r="Z23" s="465">
        <v>3.1198357228620521</v>
      </c>
      <c r="AA23" s="465"/>
      <c r="AB23" s="440">
        <v>1.070412969088532</v>
      </c>
      <c r="AC23" s="440"/>
      <c r="AD23" s="440">
        <v>0.57713167145819322</v>
      </c>
      <c r="AE23" s="440"/>
      <c r="AF23" s="440">
        <v>0.72061164801384947</v>
      </c>
      <c r="AG23" s="440"/>
      <c r="AH23" s="466">
        <v>0.34980132107468254</v>
      </c>
      <c r="AI23" s="466"/>
    </row>
    <row r="24" spans="1:35" ht="10.5" customHeight="1" x14ac:dyDescent="0.25">
      <c r="A24" s="260"/>
      <c r="B24" s="260"/>
      <c r="C24" s="260"/>
      <c r="D24" s="260"/>
      <c r="E24" s="260"/>
      <c r="F24" s="260"/>
      <c r="G24" s="261"/>
      <c r="H24" s="261"/>
      <c r="I24" s="261"/>
      <c r="J24" s="261"/>
      <c r="K24" s="261"/>
      <c r="L24" s="261"/>
      <c r="M24" s="261"/>
      <c r="N24" s="261"/>
      <c r="O24" s="261"/>
      <c r="P24" s="147">
        <f>IF(ISBLANK(Q24)=TRUE,"",14)</f>
        <v>14</v>
      </c>
      <c r="Q24" s="464" t="s">
        <v>332</v>
      </c>
      <c r="R24" s="464"/>
      <c r="S24" s="464"/>
      <c r="T24" s="464"/>
      <c r="U24" s="464"/>
      <c r="V24" s="464"/>
      <c r="W24" s="464"/>
      <c r="X24" s="464"/>
      <c r="Y24" s="464"/>
      <c r="Z24" s="465">
        <v>6.2542639622975651</v>
      </c>
      <c r="AA24" s="465"/>
      <c r="AB24" s="440">
        <v>1.0463513292958786</v>
      </c>
      <c r="AC24" s="440"/>
      <c r="AD24" s="440">
        <v>1.4867381671547932</v>
      </c>
      <c r="AE24" s="440"/>
      <c r="AF24" s="440">
        <v>1.8563542667682846</v>
      </c>
      <c r="AG24" s="440"/>
      <c r="AH24" s="466">
        <v>-0.81000293747240604</v>
      </c>
      <c r="AI24" s="466"/>
    </row>
    <row r="25" spans="1:35" ht="10.5" customHeight="1" x14ac:dyDescent="0.25">
      <c r="A25" s="65"/>
      <c r="B25" s="65"/>
      <c r="C25" s="65"/>
      <c r="D25" s="65"/>
      <c r="E25" s="65"/>
      <c r="F25" s="65"/>
      <c r="G25" s="259"/>
      <c r="H25" s="259"/>
      <c r="I25" s="259"/>
      <c r="J25" s="259"/>
      <c r="K25" s="259"/>
      <c r="L25" s="259"/>
      <c r="M25" s="259"/>
      <c r="N25" s="259"/>
      <c r="O25" s="259"/>
      <c r="P25" s="147">
        <f>IF(ISBLANK(Q25)=TRUE,"",15)</f>
        <v>15</v>
      </c>
      <c r="Q25" s="464" t="s">
        <v>333</v>
      </c>
      <c r="R25" s="464"/>
      <c r="S25" s="464"/>
      <c r="T25" s="464"/>
      <c r="U25" s="464"/>
      <c r="V25" s="464"/>
      <c r="W25" s="464"/>
      <c r="X25" s="464"/>
      <c r="Y25" s="464"/>
      <c r="Z25" s="465">
        <v>2.9943734177995665</v>
      </c>
      <c r="AA25" s="465"/>
      <c r="AB25" s="440">
        <v>0.57425514939531197</v>
      </c>
      <c r="AC25" s="440"/>
      <c r="AD25" s="440">
        <v>0.58178341591435923</v>
      </c>
      <c r="AE25" s="440"/>
      <c r="AF25" s="440">
        <v>0.72641985678920451</v>
      </c>
      <c r="AG25" s="440"/>
      <c r="AH25" s="466">
        <v>-0.15216470739389254</v>
      </c>
      <c r="AI25" s="466"/>
    </row>
    <row r="26" spans="1:35" ht="10.5" customHeight="1" x14ac:dyDescent="0.25">
      <c r="A26" s="65"/>
      <c r="B26" s="65"/>
      <c r="C26" s="65"/>
      <c r="D26" s="65"/>
      <c r="E26" s="65"/>
      <c r="F26" s="65"/>
      <c r="G26" s="259"/>
      <c r="H26" s="259"/>
      <c r="I26" s="259"/>
      <c r="J26" s="259"/>
      <c r="K26" s="259"/>
      <c r="L26" s="259"/>
      <c r="M26" s="259"/>
      <c r="N26" s="259"/>
      <c r="O26" s="259"/>
      <c r="P26" s="147">
        <f>IF(ISBLANK(Q26)=TRUE,"",16)</f>
        <v>16</v>
      </c>
      <c r="Q26" s="464" t="s">
        <v>308</v>
      </c>
      <c r="R26" s="464"/>
      <c r="S26" s="464"/>
      <c r="T26" s="464"/>
      <c r="U26" s="464"/>
      <c r="V26" s="464"/>
      <c r="W26" s="464"/>
      <c r="X26" s="464"/>
      <c r="Y26" s="464"/>
      <c r="Z26" s="465">
        <v>1.2214833755816248</v>
      </c>
      <c r="AA26" s="465"/>
      <c r="AB26" s="440">
        <v>1.3756037275364426</v>
      </c>
      <c r="AC26" s="440"/>
      <c r="AD26" s="440">
        <v>1.6052194414074674</v>
      </c>
      <c r="AE26" s="440"/>
      <c r="AF26" s="440">
        <v>2.0042910211007623</v>
      </c>
      <c r="AG26" s="440"/>
      <c r="AH26" s="466">
        <v>-0.62868729356431974</v>
      </c>
      <c r="AI26" s="466"/>
    </row>
    <row r="27" spans="1:35" ht="10.5" customHeight="1" x14ac:dyDescent="0.25">
      <c r="A27" s="65"/>
      <c r="B27" s="65"/>
      <c r="C27" s="65"/>
      <c r="D27" s="65"/>
      <c r="E27" s="65"/>
      <c r="F27" s="65"/>
      <c r="G27" s="259"/>
      <c r="H27" s="259"/>
      <c r="I27" s="259"/>
      <c r="J27" s="259"/>
      <c r="K27" s="259"/>
      <c r="L27" s="259"/>
      <c r="M27" s="259"/>
      <c r="N27" s="259"/>
      <c r="O27" s="259"/>
      <c r="P27" s="147">
        <f>IF(ISBLANK(Q27)=TRUE,"",17)</f>
        <v>17</v>
      </c>
      <c r="Q27" s="449" t="s">
        <v>319</v>
      </c>
      <c r="R27" s="464"/>
      <c r="S27" s="464"/>
      <c r="T27" s="464"/>
      <c r="U27" s="464"/>
      <c r="V27" s="464"/>
      <c r="W27" s="464"/>
      <c r="X27" s="464"/>
      <c r="Y27" s="464"/>
      <c r="Z27" s="448">
        <v>8.6928087975345498</v>
      </c>
      <c r="AA27" s="465"/>
      <c r="AB27" s="448">
        <v>0.82495861727283271</v>
      </c>
      <c r="AC27" s="440"/>
      <c r="AD27" s="448">
        <v>0.34545180423960736</v>
      </c>
      <c r="AE27" s="440"/>
      <c r="AF27" s="448">
        <v>0.43133414136413234</v>
      </c>
      <c r="AG27" s="440"/>
      <c r="AH27" s="470">
        <v>0.39362447590870037</v>
      </c>
      <c r="AI27" s="466"/>
    </row>
    <row r="28" spans="1:35" ht="10.5" customHeight="1" x14ac:dyDescent="0.25">
      <c r="A28" s="65"/>
      <c r="B28" s="65"/>
      <c r="C28" s="65"/>
      <c r="D28" s="65"/>
      <c r="E28" s="65"/>
      <c r="F28" s="65"/>
      <c r="G28" s="259"/>
      <c r="H28" s="259"/>
      <c r="I28" s="259"/>
      <c r="J28" s="259"/>
      <c r="K28" s="259"/>
      <c r="L28" s="259"/>
      <c r="M28" s="259"/>
      <c r="N28" s="259"/>
      <c r="O28" s="259"/>
      <c r="P28" s="147">
        <f>IF(ISBLANK(Q28)=TRUE,"",18)</f>
        <v>18</v>
      </c>
      <c r="Q28" s="464" t="s">
        <v>335</v>
      </c>
      <c r="R28" s="464"/>
      <c r="S28" s="464"/>
      <c r="T28" s="464"/>
      <c r="U28" s="464"/>
      <c r="V28" s="464"/>
      <c r="W28" s="464"/>
      <c r="X28" s="464"/>
      <c r="Y28" s="464"/>
      <c r="Z28" s="465">
        <v>2.131973446106199</v>
      </c>
      <c r="AA28" s="465"/>
      <c r="AB28" s="440">
        <v>0.86964862390834785</v>
      </c>
      <c r="AC28" s="440"/>
      <c r="AD28" s="440">
        <v>0.42812486491735985</v>
      </c>
      <c r="AE28" s="440"/>
      <c r="AF28" s="440">
        <v>0.53456044733138808</v>
      </c>
      <c r="AG28" s="440"/>
      <c r="AH28" s="466">
        <v>0.33508817657695977</v>
      </c>
      <c r="AI28" s="466"/>
    </row>
    <row r="29" spans="1:35" ht="10.5" customHeight="1" x14ac:dyDescent="0.25">
      <c r="A29" s="65"/>
      <c r="B29" s="65"/>
      <c r="C29" s="65"/>
      <c r="D29" s="65"/>
      <c r="E29" s="65"/>
      <c r="F29" s="65"/>
      <c r="G29" s="259"/>
      <c r="H29" s="259"/>
      <c r="I29" s="259"/>
      <c r="J29" s="259"/>
      <c r="K29" s="259"/>
      <c r="L29" s="259"/>
      <c r="M29" s="259"/>
      <c r="N29" s="259"/>
      <c r="O29" s="259"/>
      <c r="P29" s="147">
        <f>IF(ISBLANK(Q29)=TRUE,"",19)</f>
        <v>19</v>
      </c>
      <c r="Q29" s="464" t="s">
        <v>336</v>
      </c>
      <c r="R29" s="464"/>
      <c r="S29" s="464"/>
      <c r="T29" s="464"/>
      <c r="U29" s="464"/>
      <c r="V29" s="464"/>
      <c r="W29" s="464"/>
      <c r="X29" s="464"/>
      <c r="Y29" s="464"/>
      <c r="Z29" s="465">
        <v>1.7445328407307517</v>
      </c>
      <c r="AA29" s="465"/>
      <c r="AB29" s="440">
        <v>0.6302408043882255</v>
      </c>
      <c r="AC29" s="440"/>
      <c r="AD29" s="440">
        <v>0.46708449874468694</v>
      </c>
      <c r="AE29" s="440"/>
      <c r="AF29" s="440">
        <v>0.5832057865611634</v>
      </c>
      <c r="AG29" s="440"/>
      <c r="AH29" s="466">
        <v>4.7035017827062098E-2</v>
      </c>
      <c r="AI29" s="466"/>
    </row>
    <row r="30" spans="1:35" ht="10.5" customHeight="1" x14ac:dyDescent="0.25">
      <c r="A30" s="65"/>
      <c r="B30" s="65"/>
      <c r="C30" s="65"/>
      <c r="D30" s="65"/>
      <c r="E30" s="65"/>
      <c r="F30" s="65"/>
      <c r="G30" s="259"/>
      <c r="H30" s="259"/>
      <c r="I30" s="259"/>
      <c r="J30" s="259"/>
      <c r="K30" s="259"/>
      <c r="L30" s="259"/>
      <c r="M30" s="259"/>
      <c r="N30" s="259"/>
      <c r="O30" s="259"/>
      <c r="P30" s="147">
        <f>IF(ISBLANK(Q30)=TRUE,"",20)</f>
        <v>20</v>
      </c>
      <c r="Q30" s="464" t="s">
        <v>339</v>
      </c>
      <c r="R30" s="464"/>
      <c r="S30" s="464"/>
      <c r="T30" s="464"/>
      <c r="U30" s="464"/>
      <c r="V30" s="464"/>
      <c r="W30" s="464"/>
      <c r="X30" s="464"/>
      <c r="Y30" s="464"/>
      <c r="Z30" s="465">
        <v>4.8163025106975992</v>
      </c>
      <c r="AA30" s="465"/>
      <c r="AB30" s="440">
        <v>0.87570578509636088</v>
      </c>
      <c r="AC30" s="440"/>
      <c r="AD30" s="440">
        <v>0.26479885536830983</v>
      </c>
      <c r="AE30" s="440"/>
      <c r="AF30" s="440">
        <v>0.33063016465033274</v>
      </c>
      <c r="AG30" s="440"/>
      <c r="AH30" s="466">
        <v>0.54507562044602809</v>
      </c>
      <c r="AI30" s="466"/>
    </row>
    <row r="31" spans="1:35" ht="10.5" customHeight="1" x14ac:dyDescent="0.25">
      <c r="A31" s="260"/>
      <c r="B31" s="260"/>
      <c r="C31" s="260"/>
      <c r="D31" s="260"/>
      <c r="E31" s="260"/>
      <c r="F31" s="260"/>
      <c r="G31" s="261"/>
      <c r="H31" s="261"/>
      <c r="I31" s="261"/>
      <c r="J31" s="261"/>
      <c r="K31" s="261"/>
      <c r="L31" s="261"/>
      <c r="M31" s="261"/>
      <c r="N31" s="261"/>
      <c r="O31" s="261"/>
      <c r="P31" s="147">
        <f>IF(ISBLANK(Q31)=TRUE,"",21)</f>
        <v>21</v>
      </c>
      <c r="Q31" s="449" t="s">
        <v>317</v>
      </c>
      <c r="R31" s="464"/>
      <c r="S31" s="464"/>
      <c r="T31" s="464"/>
      <c r="U31" s="464"/>
      <c r="V31" s="464"/>
      <c r="W31" s="464"/>
      <c r="X31" s="464"/>
      <c r="Y31" s="464"/>
      <c r="Z31" s="448">
        <v>14.563052203855554</v>
      </c>
      <c r="AA31" s="465"/>
      <c r="AB31" s="448">
        <v>0.96297433745027849</v>
      </c>
      <c r="AC31" s="440"/>
      <c r="AD31" s="448">
        <v>1.1537179069550207</v>
      </c>
      <c r="AE31" s="440"/>
      <c r="AF31" s="448">
        <v>1.4405422599202735</v>
      </c>
      <c r="AG31" s="440"/>
      <c r="AH31" s="470">
        <v>-0.47756792246999502</v>
      </c>
      <c r="AI31" s="466"/>
    </row>
    <row r="32" spans="1:35" ht="10.5" customHeight="1" x14ac:dyDescent="0.25">
      <c r="A32" s="65"/>
      <c r="B32" s="65"/>
      <c r="C32" s="65"/>
      <c r="D32" s="65"/>
      <c r="E32" s="65"/>
      <c r="F32" s="65"/>
      <c r="G32" s="259"/>
      <c r="H32" s="259"/>
      <c r="I32" s="259"/>
      <c r="J32" s="259"/>
      <c r="K32" s="259"/>
      <c r="L32" s="259"/>
      <c r="M32" s="259"/>
      <c r="N32" s="259"/>
      <c r="O32" s="259"/>
      <c r="P32" s="147">
        <f>IF(ISBLANK(Q32)=TRUE,"",22)</f>
        <v>22</v>
      </c>
      <c r="Q32" s="464" t="s">
        <v>312</v>
      </c>
      <c r="R32" s="464"/>
      <c r="S32" s="464"/>
      <c r="T32" s="464"/>
      <c r="U32" s="464"/>
      <c r="V32" s="464"/>
      <c r="W32" s="464"/>
      <c r="X32" s="464"/>
      <c r="Y32" s="464"/>
      <c r="Z32" s="465">
        <v>2.6002025632982382</v>
      </c>
      <c r="AA32" s="465"/>
      <c r="AB32" s="440">
        <v>0.89036567185711524</v>
      </c>
      <c r="AC32" s="440"/>
      <c r="AD32" s="440">
        <v>0.26451556101518625</v>
      </c>
      <c r="AE32" s="440"/>
      <c r="AF32" s="440">
        <v>0.33027644084556262</v>
      </c>
      <c r="AG32" s="440"/>
      <c r="AH32" s="466">
        <v>0.56008923101155261</v>
      </c>
      <c r="AI32" s="466"/>
    </row>
    <row r="33" spans="1:35" ht="10.5" customHeight="1" x14ac:dyDescent="0.25">
      <c r="A33" s="65"/>
      <c r="B33" s="65"/>
      <c r="C33" s="65"/>
      <c r="D33" s="65"/>
      <c r="E33" s="65"/>
      <c r="F33" s="65"/>
      <c r="G33" s="259"/>
      <c r="H33" s="259"/>
      <c r="I33" s="259"/>
      <c r="J33" s="259"/>
      <c r="K33" s="259"/>
      <c r="L33" s="259"/>
      <c r="M33" s="259"/>
      <c r="N33" s="259"/>
      <c r="O33" s="259"/>
      <c r="P33" s="147">
        <f>IF(ISBLANK(Q33)=TRUE,"",23)</f>
        <v>23</v>
      </c>
      <c r="Q33" s="464" t="s">
        <v>307</v>
      </c>
      <c r="R33" s="464"/>
      <c r="S33" s="464"/>
      <c r="T33" s="464"/>
      <c r="U33" s="464"/>
      <c r="V33" s="464"/>
      <c r="W33" s="464"/>
      <c r="X33" s="464"/>
      <c r="Y33" s="464"/>
      <c r="Z33" s="465">
        <v>2.9539219988021599</v>
      </c>
      <c r="AA33" s="465"/>
      <c r="AB33" s="440">
        <v>0.73676292898015627</v>
      </c>
      <c r="AC33" s="440"/>
      <c r="AD33" s="440">
        <v>1.6418692303993967</v>
      </c>
      <c r="AE33" s="440"/>
      <c r="AF33" s="440">
        <v>2.0500522678854076</v>
      </c>
      <c r="AG33" s="440"/>
      <c r="AH33" s="466">
        <v>-1.3132893389052513</v>
      </c>
      <c r="AI33" s="466"/>
    </row>
    <row r="34" spans="1:35" ht="10.5" customHeight="1" x14ac:dyDescent="0.25">
      <c r="A34" s="260"/>
      <c r="B34" s="260"/>
      <c r="C34" s="260"/>
      <c r="D34" s="260"/>
      <c r="E34" s="260"/>
      <c r="F34" s="260"/>
      <c r="G34" s="261"/>
      <c r="H34" s="261"/>
      <c r="I34" s="261"/>
      <c r="J34" s="261"/>
      <c r="K34" s="261"/>
      <c r="L34" s="261"/>
      <c r="M34" s="261"/>
      <c r="N34" s="261"/>
      <c r="O34" s="261"/>
      <c r="P34" s="147">
        <f>IF(ISBLANK(Q34)=TRUE,"",24)</f>
        <v>24</v>
      </c>
      <c r="Q34" s="464" t="s">
        <v>342</v>
      </c>
      <c r="R34" s="464"/>
      <c r="S34" s="464"/>
      <c r="T34" s="464"/>
      <c r="U34" s="464"/>
      <c r="V34" s="464"/>
      <c r="W34" s="464"/>
      <c r="X34" s="464"/>
      <c r="Y34" s="464"/>
      <c r="Z34" s="465">
        <v>2.6503264412856242</v>
      </c>
      <c r="AA34" s="465"/>
      <c r="AB34" s="440">
        <v>0.56030430209459359</v>
      </c>
      <c r="AC34" s="440"/>
      <c r="AD34" s="440">
        <v>1.1640465976439374</v>
      </c>
      <c r="AE34" s="440"/>
      <c r="AF34" s="440">
        <v>1.453438753367525</v>
      </c>
      <c r="AG34" s="440"/>
      <c r="AH34" s="466">
        <v>-0.89313445127293145</v>
      </c>
      <c r="AI34" s="466"/>
    </row>
    <row r="35" spans="1:35" ht="10.5" customHeight="1" x14ac:dyDescent="0.25">
      <c r="A35" s="65"/>
      <c r="B35" s="65"/>
      <c r="C35" s="65"/>
      <c r="D35" s="65"/>
      <c r="E35" s="65"/>
      <c r="F35" s="65"/>
      <c r="G35" s="259"/>
      <c r="H35" s="259"/>
      <c r="I35" s="259"/>
      <c r="J35" s="259"/>
      <c r="K35" s="259"/>
      <c r="L35" s="259"/>
      <c r="M35" s="259"/>
      <c r="N35" s="259"/>
      <c r="O35" s="259"/>
      <c r="P35" s="147">
        <f>IF(ISBLANK(Q35)=TRUE,"",25)</f>
        <v>25</v>
      </c>
      <c r="Q35" s="464" t="s">
        <v>306</v>
      </c>
      <c r="R35" s="464"/>
      <c r="S35" s="464"/>
      <c r="T35" s="464"/>
      <c r="U35" s="464"/>
      <c r="V35" s="464"/>
      <c r="W35" s="464"/>
      <c r="X35" s="464"/>
      <c r="Y35" s="464"/>
      <c r="Z35" s="465">
        <v>0.86866099113325401</v>
      </c>
      <c r="AA35" s="465"/>
      <c r="AB35" s="440">
        <v>0.48438409188778858</v>
      </c>
      <c r="AC35" s="440"/>
      <c r="AD35" s="440">
        <v>1.3853513642716708</v>
      </c>
      <c r="AE35" s="440"/>
      <c r="AF35" s="440">
        <v>1.7297618187609192</v>
      </c>
      <c r="AG35" s="440"/>
      <c r="AH35" s="466">
        <v>-1.2453777268731305</v>
      </c>
      <c r="AI35" s="466"/>
    </row>
    <row r="36" spans="1:35" ht="10.5" customHeight="1" x14ac:dyDescent="0.25">
      <c r="A36" s="65"/>
      <c r="B36" s="65"/>
      <c r="C36" s="65"/>
      <c r="D36" s="65"/>
      <c r="E36" s="65"/>
      <c r="F36" s="65"/>
      <c r="G36" s="259"/>
      <c r="H36" s="259"/>
      <c r="I36" s="259"/>
      <c r="J36" s="259"/>
      <c r="K36" s="259"/>
      <c r="L36" s="259"/>
      <c r="M36" s="259"/>
      <c r="N36" s="259"/>
      <c r="O36" s="259"/>
      <c r="P36" s="147">
        <f>IF(ISBLANK(Q36)=TRUE,"",26)</f>
        <v>26</v>
      </c>
      <c r="Q36" s="464" t="s">
        <v>345</v>
      </c>
      <c r="R36" s="464"/>
      <c r="S36" s="464"/>
      <c r="T36" s="464"/>
      <c r="U36" s="464"/>
      <c r="V36" s="464"/>
      <c r="W36" s="464"/>
      <c r="X36" s="464"/>
      <c r="Y36" s="464"/>
      <c r="Z36" s="465">
        <v>5.4899402093362788</v>
      </c>
      <c r="AA36" s="465"/>
      <c r="AB36" s="440">
        <v>1.389198981781846</v>
      </c>
      <c r="AC36" s="440"/>
      <c r="AD36" s="440">
        <v>1.2705789129085776</v>
      </c>
      <c r="AE36" s="440"/>
      <c r="AF36" s="440">
        <v>1.5864559330964136</v>
      </c>
      <c r="AG36" s="440"/>
      <c r="AH36" s="466">
        <v>-0.19725695131456766</v>
      </c>
      <c r="AI36" s="466"/>
    </row>
    <row r="37" spans="1:35" ht="10.5" customHeight="1" x14ac:dyDescent="0.25">
      <c r="A37" s="65"/>
      <c r="B37" s="65"/>
      <c r="C37" s="65"/>
      <c r="D37" s="65"/>
      <c r="E37" s="65"/>
      <c r="F37" s="65"/>
      <c r="G37" s="259"/>
      <c r="H37" s="259"/>
      <c r="I37" s="259"/>
      <c r="J37" s="259"/>
      <c r="K37" s="259"/>
      <c r="L37" s="259"/>
      <c r="M37" s="259"/>
      <c r="N37" s="259"/>
      <c r="O37" s="259"/>
      <c r="P37" s="147">
        <f>IF(ISBLANK(Q37)=TRUE,"",27)</f>
        <v>27</v>
      </c>
      <c r="Q37" s="449" t="s">
        <v>315</v>
      </c>
      <c r="R37" s="464"/>
      <c r="S37" s="464"/>
      <c r="T37" s="464"/>
      <c r="U37" s="464"/>
      <c r="V37" s="464"/>
      <c r="W37" s="464"/>
      <c r="X37" s="464"/>
      <c r="Y37" s="464"/>
      <c r="Z37" s="448">
        <v>29.910413520474709</v>
      </c>
      <c r="AA37" s="465"/>
      <c r="AB37" s="448">
        <v>1.098552404780093</v>
      </c>
      <c r="AC37" s="440"/>
      <c r="AD37" s="448">
        <v>0.58772091420490524</v>
      </c>
      <c r="AE37" s="440"/>
      <c r="AF37" s="448">
        <v>0.73383346903720958</v>
      </c>
      <c r="AG37" s="440"/>
      <c r="AH37" s="470">
        <v>0.36471893574288339</v>
      </c>
      <c r="AI37" s="466"/>
    </row>
    <row r="38" spans="1:35" ht="10.5" customHeight="1" x14ac:dyDescent="0.25">
      <c r="A38" s="65"/>
      <c r="B38" s="65"/>
      <c r="C38" s="65"/>
      <c r="D38" s="65"/>
      <c r="E38" s="65"/>
      <c r="F38" s="65"/>
      <c r="G38" s="56"/>
      <c r="H38" s="169"/>
      <c r="I38" s="259"/>
      <c r="J38" s="259"/>
      <c r="K38" s="259"/>
      <c r="L38" s="259"/>
      <c r="M38" s="259"/>
      <c r="N38" s="259"/>
      <c r="O38" s="259"/>
      <c r="P38" s="147">
        <f>IF(ISBLANK(Q38)=TRUE,"",28)</f>
        <v>28</v>
      </c>
      <c r="Q38" s="464" t="s">
        <v>328</v>
      </c>
      <c r="R38" s="464"/>
      <c r="S38" s="464"/>
      <c r="T38" s="464"/>
      <c r="U38" s="464"/>
      <c r="V38" s="464"/>
      <c r="W38" s="464"/>
      <c r="X38" s="464"/>
      <c r="Y38" s="464"/>
      <c r="Z38" s="465">
        <v>5.0884559134344611</v>
      </c>
      <c r="AA38" s="465"/>
      <c r="AB38" s="440">
        <v>0.90210471791805935</v>
      </c>
      <c r="AC38" s="440"/>
      <c r="AD38" s="440">
        <v>0.412639379582385</v>
      </c>
      <c r="AE38" s="440"/>
      <c r="AF38" s="440">
        <v>0.51522513502851297</v>
      </c>
      <c r="AG38" s="440"/>
      <c r="AH38" s="466">
        <v>0.38687958288954638</v>
      </c>
      <c r="AI38" s="466"/>
    </row>
    <row r="39" spans="1:35" ht="10.5" customHeight="1" x14ac:dyDescent="0.25">
      <c r="A39" s="65"/>
      <c r="B39" s="65"/>
      <c r="C39" s="65"/>
      <c r="D39" s="65"/>
      <c r="E39" s="65"/>
      <c r="F39" s="65"/>
      <c r="G39" s="56"/>
      <c r="H39" s="169"/>
      <c r="I39" s="259"/>
      <c r="J39" s="259"/>
      <c r="K39" s="259"/>
      <c r="L39" s="259"/>
      <c r="M39" s="259"/>
      <c r="N39" s="259"/>
      <c r="O39" s="259"/>
      <c r="P39" s="147">
        <f>IF(ISBLANK(Q39)=TRUE,"",29)</f>
        <v>29</v>
      </c>
      <c r="Q39" s="464" t="s">
        <v>331</v>
      </c>
      <c r="R39" s="464"/>
      <c r="S39" s="464"/>
      <c r="T39" s="464"/>
      <c r="U39" s="464"/>
      <c r="V39" s="464"/>
      <c r="W39" s="464"/>
      <c r="X39" s="464"/>
      <c r="Y39" s="464"/>
      <c r="Z39" s="465">
        <v>1.9781361566591196</v>
      </c>
      <c r="AA39" s="465"/>
      <c r="AB39" s="440">
        <v>1.7007493867712347</v>
      </c>
      <c r="AC39" s="440"/>
      <c r="AD39" s="440">
        <v>1.3654622025908845</v>
      </c>
      <c r="AE39" s="440"/>
      <c r="AF39" s="440">
        <v>1.7049280376929319</v>
      </c>
      <c r="AG39" s="440"/>
      <c r="AH39" s="466">
        <v>-4.1786509216972245E-3</v>
      </c>
      <c r="AI39" s="466"/>
    </row>
    <row r="40" spans="1:35" ht="10.5" customHeight="1" x14ac:dyDescent="0.25">
      <c r="A40" s="65"/>
      <c r="B40" s="65"/>
      <c r="C40" s="65"/>
      <c r="D40" s="65"/>
      <c r="E40" s="65"/>
      <c r="F40" s="65"/>
      <c r="G40" s="56"/>
      <c r="H40" s="169"/>
      <c r="I40" s="259"/>
      <c r="J40" s="259"/>
      <c r="K40" s="259"/>
      <c r="L40" s="259"/>
      <c r="M40" s="259"/>
      <c r="N40" s="259"/>
      <c r="O40" s="259"/>
      <c r="P40" s="147">
        <f>IF(ISBLANK(Q40)=TRUE,"",30)</f>
        <v>30</v>
      </c>
      <c r="Q40" s="464" t="s">
        <v>311</v>
      </c>
      <c r="R40" s="464"/>
      <c r="S40" s="464"/>
      <c r="T40" s="464"/>
      <c r="U40" s="464"/>
      <c r="V40" s="464"/>
      <c r="W40" s="464"/>
      <c r="X40" s="464"/>
      <c r="Y40" s="464"/>
      <c r="Z40" s="465">
        <v>9.3802814854689185</v>
      </c>
      <c r="AA40" s="465"/>
      <c r="AB40" s="440">
        <v>1.4252162442827232</v>
      </c>
      <c r="AC40" s="440"/>
      <c r="AD40" s="440">
        <v>0.44421708388188796</v>
      </c>
      <c r="AE40" s="440"/>
      <c r="AF40" s="440">
        <v>0.55465333254583404</v>
      </c>
      <c r="AG40" s="440"/>
      <c r="AH40" s="466">
        <v>0.87056291173688916</v>
      </c>
      <c r="AI40" s="466"/>
    </row>
    <row r="41" spans="1:35" ht="10.5" customHeight="1" x14ac:dyDescent="0.25">
      <c r="A41" s="65"/>
      <c r="B41" s="65"/>
      <c r="C41" s="65"/>
      <c r="D41" s="65"/>
      <c r="E41" s="65"/>
      <c r="F41" s="65"/>
      <c r="G41" s="56"/>
      <c r="H41" s="169"/>
      <c r="I41" s="259"/>
      <c r="J41" s="259"/>
      <c r="K41" s="259"/>
      <c r="L41" s="259"/>
      <c r="M41" s="259"/>
      <c r="N41" s="259"/>
      <c r="O41" s="259"/>
      <c r="P41" s="147">
        <f>IF(ISBLANK(Q41)=TRUE,"",31)</f>
        <v>31</v>
      </c>
      <c r="Q41" s="464" t="s">
        <v>309</v>
      </c>
      <c r="R41" s="464"/>
      <c r="S41" s="464"/>
      <c r="T41" s="464"/>
      <c r="U41" s="464"/>
      <c r="V41" s="464"/>
      <c r="W41" s="464"/>
      <c r="X41" s="464"/>
      <c r="Y41" s="464"/>
      <c r="Z41" s="465">
        <v>1.9130169420027179</v>
      </c>
      <c r="AA41" s="465"/>
      <c r="AB41" s="440">
        <v>1.2936613506325858</v>
      </c>
      <c r="AC41" s="440"/>
      <c r="AD41" s="440">
        <v>0.20032400543548382</v>
      </c>
      <c r="AE41" s="440"/>
      <c r="AF41" s="440">
        <v>0.25012630363686372</v>
      </c>
      <c r="AG41" s="440"/>
      <c r="AH41" s="466">
        <v>1.0435350469957221</v>
      </c>
      <c r="AI41" s="466"/>
    </row>
    <row r="42" spans="1:35" ht="10.5" customHeight="1" x14ac:dyDescent="0.25">
      <c r="A42" s="65"/>
      <c r="B42" s="65"/>
      <c r="C42" s="65"/>
      <c r="D42" s="65"/>
      <c r="E42" s="65"/>
      <c r="F42" s="65"/>
      <c r="G42" s="56"/>
      <c r="H42" s="169"/>
      <c r="I42" s="259"/>
      <c r="J42" s="259"/>
      <c r="K42" s="259"/>
      <c r="L42" s="259"/>
      <c r="M42" s="259"/>
      <c r="N42" s="259"/>
      <c r="O42" s="259"/>
      <c r="P42" s="147">
        <f>IF(ISBLANK(Q42)=TRUE,"",32)</f>
        <v>32</v>
      </c>
      <c r="Q42" s="464" t="s">
        <v>334</v>
      </c>
      <c r="R42" s="464"/>
      <c r="S42" s="464"/>
      <c r="T42" s="464"/>
      <c r="U42" s="464"/>
      <c r="V42" s="464"/>
      <c r="W42" s="464"/>
      <c r="X42" s="464"/>
      <c r="Y42" s="464"/>
      <c r="Z42" s="465">
        <v>7.9690284301623793</v>
      </c>
      <c r="AA42" s="465"/>
      <c r="AB42" s="440">
        <v>0.71204297040772346</v>
      </c>
      <c r="AC42" s="440"/>
      <c r="AD42" s="440">
        <v>0.33876464644349297</v>
      </c>
      <c r="AE42" s="440"/>
      <c r="AF42" s="440">
        <v>0.42298449770688673</v>
      </c>
      <c r="AG42" s="440"/>
      <c r="AH42" s="466">
        <v>0.28905847270083673</v>
      </c>
      <c r="AI42" s="466"/>
    </row>
    <row r="43" spans="1:35" ht="10.5" customHeight="1" x14ac:dyDescent="0.25">
      <c r="A43" s="57"/>
      <c r="B43" s="57"/>
      <c r="C43" s="57"/>
      <c r="D43" s="57"/>
      <c r="E43" s="57"/>
      <c r="F43" s="57"/>
      <c r="G43" s="57"/>
      <c r="H43" s="169"/>
      <c r="I43" s="57"/>
      <c r="J43" s="57"/>
      <c r="K43" s="20"/>
      <c r="L43" s="20"/>
      <c r="M43" s="20"/>
      <c r="N43" s="20"/>
      <c r="O43" s="20"/>
      <c r="P43" s="147">
        <f>IF(ISBLANK(Q43)=TRUE,"",33)</f>
        <v>33</v>
      </c>
      <c r="Q43" s="464" t="s">
        <v>349</v>
      </c>
      <c r="R43" s="464"/>
      <c r="S43" s="464"/>
      <c r="T43" s="464"/>
      <c r="U43" s="464"/>
      <c r="V43" s="464"/>
      <c r="W43" s="464"/>
      <c r="X43" s="464"/>
      <c r="Y43" s="464"/>
      <c r="Z43" s="465">
        <v>3.5814945927471151</v>
      </c>
      <c r="AA43" s="465"/>
      <c r="AB43" s="440">
        <v>0.94527755569980543</v>
      </c>
      <c r="AC43" s="440"/>
      <c r="AD43" s="440">
        <v>1.5436233081717392</v>
      </c>
      <c r="AE43" s="440"/>
      <c r="AF43" s="440">
        <v>1.9273815509097507</v>
      </c>
      <c r="AG43" s="440"/>
      <c r="AH43" s="466">
        <v>-0.98210399520994529</v>
      </c>
      <c r="AI43" s="466"/>
    </row>
    <row r="44" spans="1:35" ht="10.5" customHeight="1" x14ac:dyDescent="0.25">
      <c r="A44" s="263"/>
      <c r="B44" s="263"/>
      <c r="C44" s="263"/>
      <c r="D44" s="263"/>
      <c r="E44" s="263"/>
      <c r="F44" s="263"/>
      <c r="G44" s="264"/>
      <c r="H44" s="169"/>
      <c r="I44" s="265"/>
      <c r="J44" s="265"/>
      <c r="K44" s="265"/>
      <c r="L44" s="265"/>
      <c r="M44" s="265"/>
      <c r="N44" s="265"/>
      <c r="O44" s="265"/>
      <c r="P44" s="147">
        <f>IF(ISBLANK(Q44)=TRUE,"",34)</f>
        <v>34</v>
      </c>
      <c r="Q44" s="449" t="s">
        <v>316</v>
      </c>
      <c r="R44" s="464"/>
      <c r="S44" s="464"/>
      <c r="T44" s="464"/>
      <c r="U44" s="464"/>
      <c r="V44" s="464"/>
      <c r="W44" s="464"/>
      <c r="X44" s="464"/>
      <c r="Y44" s="464"/>
      <c r="Z44" s="448">
        <v>19.285614181228112</v>
      </c>
      <c r="AA44" s="465"/>
      <c r="AB44" s="448">
        <v>0.82337776998936218</v>
      </c>
      <c r="AC44" s="440"/>
      <c r="AD44" s="448">
        <v>0.52088268005203409</v>
      </c>
      <c r="AE44" s="440"/>
      <c r="AF44" s="448">
        <v>0.6503786658351115</v>
      </c>
      <c r="AG44" s="440"/>
      <c r="AH44" s="470">
        <v>0.17299910415425068</v>
      </c>
      <c r="AI44" s="466"/>
    </row>
    <row r="45" spans="1:35" ht="10.5" customHeight="1" x14ac:dyDescent="0.25">
      <c r="A45" s="60"/>
      <c r="B45" s="60"/>
      <c r="C45" s="60"/>
      <c r="D45" s="60"/>
      <c r="E45" s="60"/>
      <c r="F45" s="60"/>
      <c r="G45" s="266"/>
      <c r="H45" s="169"/>
      <c r="I45" s="266"/>
      <c r="J45" s="266"/>
      <c r="K45" s="266"/>
      <c r="L45" s="266"/>
      <c r="M45" s="266"/>
      <c r="N45" s="266"/>
      <c r="O45" s="267"/>
      <c r="P45" s="147">
        <f>IF(ISBLANK(Q45)=TRUE,"",35)</f>
        <v>35</v>
      </c>
      <c r="Q45" s="464" t="s">
        <v>324</v>
      </c>
      <c r="R45" s="464"/>
      <c r="S45" s="464"/>
      <c r="T45" s="464"/>
      <c r="U45" s="464"/>
      <c r="V45" s="464"/>
      <c r="W45" s="464"/>
      <c r="X45" s="464"/>
      <c r="Y45" s="464"/>
      <c r="Z45" s="465">
        <v>0.38382851098378462</v>
      </c>
      <c r="AA45" s="465"/>
      <c r="AB45" s="440">
        <v>-0.59150315309951873</v>
      </c>
      <c r="AC45" s="440"/>
      <c r="AD45" s="440">
        <v>0.67609513124563136</v>
      </c>
      <c r="AE45" s="440"/>
      <c r="AF45" s="440">
        <v>0.84417828865653699</v>
      </c>
      <c r="AG45" s="440"/>
      <c r="AH45" s="466">
        <v>-1.4356814417560557</v>
      </c>
      <c r="AI45" s="466"/>
    </row>
    <row r="46" spans="1:35" ht="10.5" customHeight="1" x14ac:dyDescent="0.25">
      <c r="A46" s="65"/>
      <c r="B46" s="65"/>
      <c r="C46" s="65"/>
      <c r="D46" s="65"/>
      <c r="E46" s="65"/>
      <c r="F46" s="480" t="s">
        <v>264</v>
      </c>
      <c r="G46" s="480"/>
      <c r="H46" s="480"/>
      <c r="I46" s="480"/>
      <c r="J46" s="480"/>
      <c r="K46" s="480"/>
      <c r="L46" s="259"/>
      <c r="M46" s="259"/>
      <c r="N46" s="259"/>
      <c r="O46" s="259"/>
      <c r="P46" s="147">
        <f>IF(ISBLANK(Q46)=TRUE,"",36)</f>
        <v>36</v>
      </c>
      <c r="Q46" s="464" t="s">
        <v>325</v>
      </c>
      <c r="R46" s="464"/>
      <c r="S46" s="464"/>
      <c r="T46" s="464"/>
      <c r="U46" s="464"/>
      <c r="V46" s="464"/>
      <c r="W46" s="464"/>
      <c r="X46" s="464"/>
      <c r="Y46" s="464"/>
      <c r="Z46" s="465">
        <v>2.2527338817128491</v>
      </c>
      <c r="AA46" s="465"/>
      <c r="AB46" s="440">
        <v>0.76373881324272452</v>
      </c>
      <c r="AC46" s="440"/>
      <c r="AD46" s="440">
        <v>0.4362011259307278</v>
      </c>
      <c r="AE46" s="440"/>
      <c r="AF46" s="440">
        <v>0.54464453740382035</v>
      </c>
      <c r="AG46" s="440"/>
      <c r="AH46" s="466">
        <v>0.21909427583890417</v>
      </c>
      <c r="AI46" s="466"/>
    </row>
    <row r="47" spans="1:35" ht="10.5" customHeight="1" x14ac:dyDescent="0.25">
      <c r="A47" s="65"/>
      <c r="B47" s="65"/>
      <c r="C47" s="65"/>
      <c r="D47" s="65"/>
      <c r="E47" s="65"/>
      <c r="F47" s="65"/>
      <c r="G47" s="56"/>
      <c r="H47" s="169"/>
      <c r="I47" s="259"/>
      <c r="J47" s="259"/>
      <c r="K47" s="259"/>
      <c r="L47" s="259"/>
      <c r="M47" s="259"/>
      <c r="N47" s="259"/>
      <c r="O47" s="259"/>
      <c r="P47" s="147">
        <f>IF(ISBLANK(Q47)=TRUE,"",37)</f>
        <v>37</v>
      </c>
      <c r="Q47" s="464" t="s">
        <v>327</v>
      </c>
      <c r="R47" s="464"/>
      <c r="S47" s="464"/>
      <c r="T47" s="464"/>
      <c r="U47" s="464"/>
      <c r="V47" s="464"/>
      <c r="W47" s="464"/>
      <c r="X47" s="464"/>
      <c r="Y47" s="464"/>
      <c r="Z47" s="465">
        <v>2.3161392028527477</v>
      </c>
      <c r="AA47" s="465"/>
      <c r="AB47" s="440">
        <v>1.2240245840614499</v>
      </c>
      <c r="AC47" s="440"/>
      <c r="AD47" s="440">
        <v>0.81853224784519762</v>
      </c>
      <c r="AE47" s="440"/>
      <c r="AF47" s="440">
        <v>1.0220265170717613</v>
      </c>
      <c r="AG47" s="440"/>
      <c r="AH47" s="466">
        <v>0.20199806698968858</v>
      </c>
      <c r="AI47" s="466"/>
    </row>
    <row r="48" spans="1:35" ht="10.5" customHeight="1" x14ac:dyDescent="0.25">
      <c r="A48" s="65"/>
      <c r="B48" s="65"/>
      <c r="C48" s="65"/>
      <c r="D48" s="65"/>
      <c r="E48" s="65"/>
      <c r="F48" s="65"/>
      <c r="G48" s="56"/>
      <c r="H48" s="169"/>
      <c r="I48" s="259"/>
      <c r="J48" s="259"/>
      <c r="K48" s="259"/>
      <c r="L48" s="259"/>
      <c r="M48" s="259"/>
      <c r="N48" s="259"/>
      <c r="O48" s="259"/>
      <c r="P48" s="147">
        <f>IF(ISBLANK(Q48)=TRUE,"",38)</f>
        <v>38</v>
      </c>
      <c r="Q48" s="464" t="s">
        <v>340</v>
      </c>
      <c r="R48" s="464"/>
      <c r="S48" s="464"/>
      <c r="T48" s="464"/>
      <c r="U48" s="464"/>
      <c r="V48" s="464"/>
      <c r="W48" s="464"/>
      <c r="X48" s="464"/>
      <c r="Y48" s="464"/>
      <c r="Z48" s="465">
        <v>0.70577308237002512</v>
      </c>
      <c r="AA48" s="465"/>
      <c r="AB48" s="440">
        <v>9.619057318761301E-2</v>
      </c>
      <c r="AC48" s="440"/>
      <c r="AD48" s="440">
        <v>0.26970978132508283</v>
      </c>
      <c r="AE48" s="440"/>
      <c r="AF48" s="440">
        <v>0.3367619897121033</v>
      </c>
      <c r="AG48" s="440"/>
      <c r="AH48" s="466">
        <v>-0.24057141652449029</v>
      </c>
      <c r="AI48" s="466"/>
    </row>
    <row r="49" spans="1:35" ht="10.5" customHeight="1" x14ac:dyDescent="0.25">
      <c r="A49" s="54"/>
      <c r="B49" s="54"/>
      <c r="C49" s="54"/>
      <c r="D49" s="54"/>
      <c r="E49" s="54"/>
      <c r="F49" s="54"/>
      <c r="G49" s="19"/>
      <c r="H49" s="55"/>
      <c r="I49" s="21"/>
      <c r="J49" s="21"/>
      <c r="K49" s="21"/>
      <c r="L49" s="21"/>
      <c r="M49" s="21"/>
      <c r="N49" s="21"/>
      <c r="O49" s="21"/>
      <c r="P49" s="147">
        <f>IF(ISBLANK(Q49)=TRUE,"",39)</f>
        <v>39</v>
      </c>
      <c r="Q49" s="464" t="s">
        <v>343</v>
      </c>
      <c r="R49" s="464"/>
      <c r="S49" s="464"/>
      <c r="T49" s="464"/>
      <c r="U49" s="464"/>
      <c r="V49" s="464"/>
      <c r="W49" s="464"/>
      <c r="X49" s="464"/>
      <c r="Y49" s="464"/>
      <c r="Z49" s="465">
        <v>3.7762458905684366</v>
      </c>
      <c r="AA49" s="465"/>
      <c r="AB49" s="440">
        <v>0.81454710070217551</v>
      </c>
      <c r="AC49" s="440"/>
      <c r="AD49" s="440">
        <v>0.52597055535524118</v>
      </c>
      <c r="AE49" s="440"/>
      <c r="AF49" s="440">
        <v>0.65673143139704249</v>
      </c>
      <c r="AG49" s="440"/>
      <c r="AH49" s="466">
        <v>0.15781566930513302</v>
      </c>
      <c r="AI49" s="466"/>
    </row>
    <row r="50" spans="1:35" ht="10.5" customHeight="1" x14ac:dyDescent="0.25">
      <c r="A50" s="54"/>
      <c r="B50" s="54"/>
      <c r="C50" s="54"/>
      <c r="D50" s="54"/>
      <c r="E50" s="54"/>
      <c r="F50" s="54"/>
      <c r="G50" s="19"/>
      <c r="H50" s="55"/>
      <c r="I50" s="21"/>
      <c r="J50" s="21"/>
      <c r="K50" s="21"/>
      <c r="L50" s="21"/>
      <c r="M50" s="21"/>
      <c r="N50" s="21"/>
      <c r="O50" s="21"/>
      <c r="P50" s="147">
        <f>IF(ISBLANK(Q50)=TRUE,"",40)</f>
        <v>40</v>
      </c>
      <c r="Q50" s="464" t="s">
        <v>344</v>
      </c>
      <c r="R50" s="464"/>
      <c r="S50" s="464"/>
      <c r="T50" s="464"/>
      <c r="U50" s="464"/>
      <c r="V50" s="464"/>
      <c r="W50" s="464"/>
      <c r="X50" s="464"/>
      <c r="Y50" s="464"/>
      <c r="Z50" s="465">
        <v>2.4542567512496194</v>
      </c>
      <c r="AA50" s="465"/>
      <c r="AB50" s="440">
        <v>0.4723515398106492</v>
      </c>
      <c r="AC50" s="440"/>
      <c r="AD50" s="440">
        <v>8.222469910602935E-2</v>
      </c>
      <c r="AE50" s="440"/>
      <c r="AF50" s="440">
        <v>0.1026664777909901</v>
      </c>
      <c r="AG50" s="440"/>
      <c r="AH50" s="466">
        <v>0.36968506201965912</v>
      </c>
      <c r="AI50" s="466"/>
    </row>
    <row r="51" spans="1:35" ht="10.5" customHeight="1" x14ac:dyDescent="0.25">
      <c r="A51" s="54"/>
      <c r="B51" s="54"/>
      <c r="C51" s="54"/>
      <c r="D51" s="54"/>
      <c r="E51" s="54"/>
      <c r="F51" s="54"/>
      <c r="G51" s="19"/>
      <c r="H51" s="55"/>
      <c r="I51" s="21"/>
      <c r="J51" s="21"/>
      <c r="K51" s="21"/>
      <c r="L51" s="21"/>
      <c r="M51" s="21"/>
      <c r="N51" s="21"/>
      <c r="O51" s="21"/>
      <c r="P51" s="147">
        <f>IF(ISBLANK(Q51)=TRUE,"",41)</f>
        <v>41</v>
      </c>
      <c r="Q51" s="464" t="s">
        <v>347</v>
      </c>
      <c r="R51" s="464"/>
      <c r="S51" s="464"/>
      <c r="T51" s="464"/>
      <c r="U51" s="464"/>
      <c r="V51" s="464"/>
      <c r="W51" s="464"/>
      <c r="X51" s="464"/>
      <c r="Y51" s="464"/>
      <c r="Z51" s="465">
        <v>3.5329347545007139</v>
      </c>
      <c r="AA51" s="465"/>
      <c r="AB51" s="440">
        <v>1.2224809786082593</v>
      </c>
      <c r="AC51" s="440"/>
      <c r="AD51" s="440">
        <v>0.40116845431613923</v>
      </c>
      <c r="AE51" s="440"/>
      <c r="AF51" s="440">
        <v>0.5009024375070471</v>
      </c>
      <c r="AG51" s="440"/>
      <c r="AH51" s="466">
        <v>0.72157854110121222</v>
      </c>
      <c r="AI51" s="466"/>
    </row>
    <row r="52" spans="1:35" ht="10.5" customHeight="1" x14ac:dyDescent="0.25">
      <c r="A52" s="54"/>
      <c r="B52" s="54"/>
      <c r="C52" s="54"/>
      <c r="D52" s="54"/>
      <c r="E52" s="54"/>
      <c r="F52" s="54"/>
      <c r="G52" s="19"/>
      <c r="H52" s="55"/>
      <c r="I52" s="21"/>
      <c r="J52" s="21"/>
      <c r="K52" s="21"/>
      <c r="L52" s="21"/>
      <c r="M52" s="21"/>
      <c r="N52" s="21"/>
      <c r="O52" s="21"/>
      <c r="P52" s="147">
        <f>IF(ISBLANK(Q52)=TRUE,"",42)</f>
        <v>42</v>
      </c>
      <c r="Q52" s="464" t="s">
        <v>348</v>
      </c>
      <c r="R52" s="464"/>
      <c r="S52" s="464"/>
      <c r="T52" s="464"/>
      <c r="U52" s="464"/>
      <c r="V52" s="464"/>
      <c r="W52" s="464"/>
      <c r="X52" s="464"/>
      <c r="Y52" s="464"/>
      <c r="Z52" s="465">
        <v>3.8637021069899324</v>
      </c>
      <c r="AA52" s="465"/>
      <c r="AB52" s="440">
        <v>0.75803820129462485</v>
      </c>
      <c r="AC52" s="440"/>
      <c r="AD52" s="440">
        <v>0.80542119820128499</v>
      </c>
      <c r="AE52" s="440"/>
      <c r="AF52" s="440">
        <v>1.0056559459207628</v>
      </c>
      <c r="AG52" s="440"/>
      <c r="AH52" s="466">
        <v>-0.24761774462613795</v>
      </c>
      <c r="AI52" s="466"/>
    </row>
    <row r="53" spans="1:35" ht="10.5" customHeight="1" x14ac:dyDescent="0.25">
      <c r="P53" s="147">
        <f>IF(ISBLANK(Q53)=TRUE,"",43)</f>
        <v>43</v>
      </c>
      <c r="Q53" s="449" t="s">
        <v>321</v>
      </c>
      <c r="R53" s="464"/>
      <c r="S53" s="464"/>
      <c r="T53" s="464"/>
      <c r="U53" s="464"/>
      <c r="V53" s="464"/>
      <c r="W53" s="464"/>
      <c r="X53" s="464"/>
      <c r="Y53" s="464"/>
      <c r="Z53" s="448">
        <v>5.1152413150393441</v>
      </c>
      <c r="AA53" s="465"/>
      <c r="AB53" s="448">
        <v>0.91070065104020836</v>
      </c>
      <c r="AC53" s="440"/>
      <c r="AD53" s="448">
        <v>0.77293543852788105</v>
      </c>
      <c r="AE53" s="440"/>
      <c r="AF53" s="448">
        <v>0.96509394252891345</v>
      </c>
      <c r="AG53" s="440"/>
      <c r="AH53" s="470">
        <v>-5.4393291488705087E-2</v>
      </c>
      <c r="AI53" s="466"/>
    </row>
    <row r="54" spans="1:35" ht="10.5" customHeight="1" x14ac:dyDescent="0.25">
      <c r="P54" s="147">
        <f>IF(ISBLANK(Q54)=TRUE,"",44)</f>
        <v>44</v>
      </c>
      <c r="Q54" s="464" t="s">
        <v>313</v>
      </c>
      <c r="R54" s="464"/>
      <c r="S54" s="464"/>
      <c r="T54" s="464"/>
      <c r="U54" s="464"/>
      <c r="V54" s="464"/>
      <c r="W54" s="464"/>
      <c r="X54" s="464"/>
      <c r="Y54" s="464"/>
      <c r="Z54" s="465">
        <v>1.6485661129035101</v>
      </c>
      <c r="AA54" s="465"/>
      <c r="AB54" s="440">
        <v>0.98209791573682026</v>
      </c>
      <c r="AC54" s="440"/>
      <c r="AD54" s="440">
        <v>0.31635737610865766</v>
      </c>
      <c r="AE54" s="440"/>
      <c r="AF54" s="440">
        <v>0.3950065841699622</v>
      </c>
      <c r="AG54" s="440"/>
      <c r="AH54" s="466">
        <v>0.587091331566858</v>
      </c>
      <c r="AI54" s="466"/>
    </row>
    <row r="55" spans="1:35" ht="10.5" customHeight="1" x14ac:dyDescent="0.25">
      <c r="P55" s="147">
        <f>IF(ISBLANK(Q55)=TRUE,"",45)</f>
        <v>45</v>
      </c>
      <c r="Q55" s="464" t="s">
        <v>338</v>
      </c>
      <c r="R55" s="464"/>
      <c r="S55" s="464"/>
      <c r="T55" s="464"/>
      <c r="U55" s="464"/>
      <c r="V55" s="464"/>
      <c r="W55" s="464"/>
      <c r="X55" s="464"/>
      <c r="Y55" s="464"/>
      <c r="Z55" s="465">
        <v>3.4666752021358342</v>
      </c>
      <c r="AA55" s="465"/>
      <c r="AB55" s="440">
        <v>0.87674791411798414</v>
      </c>
      <c r="AC55" s="440"/>
      <c r="AD55" s="440">
        <v>0.99005965054976119</v>
      </c>
      <c r="AE55" s="440"/>
      <c r="AF55" s="440">
        <v>1.2361971309113411</v>
      </c>
      <c r="AG55" s="440"/>
      <c r="AH55" s="466">
        <v>-0.35944921679335695</v>
      </c>
      <c r="AI55" s="466"/>
    </row>
    <row r="56" spans="1:35" ht="10.5" customHeight="1" x14ac:dyDescent="0.25">
      <c r="P56" s="147" t="str">
        <f>IF(ISBLANK(Q56)=TRUE,"",46)</f>
        <v/>
      </c>
      <c r="Q56" s="464"/>
      <c r="R56" s="464"/>
      <c r="S56" s="464"/>
      <c r="T56" s="464"/>
      <c r="U56" s="464"/>
      <c r="V56" s="464"/>
      <c r="W56" s="464"/>
      <c r="X56" s="464"/>
      <c r="Y56" s="464"/>
      <c r="Z56" s="465"/>
      <c r="AA56" s="465"/>
      <c r="AB56" s="440"/>
      <c r="AC56" s="440"/>
      <c r="AD56" s="440"/>
      <c r="AE56" s="440"/>
      <c r="AF56" s="440"/>
      <c r="AG56" s="440"/>
      <c r="AH56" s="466"/>
      <c r="AI56" s="466"/>
    </row>
    <row r="57" spans="1:35" ht="10.5" customHeight="1" x14ac:dyDescent="0.25">
      <c r="P57" s="147" t="str">
        <f>IF(ISBLANK(Q57)=TRUE,"",47)</f>
        <v/>
      </c>
      <c r="Q57" s="464"/>
      <c r="R57" s="464"/>
      <c r="S57" s="464"/>
      <c r="T57" s="464"/>
      <c r="U57" s="464"/>
      <c r="V57" s="464"/>
      <c r="W57" s="464"/>
      <c r="X57" s="464"/>
      <c r="Y57" s="464"/>
      <c r="Z57" s="465"/>
      <c r="AA57" s="465"/>
      <c r="AB57" s="440"/>
      <c r="AC57" s="440"/>
      <c r="AD57" s="440"/>
      <c r="AE57" s="440"/>
      <c r="AF57" s="440"/>
      <c r="AG57" s="440"/>
      <c r="AH57" s="466"/>
      <c r="AI57" s="466"/>
    </row>
    <row r="58" spans="1:35" ht="10.5" customHeight="1" x14ac:dyDescent="0.25">
      <c r="P58" s="147" t="str">
        <f>IF(ISBLANK(Q58)=TRUE,"",48)</f>
        <v/>
      </c>
      <c r="Q58" s="464"/>
      <c r="R58" s="464"/>
      <c r="S58" s="464"/>
      <c r="T58" s="464"/>
      <c r="U58" s="464"/>
      <c r="V58" s="464"/>
      <c r="W58" s="464"/>
      <c r="X58" s="464"/>
      <c r="Y58" s="464"/>
      <c r="Z58" s="465"/>
      <c r="AA58" s="465"/>
      <c r="AB58" s="440"/>
      <c r="AC58" s="440"/>
      <c r="AD58" s="440"/>
      <c r="AE58" s="440"/>
      <c r="AF58" s="440"/>
      <c r="AG58" s="440"/>
      <c r="AH58" s="466"/>
      <c r="AI58" s="466"/>
    </row>
    <row r="59" spans="1:35" ht="10.5" customHeight="1" x14ac:dyDescent="0.25">
      <c r="P59" s="147" t="str">
        <f>IF(ISBLANK(Q59)=TRUE,"",49)</f>
        <v/>
      </c>
      <c r="Q59" s="464"/>
      <c r="R59" s="464"/>
      <c r="S59" s="464"/>
      <c r="T59" s="464"/>
      <c r="U59" s="464"/>
      <c r="V59" s="464"/>
      <c r="W59" s="464"/>
      <c r="X59" s="464"/>
      <c r="Y59" s="464"/>
      <c r="Z59" s="465"/>
      <c r="AA59" s="465"/>
      <c r="AB59" s="440"/>
      <c r="AC59" s="440"/>
      <c r="AD59" s="440"/>
      <c r="AE59" s="440"/>
      <c r="AF59" s="440"/>
      <c r="AG59" s="440"/>
      <c r="AH59" s="466"/>
      <c r="AI59" s="466"/>
    </row>
    <row r="60" spans="1:35" ht="10.5" customHeight="1" x14ac:dyDescent="0.25">
      <c r="P60" s="147" t="str">
        <f>IF(ISBLANK(Q60)=TRUE,"",50)</f>
        <v/>
      </c>
      <c r="Q60" s="464"/>
      <c r="R60" s="464"/>
      <c r="S60" s="464"/>
      <c r="T60" s="464"/>
      <c r="U60" s="464"/>
      <c r="V60" s="464"/>
      <c r="W60" s="464"/>
      <c r="X60" s="464"/>
      <c r="Y60" s="464"/>
      <c r="Z60" s="465"/>
      <c r="AA60" s="465"/>
      <c r="AB60" s="440"/>
      <c r="AC60" s="440"/>
      <c r="AD60" s="440"/>
      <c r="AE60" s="440"/>
      <c r="AF60" s="440"/>
      <c r="AG60" s="440"/>
      <c r="AH60" s="466"/>
      <c r="AI60" s="466"/>
    </row>
    <row r="61" spans="1:35" ht="10.5" customHeight="1" x14ac:dyDescent="0.25">
      <c r="P61" s="147" t="str">
        <f>IF(ISBLANK(Q61)=TRUE,"",51)</f>
        <v/>
      </c>
      <c r="Q61" s="464"/>
      <c r="R61" s="464"/>
      <c r="S61" s="464"/>
      <c r="T61" s="464"/>
      <c r="U61" s="464"/>
      <c r="V61" s="464"/>
      <c r="W61" s="464"/>
      <c r="X61" s="464"/>
      <c r="Y61" s="464"/>
      <c r="Z61" s="465"/>
      <c r="AA61" s="465"/>
      <c r="AB61" s="440"/>
      <c r="AC61" s="440"/>
      <c r="AD61" s="440"/>
      <c r="AE61" s="440"/>
      <c r="AF61" s="440"/>
      <c r="AG61" s="440"/>
      <c r="AH61" s="466"/>
      <c r="AI61" s="466"/>
    </row>
    <row r="62" spans="1:35" ht="10.5" customHeight="1" x14ac:dyDescent="0.25">
      <c r="P62" s="147" t="str">
        <f>IF(ISBLANK(Q62)=TRUE,"",52)</f>
        <v/>
      </c>
      <c r="Q62" s="464"/>
      <c r="R62" s="464"/>
      <c r="S62" s="464"/>
      <c r="T62" s="464"/>
      <c r="U62" s="464"/>
      <c r="V62" s="464"/>
      <c r="W62" s="464"/>
      <c r="X62" s="464"/>
      <c r="Y62" s="464"/>
      <c r="Z62" s="465"/>
      <c r="AA62" s="465"/>
      <c r="AB62" s="440"/>
      <c r="AC62" s="440"/>
      <c r="AD62" s="440"/>
      <c r="AE62" s="440"/>
      <c r="AF62" s="440"/>
      <c r="AG62" s="440"/>
      <c r="AH62" s="466"/>
      <c r="AI62" s="466"/>
    </row>
    <row r="63" spans="1:35" ht="10.5" customHeight="1" x14ac:dyDescent="0.25">
      <c r="P63" s="147" t="str">
        <f>IF(ISBLANK(Q63)=TRUE,"",53)</f>
        <v/>
      </c>
      <c r="Q63" s="464"/>
      <c r="R63" s="464"/>
      <c r="S63" s="464"/>
      <c r="T63" s="464"/>
      <c r="U63" s="464"/>
      <c r="V63" s="464"/>
      <c r="W63" s="464"/>
      <c r="X63" s="464"/>
      <c r="Y63" s="464"/>
      <c r="Z63" s="465"/>
      <c r="AA63" s="465"/>
      <c r="AB63" s="440"/>
      <c r="AC63" s="440"/>
      <c r="AD63" s="440"/>
      <c r="AE63" s="440"/>
      <c r="AF63" s="440"/>
      <c r="AG63" s="440"/>
      <c r="AH63" s="466"/>
      <c r="AI63" s="466"/>
    </row>
    <row r="64" spans="1:35" ht="10.5" customHeight="1" x14ac:dyDescent="0.25">
      <c r="P64" s="147" t="str">
        <f>IF(ISBLANK(Q64)=TRUE,"",54)</f>
        <v/>
      </c>
      <c r="Q64" s="464"/>
      <c r="R64" s="464"/>
      <c r="S64" s="464"/>
      <c r="T64" s="464"/>
      <c r="U64" s="464"/>
      <c r="V64" s="464"/>
      <c r="W64" s="464"/>
      <c r="X64" s="464"/>
      <c r="Y64" s="464"/>
      <c r="Z64" s="465"/>
      <c r="AA64" s="465"/>
      <c r="AB64" s="440"/>
      <c r="AC64" s="440"/>
      <c r="AD64" s="440"/>
      <c r="AE64" s="440"/>
      <c r="AF64" s="440"/>
      <c r="AG64" s="440"/>
      <c r="AH64" s="466"/>
      <c r="AI64" s="466"/>
    </row>
    <row r="65" spans="16:35" ht="10.5" customHeight="1" x14ac:dyDescent="0.25">
      <c r="P65" s="147" t="str">
        <f>IF(ISBLANK(Q65)=TRUE,"",55)</f>
        <v/>
      </c>
      <c r="Q65" s="464"/>
      <c r="R65" s="464"/>
      <c r="S65" s="464"/>
      <c r="T65" s="464"/>
      <c r="U65" s="464"/>
      <c r="V65" s="464"/>
      <c r="W65" s="464"/>
      <c r="X65" s="464"/>
      <c r="Y65" s="464"/>
      <c r="Z65" s="465"/>
      <c r="AA65" s="465"/>
      <c r="AB65" s="440"/>
      <c r="AC65" s="440"/>
      <c r="AD65" s="440"/>
      <c r="AE65" s="440"/>
      <c r="AF65" s="440"/>
      <c r="AG65" s="440"/>
      <c r="AH65" s="466"/>
      <c r="AI65" s="466"/>
    </row>
    <row r="66" spans="16:35" ht="10.5" customHeight="1" x14ac:dyDescent="0.25">
      <c r="P66" s="147" t="str">
        <f>IF(ISBLANK(Q66)=TRUE,"",56)</f>
        <v/>
      </c>
      <c r="Q66" s="464"/>
      <c r="R66" s="464"/>
      <c r="S66" s="464"/>
      <c r="T66" s="464"/>
      <c r="U66" s="464"/>
      <c r="V66" s="464"/>
      <c r="W66" s="464"/>
      <c r="X66" s="464"/>
      <c r="Y66" s="464"/>
      <c r="Z66" s="465"/>
      <c r="AA66" s="465"/>
      <c r="AB66" s="440"/>
      <c r="AC66" s="440"/>
      <c r="AD66" s="440"/>
      <c r="AE66" s="440"/>
      <c r="AF66" s="440"/>
      <c r="AG66" s="440"/>
      <c r="AH66" s="466"/>
      <c r="AI66" s="466"/>
    </row>
    <row r="67" spans="16:35" ht="10.5" customHeight="1" x14ac:dyDescent="0.25">
      <c r="P67" s="147" t="str">
        <f>IF(ISBLANK(Q67)=TRUE,"",57)</f>
        <v/>
      </c>
      <c r="Q67" s="464"/>
      <c r="R67" s="464"/>
      <c r="S67" s="464"/>
      <c r="T67" s="464"/>
      <c r="U67" s="464"/>
      <c r="V67" s="464"/>
      <c r="W67" s="464"/>
      <c r="X67" s="464"/>
      <c r="Y67" s="464"/>
      <c r="Z67" s="465"/>
      <c r="AA67" s="465"/>
      <c r="AB67" s="440"/>
      <c r="AC67" s="440"/>
      <c r="AD67" s="440"/>
      <c r="AE67" s="440"/>
      <c r="AF67" s="440"/>
      <c r="AG67" s="440"/>
      <c r="AH67" s="466"/>
      <c r="AI67" s="466"/>
    </row>
    <row r="68" spans="16:35" ht="10.5" customHeight="1" x14ac:dyDescent="0.25">
      <c r="P68" s="147" t="str">
        <f>IF(ISBLANK(Q68)=TRUE,"",58)</f>
        <v/>
      </c>
      <c r="Q68" s="464"/>
      <c r="R68" s="464"/>
      <c r="S68" s="464"/>
      <c r="T68" s="464"/>
      <c r="U68" s="464"/>
      <c r="V68" s="464"/>
      <c r="W68" s="464"/>
      <c r="X68" s="464"/>
      <c r="Y68" s="464"/>
      <c r="Z68" s="465"/>
      <c r="AA68" s="465"/>
      <c r="AB68" s="440"/>
      <c r="AC68" s="440"/>
      <c r="AD68" s="440"/>
      <c r="AE68" s="440"/>
      <c r="AF68" s="440"/>
      <c r="AG68" s="440"/>
      <c r="AH68" s="466"/>
      <c r="AI68" s="466"/>
    </row>
    <row r="69" spans="16:35" ht="10.5" customHeight="1" x14ac:dyDescent="0.25">
      <c r="P69" s="147" t="str">
        <f>IF(ISBLANK(Q69)=TRUE,"",59)</f>
        <v/>
      </c>
      <c r="Q69" s="464"/>
      <c r="R69" s="464"/>
      <c r="S69" s="464"/>
      <c r="T69" s="464"/>
      <c r="U69" s="464"/>
      <c r="V69" s="464"/>
      <c r="W69" s="464"/>
      <c r="X69" s="464"/>
      <c r="Y69" s="464"/>
      <c r="Z69" s="465"/>
      <c r="AA69" s="465"/>
      <c r="AB69" s="440"/>
      <c r="AC69" s="440"/>
      <c r="AD69" s="440"/>
      <c r="AE69" s="440"/>
      <c r="AF69" s="440"/>
      <c r="AG69" s="440"/>
      <c r="AH69" s="466"/>
      <c r="AI69" s="466"/>
    </row>
    <row r="70" spans="16:35" ht="10.5" customHeight="1" x14ac:dyDescent="0.25">
      <c r="P70" s="147" t="str">
        <f>IF(ISBLANK(Q70)=TRUE,"",60)</f>
        <v/>
      </c>
      <c r="Q70" s="464"/>
      <c r="R70" s="464"/>
      <c r="S70" s="464"/>
      <c r="T70" s="464"/>
      <c r="U70" s="464"/>
      <c r="V70" s="464"/>
      <c r="W70" s="464"/>
      <c r="X70" s="464"/>
      <c r="Y70" s="464"/>
      <c r="Z70" s="465"/>
      <c r="AA70" s="465"/>
      <c r="AB70" s="440"/>
      <c r="AC70" s="440"/>
      <c r="AD70" s="440"/>
      <c r="AE70" s="440"/>
      <c r="AF70" s="440"/>
      <c r="AG70" s="440"/>
      <c r="AH70" s="466"/>
      <c r="AI70" s="466"/>
    </row>
    <row r="71" spans="16:35" ht="10.5" customHeight="1" x14ac:dyDescent="0.25">
      <c r="P71" s="147" t="str">
        <f>IF(ISBLANK(Q71)=TRUE,"",61)</f>
        <v/>
      </c>
      <c r="Q71" s="464"/>
      <c r="R71" s="464"/>
      <c r="S71" s="464"/>
      <c r="T71" s="464"/>
      <c r="U71" s="464"/>
      <c r="V71" s="464"/>
      <c r="W71" s="464"/>
      <c r="X71" s="464"/>
      <c r="Y71" s="464"/>
      <c r="Z71" s="465"/>
      <c r="AA71" s="465"/>
      <c r="AB71" s="440"/>
      <c r="AC71" s="440"/>
      <c r="AD71" s="440"/>
      <c r="AE71" s="440"/>
      <c r="AF71" s="440"/>
      <c r="AG71" s="440"/>
      <c r="AH71" s="466"/>
      <c r="AI71" s="466"/>
    </row>
    <row r="72" spans="16:35" ht="10.5" customHeight="1" x14ac:dyDescent="0.25">
      <c r="P72" s="147" t="str">
        <f>IF(ISBLANK(Q72)=TRUE,"",62)</f>
        <v/>
      </c>
      <c r="Q72" s="464"/>
      <c r="R72" s="464"/>
      <c r="S72" s="464"/>
      <c r="T72" s="464"/>
      <c r="U72" s="464"/>
      <c r="V72" s="464"/>
      <c r="W72" s="464"/>
      <c r="X72" s="464"/>
      <c r="Y72" s="464"/>
      <c r="Z72" s="465"/>
      <c r="AA72" s="465"/>
      <c r="AB72" s="440"/>
      <c r="AC72" s="440"/>
      <c r="AD72" s="440"/>
      <c r="AE72" s="440"/>
      <c r="AF72" s="440"/>
      <c r="AG72" s="440"/>
      <c r="AH72" s="466"/>
      <c r="AI72" s="466"/>
    </row>
    <row r="73" spans="16:35" ht="10.5" customHeight="1" x14ac:dyDescent="0.25">
      <c r="P73" s="147" t="str">
        <f>IF(ISBLANK(Q73)=TRUE,"",63)</f>
        <v/>
      </c>
      <c r="Q73" s="464"/>
      <c r="R73" s="464"/>
      <c r="S73" s="464"/>
      <c r="T73" s="464"/>
      <c r="U73" s="464"/>
      <c r="V73" s="464"/>
      <c r="W73" s="464"/>
      <c r="X73" s="464"/>
      <c r="Y73" s="464"/>
      <c r="Z73" s="465"/>
      <c r="AA73" s="465"/>
      <c r="AB73" s="440"/>
      <c r="AC73" s="440"/>
      <c r="AD73" s="440"/>
      <c r="AE73" s="440"/>
      <c r="AF73" s="440"/>
      <c r="AG73" s="440"/>
      <c r="AH73" s="466"/>
      <c r="AI73" s="466"/>
    </row>
    <row r="74" spans="16:35" ht="10.5" customHeight="1" x14ac:dyDescent="0.25">
      <c r="P74" s="147" t="str">
        <f>IF(ISBLANK(Q74)=TRUE,"",64)</f>
        <v/>
      </c>
      <c r="Q74" s="464"/>
      <c r="R74" s="464"/>
      <c r="S74" s="464"/>
      <c r="T74" s="464"/>
      <c r="U74" s="464"/>
      <c r="V74" s="464"/>
      <c r="W74" s="464"/>
      <c r="X74" s="464"/>
      <c r="Y74" s="464"/>
      <c r="Z74" s="465"/>
      <c r="AA74" s="465"/>
      <c r="AB74" s="440"/>
      <c r="AC74" s="440"/>
      <c r="AD74" s="440"/>
      <c r="AE74" s="440"/>
      <c r="AF74" s="440"/>
      <c r="AG74" s="440"/>
      <c r="AH74" s="466"/>
      <c r="AI74" s="466"/>
    </row>
    <row r="75" spans="16:35" ht="10.5" customHeight="1" x14ac:dyDescent="0.25">
      <c r="P75" s="147" t="str">
        <f>IF(ISBLANK(Q75)=TRUE,"",65)</f>
        <v/>
      </c>
      <c r="Q75" s="485"/>
      <c r="R75" s="485"/>
      <c r="S75" s="485"/>
      <c r="T75" s="485"/>
      <c r="U75" s="485"/>
      <c r="V75" s="485"/>
      <c r="W75" s="485"/>
      <c r="X75" s="485"/>
      <c r="Y75" s="485"/>
      <c r="Z75" s="486"/>
      <c r="AA75" s="486"/>
      <c r="AB75" s="483"/>
      <c r="AC75" s="483"/>
      <c r="AD75" s="483"/>
      <c r="AE75" s="483"/>
      <c r="AF75" s="483"/>
      <c r="AG75" s="483"/>
      <c r="AH75" s="484"/>
      <c r="AI75" s="484"/>
    </row>
    <row r="76" spans="16:35" ht="10.5" customHeight="1" x14ac:dyDescent="0.25">
      <c r="P76" s="147" t="str">
        <f>IF(ISBLANK(Q76)=TRUE,"",66)</f>
        <v/>
      </c>
      <c r="Q76" s="479"/>
      <c r="R76" s="479"/>
      <c r="S76" s="479"/>
      <c r="T76" s="479"/>
      <c r="U76" s="479"/>
      <c r="V76" s="479"/>
      <c r="W76" s="479"/>
      <c r="X76" s="479"/>
      <c r="Y76" s="479"/>
      <c r="Z76" s="478"/>
      <c r="AA76" s="478"/>
      <c r="AB76" s="481"/>
      <c r="AC76" s="481"/>
      <c r="AD76" s="481"/>
      <c r="AE76" s="481"/>
      <c r="AF76" s="481"/>
      <c r="AG76" s="481"/>
      <c r="AH76" s="482"/>
      <c r="AI76" s="482"/>
    </row>
    <row r="77" spans="16:35" ht="10.5" customHeight="1" x14ac:dyDescent="0.25">
      <c r="P77" s="147" t="str">
        <f>IF(ISBLANK(Q77)=TRUE,"",67)</f>
        <v/>
      </c>
      <c r="Q77" s="479"/>
      <c r="R77" s="479"/>
      <c r="S77" s="479"/>
      <c r="T77" s="479"/>
      <c r="U77" s="479"/>
      <c r="V77" s="479"/>
      <c r="W77" s="479"/>
      <c r="X77" s="479"/>
      <c r="Y77" s="479"/>
      <c r="Z77" s="478"/>
      <c r="AA77" s="478"/>
      <c r="AB77" s="481"/>
      <c r="AC77" s="481"/>
      <c r="AD77" s="481"/>
      <c r="AE77" s="481"/>
      <c r="AF77" s="481"/>
      <c r="AG77" s="481"/>
      <c r="AH77" s="482"/>
      <c r="AI77" s="482"/>
    </row>
    <row r="78" spans="16:35" ht="10.5" customHeight="1" x14ac:dyDescent="0.25">
      <c r="P78" s="147" t="str">
        <f>IF(ISBLANK(Q78)=TRUE,"",68)</f>
        <v/>
      </c>
      <c r="Q78" s="479"/>
      <c r="R78" s="479"/>
      <c r="S78" s="479"/>
      <c r="T78" s="479"/>
      <c r="U78" s="479"/>
      <c r="V78" s="479"/>
      <c r="W78" s="479"/>
      <c r="X78" s="479"/>
      <c r="Y78" s="479"/>
      <c r="Z78" s="478"/>
      <c r="AA78" s="478"/>
      <c r="AB78" s="481"/>
      <c r="AC78" s="481"/>
      <c r="AD78" s="481"/>
      <c r="AE78" s="481"/>
      <c r="AF78" s="481"/>
      <c r="AG78" s="481"/>
      <c r="AH78" s="482"/>
      <c r="AI78" s="482"/>
    </row>
    <row r="79" spans="16:35" ht="10.5" customHeight="1" x14ac:dyDescent="0.25">
      <c r="P79" s="147" t="str">
        <f>IF(ISBLANK(Q79)=TRUE,"",69)</f>
        <v/>
      </c>
      <c r="Q79" s="479"/>
      <c r="R79" s="479"/>
      <c r="S79" s="479"/>
      <c r="T79" s="479"/>
      <c r="U79" s="479"/>
      <c r="V79" s="479"/>
      <c r="W79" s="479"/>
      <c r="X79" s="479"/>
      <c r="Y79" s="479"/>
      <c r="Z79" s="478"/>
      <c r="AA79" s="478"/>
      <c r="AB79" s="481"/>
      <c r="AC79" s="481"/>
      <c r="AD79" s="481"/>
      <c r="AE79" s="481"/>
      <c r="AF79" s="481"/>
      <c r="AG79" s="481"/>
      <c r="AH79" s="482"/>
      <c r="AI79" s="482"/>
    </row>
    <row r="80" spans="16:35" ht="10.5" customHeight="1" x14ac:dyDescent="0.25">
      <c r="P80" s="147" t="str">
        <f>IF(ISBLANK(Q80)=TRUE,"",70)</f>
        <v/>
      </c>
      <c r="Q80" s="479"/>
      <c r="R80" s="479"/>
      <c r="S80" s="479"/>
      <c r="T80" s="479"/>
      <c r="U80" s="479"/>
      <c r="V80" s="479"/>
      <c r="W80" s="479"/>
      <c r="X80" s="479"/>
      <c r="Y80" s="479"/>
      <c r="Z80" s="478"/>
      <c r="AA80" s="478"/>
      <c r="AB80" s="481"/>
      <c r="AC80" s="481"/>
      <c r="AD80" s="481"/>
      <c r="AE80" s="481"/>
      <c r="AF80" s="481"/>
      <c r="AG80" s="481"/>
      <c r="AH80" s="482"/>
      <c r="AI80" s="482"/>
    </row>
    <row r="81" spans="16:35" ht="10.5" customHeight="1" x14ac:dyDescent="0.25">
      <c r="P81" s="147" t="str">
        <f>IF(ISBLANK(Q81)=TRUE,"",71)</f>
        <v/>
      </c>
      <c r="Q81" s="479"/>
      <c r="R81" s="479"/>
      <c r="S81" s="479"/>
      <c r="T81" s="479"/>
      <c r="U81" s="479"/>
      <c r="V81" s="479"/>
      <c r="W81" s="479"/>
      <c r="X81" s="479"/>
      <c r="Y81" s="479"/>
      <c r="Z81" s="478"/>
      <c r="AA81" s="478"/>
      <c r="AB81" s="481"/>
      <c r="AC81" s="481"/>
      <c r="AD81" s="481"/>
      <c r="AE81" s="481"/>
      <c r="AF81" s="481"/>
      <c r="AG81" s="481"/>
      <c r="AH81" s="482"/>
      <c r="AI81" s="482"/>
    </row>
    <row r="82" spans="16:35" ht="10.5" customHeight="1" x14ac:dyDescent="0.25">
      <c r="P82" s="147" t="str">
        <f>IF(ISBLANK(Q82)=TRUE,"",72)</f>
        <v/>
      </c>
      <c r="Q82" s="479"/>
      <c r="R82" s="479"/>
      <c r="S82" s="479"/>
      <c r="T82" s="479"/>
      <c r="U82" s="479"/>
      <c r="V82" s="479"/>
      <c r="W82" s="479"/>
      <c r="X82" s="479"/>
      <c r="Y82" s="479"/>
      <c r="Z82" s="478"/>
      <c r="AA82" s="478"/>
      <c r="AB82" s="481"/>
      <c r="AC82" s="481"/>
      <c r="AD82" s="481"/>
      <c r="AE82" s="481"/>
      <c r="AF82" s="481"/>
      <c r="AG82" s="481"/>
      <c r="AH82" s="482"/>
      <c r="AI82" s="482"/>
    </row>
    <row r="83" spans="16:35" ht="10.5" customHeight="1" x14ac:dyDescent="0.25">
      <c r="P83" s="147" t="str">
        <f>IF(ISBLANK(Q83)=TRUE,"",73)</f>
        <v/>
      </c>
      <c r="Q83" s="479"/>
      <c r="R83" s="479"/>
      <c r="S83" s="479"/>
      <c r="T83" s="479"/>
      <c r="U83" s="479"/>
      <c r="V83" s="479"/>
      <c r="W83" s="479"/>
      <c r="X83" s="479"/>
      <c r="Y83" s="479"/>
      <c r="Z83" s="478"/>
      <c r="AA83" s="478"/>
      <c r="AB83" s="481"/>
      <c r="AC83" s="481"/>
      <c r="AD83" s="481"/>
      <c r="AE83" s="481"/>
      <c r="AF83" s="481"/>
      <c r="AG83" s="481"/>
      <c r="AH83" s="482"/>
      <c r="AI83" s="482"/>
    </row>
    <row r="84" spans="16:35" ht="11.25" customHeight="1" x14ac:dyDescent="0.25">
      <c r="AB84" s="298"/>
      <c r="AC84" s="298"/>
      <c r="AD84" s="298"/>
      <c r="AE84" s="298"/>
      <c r="AF84" s="298"/>
      <c r="AG84" s="298"/>
    </row>
    <row r="85" spans="16:35" x14ac:dyDescent="0.25">
      <c r="AB85" s="298"/>
      <c r="AC85" s="298"/>
      <c r="AD85" s="298"/>
      <c r="AE85" s="298"/>
      <c r="AF85" s="298"/>
      <c r="AG85" s="298"/>
    </row>
  </sheetData>
  <mergeCells count="454">
    <mergeCell ref="AB76:AC76"/>
    <mergeCell ref="AD76:AE76"/>
    <mergeCell ref="AF76:AG76"/>
    <mergeCell ref="AH76:AI76"/>
    <mergeCell ref="AB77:AC77"/>
    <mergeCell ref="AD77:AE77"/>
    <mergeCell ref="AF77:AG77"/>
    <mergeCell ref="AH77:AI77"/>
    <mergeCell ref="Q76:Y76"/>
    <mergeCell ref="Q77:Y77"/>
    <mergeCell ref="Z76:AA76"/>
    <mergeCell ref="Z77:AA77"/>
    <mergeCell ref="AB72:AC72"/>
    <mergeCell ref="AD72:AE72"/>
    <mergeCell ref="AF72:AG72"/>
    <mergeCell ref="AH72:AI72"/>
    <mergeCell ref="AB73:AC73"/>
    <mergeCell ref="AD73:AE73"/>
    <mergeCell ref="AF73:AG73"/>
    <mergeCell ref="AH73:AI73"/>
    <mergeCell ref="Q72:Y72"/>
    <mergeCell ref="Q73:Y73"/>
    <mergeCell ref="Z72:AA72"/>
    <mergeCell ref="Z73:AA73"/>
    <mergeCell ref="AB74:AC74"/>
    <mergeCell ref="AD74:AE74"/>
    <mergeCell ref="AF74:AG74"/>
    <mergeCell ref="AH74:AI74"/>
    <mergeCell ref="AB75:AC75"/>
    <mergeCell ref="AD75:AE75"/>
    <mergeCell ref="AF75:AG75"/>
    <mergeCell ref="AH75:AI75"/>
    <mergeCell ref="Q74:Y74"/>
    <mergeCell ref="Q75:Y75"/>
    <mergeCell ref="Z74:AA74"/>
    <mergeCell ref="Z75:AA75"/>
    <mergeCell ref="AB68:AC68"/>
    <mergeCell ref="AD68:AE68"/>
    <mergeCell ref="AF68:AG68"/>
    <mergeCell ref="AH68:AI68"/>
    <mergeCell ref="AB69:AC69"/>
    <mergeCell ref="AD69:AE69"/>
    <mergeCell ref="AF69:AG69"/>
    <mergeCell ref="AH69:AI69"/>
    <mergeCell ref="Q68:Y68"/>
    <mergeCell ref="Q69:Y69"/>
    <mergeCell ref="Z68:AA68"/>
    <mergeCell ref="Z69:AA69"/>
    <mergeCell ref="AB70:AC70"/>
    <mergeCell ref="AD70:AE70"/>
    <mergeCell ref="AF70:AG70"/>
    <mergeCell ref="AH70:AI70"/>
    <mergeCell ref="AB71:AC71"/>
    <mergeCell ref="AD71:AE71"/>
    <mergeCell ref="AF71:AG71"/>
    <mergeCell ref="AH71:AI71"/>
    <mergeCell ref="Q70:Y70"/>
    <mergeCell ref="Q71:Y71"/>
    <mergeCell ref="Z70:AA70"/>
    <mergeCell ref="Z71:AA71"/>
    <mergeCell ref="AB64:AC64"/>
    <mergeCell ref="AD64:AE64"/>
    <mergeCell ref="AF64:AG64"/>
    <mergeCell ref="AH64:AI64"/>
    <mergeCell ref="AB65:AC65"/>
    <mergeCell ref="AD65:AE65"/>
    <mergeCell ref="AF65:AG65"/>
    <mergeCell ref="AH65:AI65"/>
    <mergeCell ref="Q64:Y64"/>
    <mergeCell ref="Q65:Y65"/>
    <mergeCell ref="Z64:AA64"/>
    <mergeCell ref="Z65:AA65"/>
    <mergeCell ref="AB66:AC66"/>
    <mergeCell ref="AD66:AE66"/>
    <mergeCell ref="AF66:AG66"/>
    <mergeCell ref="AH66:AI66"/>
    <mergeCell ref="AB67:AC67"/>
    <mergeCell ref="AD67:AE67"/>
    <mergeCell ref="AF67:AG67"/>
    <mergeCell ref="AH67:AI67"/>
    <mergeCell ref="Q66:Y66"/>
    <mergeCell ref="Q67:Y67"/>
    <mergeCell ref="Z66:AA66"/>
    <mergeCell ref="Z67:AA67"/>
    <mergeCell ref="AB60:AC60"/>
    <mergeCell ref="AD60:AE60"/>
    <mergeCell ref="AF60:AG60"/>
    <mergeCell ref="AH60:AI60"/>
    <mergeCell ref="AB61:AC61"/>
    <mergeCell ref="AD61:AE61"/>
    <mergeCell ref="AF61:AG61"/>
    <mergeCell ref="AH61:AI61"/>
    <mergeCell ref="Q60:Y60"/>
    <mergeCell ref="Q61:Y61"/>
    <mergeCell ref="Z60:AA60"/>
    <mergeCell ref="Z61:AA61"/>
    <mergeCell ref="AB62:AC62"/>
    <mergeCell ref="AD62:AE62"/>
    <mergeCell ref="AF62:AG62"/>
    <mergeCell ref="AH62:AI62"/>
    <mergeCell ref="AB63:AC63"/>
    <mergeCell ref="AD63:AE63"/>
    <mergeCell ref="AF63:AG63"/>
    <mergeCell ref="AH63:AI63"/>
    <mergeCell ref="Q62:Y62"/>
    <mergeCell ref="Q63:Y63"/>
    <mergeCell ref="Z62:AA62"/>
    <mergeCell ref="Z63:AA63"/>
    <mergeCell ref="AB56:AC56"/>
    <mergeCell ref="AD56:AE56"/>
    <mergeCell ref="AF56:AG56"/>
    <mergeCell ref="AH56:AI56"/>
    <mergeCell ref="AB57:AC57"/>
    <mergeCell ref="AD57:AE57"/>
    <mergeCell ref="AF57:AG57"/>
    <mergeCell ref="AH57:AI57"/>
    <mergeCell ref="Q56:Y56"/>
    <mergeCell ref="Q57:Y57"/>
    <mergeCell ref="Z56:AA56"/>
    <mergeCell ref="Z57:AA57"/>
    <mergeCell ref="AB58:AC58"/>
    <mergeCell ref="AD58:AE58"/>
    <mergeCell ref="AF58:AG58"/>
    <mergeCell ref="AH58:AI58"/>
    <mergeCell ref="AB59:AC59"/>
    <mergeCell ref="AD59:AE59"/>
    <mergeCell ref="AF59:AG59"/>
    <mergeCell ref="AH59:AI59"/>
    <mergeCell ref="Q58:Y58"/>
    <mergeCell ref="Q59:Y59"/>
    <mergeCell ref="Z58:AA58"/>
    <mergeCell ref="Z59:AA59"/>
    <mergeCell ref="AB52:AC52"/>
    <mergeCell ref="AD52:AE52"/>
    <mergeCell ref="AF52:AG52"/>
    <mergeCell ref="AH52:AI52"/>
    <mergeCell ref="AB53:AC53"/>
    <mergeCell ref="AD53:AE53"/>
    <mergeCell ref="AF53:AG53"/>
    <mergeCell ref="AH53:AI53"/>
    <mergeCell ref="Q52:Y52"/>
    <mergeCell ref="Q53:Y53"/>
    <mergeCell ref="Z52:AA52"/>
    <mergeCell ref="Z53:AA53"/>
    <mergeCell ref="AB54:AC54"/>
    <mergeCell ref="AD54:AE54"/>
    <mergeCell ref="AF54:AG54"/>
    <mergeCell ref="AH54:AI54"/>
    <mergeCell ref="AB55:AC55"/>
    <mergeCell ref="AD55:AE55"/>
    <mergeCell ref="AF55:AG55"/>
    <mergeCell ref="AH55:AI55"/>
    <mergeCell ref="Q54:Y54"/>
    <mergeCell ref="Q55:Y55"/>
    <mergeCell ref="Z54:AA54"/>
    <mergeCell ref="Z55:AA55"/>
    <mergeCell ref="AH48:AI48"/>
    <mergeCell ref="AB49:AC49"/>
    <mergeCell ref="AD49:AE49"/>
    <mergeCell ref="AF49:AG49"/>
    <mergeCell ref="AH49:AI49"/>
    <mergeCell ref="Q48:Y48"/>
    <mergeCell ref="Q49:Y49"/>
    <mergeCell ref="Z48:AA48"/>
    <mergeCell ref="Z49:AA49"/>
    <mergeCell ref="AB50:AC50"/>
    <mergeCell ref="AD50:AE50"/>
    <mergeCell ref="AF50:AG50"/>
    <mergeCell ref="AH50:AI50"/>
    <mergeCell ref="AB51:AC51"/>
    <mergeCell ref="AD51:AE51"/>
    <mergeCell ref="AF51:AG51"/>
    <mergeCell ref="AH51:AI51"/>
    <mergeCell ref="Q50:Y50"/>
    <mergeCell ref="Q51:Y51"/>
    <mergeCell ref="Z50:AA50"/>
    <mergeCell ref="Z51:AA51"/>
    <mergeCell ref="AB42:AC42"/>
    <mergeCell ref="AD42:AE42"/>
    <mergeCell ref="AF42:AG42"/>
    <mergeCell ref="AB46:AC46"/>
    <mergeCell ref="AD46:AE46"/>
    <mergeCell ref="AF46:AG46"/>
    <mergeCell ref="AH46:AI46"/>
    <mergeCell ref="AB47:AC47"/>
    <mergeCell ref="AD47:AE47"/>
    <mergeCell ref="AF47:AG47"/>
    <mergeCell ref="AH47:AI47"/>
    <mergeCell ref="AB44:AC44"/>
    <mergeCell ref="AD44:AE44"/>
    <mergeCell ref="AF44:AG44"/>
    <mergeCell ref="AH44:AI44"/>
    <mergeCell ref="AB45:AC45"/>
    <mergeCell ref="AD45:AE45"/>
    <mergeCell ref="AF45:AG45"/>
    <mergeCell ref="AH45:AI45"/>
    <mergeCell ref="AB40:AC40"/>
    <mergeCell ref="AD40:AE40"/>
    <mergeCell ref="AF40:AG40"/>
    <mergeCell ref="AH40:AI40"/>
    <mergeCell ref="AB41:AC41"/>
    <mergeCell ref="AD41:AE41"/>
    <mergeCell ref="AF41:AG41"/>
    <mergeCell ref="AH41:AI41"/>
    <mergeCell ref="Q40:Y40"/>
    <mergeCell ref="Q41:Y41"/>
    <mergeCell ref="Z40:AA40"/>
    <mergeCell ref="Z41:AA41"/>
    <mergeCell ref="AH10:AI10"/>
    <mergeCell ref="AB11:AC11"/>
    <mergeCell ref="AD11:AE11"/>
    <mergeCell ref="AF11:AG11"/>
    <mergeCell ref="AH11:AI11"/>
    <mergeCell ref="AB10:AC10"/>
    <mergeCell ref="AD10:AE10"/>
    <mergeCell ref="AF10:AG10"/>
    <mergeCell ref="Q10:Y10"/>
    <mergeCell ref="Q11:Y11"/>
    <mergeCell ref="Z10:AA10"/>
    <mergeCell ref="Z11:AA11"/>
    <mergeCell ref="B1:J2"/>
    <mergeCell ref="A4:AI4"/>
    <mergeCell ref="A5:AI6"/>
    <mergeCell ref="X9:Y9"/>
    <mergeCell ref="Z9:AA9"/>
    <mergeCell ref="AB9:AC9"/>
    <mergeCell ref="AD9:AE9"/>
    <mergeCell ref="AF9:AG9"/>
    <mergeCell ref="AH9:AI9"/>
    <mergeCell ref="AH14:AI14"/>
    <mergeCell ref="AB15:AC15"/>
    <mergeCell ref="AD15:AE15"/>
    <mergeCell ref="AF15:AG15"/>
    <mergeCell ref="AH15:AI15"/>
    <mergeCell ref="AB14:AC14"/>
    <mergeCell ref="AD14:AE14"/>
    <mergeCell ref="AF14:AG14"/>
    <mergeCell ref="Q14:Y14"/>
    <mergeCell ref="Q15:Y15"/>
    <mergeCell ref="Z14:AA14"/>
    <mergeCell ref="Z15:AA15"/>
    <mergeCell ref="AH12:AI12"/>
    <mergeCell ref="AB13:AC13"/>
    <mergeCell ref="AD13:AE13"/>
    <mergeCell ref="AF13:AG13"/>
    <mergeCell ref="AH13:AI13"/>
    <mergeCell ref="AB12:AC12"/>
    <mergeCell ref="AD12:AE12"/>
    <mergeCell ref="AF12:AG12"/>
    <mergeCell ref="Q12:Y12"/>
    <mergeCell ref="Q13:Y13"/>
    <mergeCell ref="Z12:AA12"/>
    <mergeCell ref="Z13:AA13"/>
    <mergeCell ref="AH18:AI18"/>
    <mergeCell ref="AB19:AC19"/>
    <mergeCell ref="AD19:AE19"/>
    <mergeCell ref="AF19:AG19"/>
    <mergeCell ref="AH19:AI19"/>
    <mergeCell ref="AB18:AC18"/>
    <mergeCell ref="AD18:AE18"/>
    <mergeCell ref="AF18:AG18"/>
    <mergeCell ref="Q18:Y18"/>
    <mergeCell ref="Q19:Y19"/>
    <mergeCell ref="Z19:AA19"/>
    <mergeCell ref="Z18:AA18"/>
    <mergeCell ref="AH16:AI16"/>
    <mergeCell ref="AB17:AC17"/>
    <mergeCell ref="AD17:AE17"/>
    <mergeCell ref="AF17:AG17"/>
    <mergeCell ref="AH17:AI17"/>
    <mergeCell ref="AB16:AC16"/>
    <mergeCell ref="AD16:AE16"/>
    <mergeCell ref="AF16:AG16"/>
    <mergeCell ref="Q16:Y16"/>
    <mergeCell ref="Q17:Y17"/>
    <mergeCell ref="Z16:AA16"/>
    <mergeCell ref="Z17:AA17"/>
    <mergeCell ref="Q20:Y20"/>
    <mergeCell ref="Q21:Y21"/>
    <mergeCell ref="Z20:AA20"/>
    <mergeCell ref="Z21:AA21"/>
    <mergeCell ref="AH22:AI22"/>
    <mergeCell ref="AB23:AC23"/>
    <mergeCell ref="AD23:AE23"/>
    <mergeCell ref="AF23:AG23"/>
    <mergeCell ref="AH23:AI23"/>
    <mergeCell ref="AB22:AC22"/>
    <mergeCell ref="AD22:AE22"/>
    <mergeCell ref="AF22:AG22"/>
    <mergeCell ref="Q22:Y22"/>
    <mergeCell ref="Q23:Y23"/>
    <mergeCell ref="Z22:AA22"/>
    <mergeCell ref="Z23:AA23"/>
    <mergeCell ref="AH26:AI26"/>
    <mergeCell ref="AB27:AC27"/>
    <mergeCell ref="AD27:AE27"/>
    <mergeCell ref="AF27:AG27"/>
    <mergeCell ref="AH27:AI27"/>
    <mergeCell ref="AB26:AC26"/>
    <mergeCell ref="AD26:AE26"/>
    <mergeCell ref="AF26:AG26"/>
    <mergeCell ref="AH20:AI20"/>
    <mergeCell ref="AB21:AC21"/>
    <mergeCell ref="AD21:AE21"/>
    <mergeCell ref="AF21:AG21"/>
    <mergeCell ref="AH21:AI21"/>
    <mergeCell ref="AB20:AC20"/>
    <mergeCell ref="AD20:AE20"/>
    <mergeCell ref="AF20:AG20"/>
    <mergeCell ref="AH28:AI28"/>
    <mergeCell ref="AB29:AC29"/>
    <mergeCell ref="AD29:AE29"/>
    <mergeCell ref="AF29:AG29"/>
    <mergeCell ref="AH29:AI29"/>
    <mergeCell ref="AB28:AC28"/>
    <mergeCell ref="AD28:AE28"/>
    <mergeCell ref="AF28:AG28"/>
    <mergeCell ref="Q28:Y28"/>
    <mergeCell ref="Q29:Y29"/>
    <mergeCell ref="Z28:AA28"/>
    <mergeCell ref="Z29:AA29"/>
    <mergeCell ref="AH24:AI24"/>
    <mergeCell ref="AB25:AC25"/>
    <mergeCell ref="AD25:AE25"/>
    <mergeCell ref="AF25:AG25"/>
    <mergeCell ref="AH25:AI25"/>
    <mergeCell ref="AB24:AC24"/>
    <mergeCell ref="AD24:AE24"/>
    <mergeCell ref="AF24:AG24"/>
    <mergeCell ref="Q24:Y24"/>
    <mergeCell ref="Q25:Y25"/>
    <mergeCell ref="Z24:AA24"/>
    <mergeCell ref="Z25:AA25"/>
    <mergeCell ref="Q26:Y26"/>
    <mergeCell ref="Q27:Y27"/>
    <mergeCell ref="Z26:AA26"/>
    <mergeCell ref="Z27:AA27"/>
    <mergeCell ref="AH30:AI30"/>
    <mergeCell ref="AB34:AC34"/>
    <mergeCell ref="AD34:AE34"/>
    <mergeCell ref="AF34:AG34"/>
    <mergeCell ref="AB31:AC31"/>
    <mergeCell ref="AD31:AE31"/>
    <mergeCell ref="AF31:AG31"/>
    <mergeCell ref="AH31:AI31"/>
    <mergeCell ref="AB30:AC30"/>
    <mergeCell ref="AD30:AE30"/>
    <mergeCell ref="AF30:AG30"/>
    <mergeCell ref="AH32:AI32"/>
    <mergeCell ref="AB33:AC33"/>
    <mergeCell ref="AD33:AE33"/>
    <mergeCell ref="AF33:AG33"/>
    <mergeCell ref="AH33:AI33"/>
    <mergeCell ref="AB32:AC32"/>
    <mergeCell ref="AD32:AE32"/>
    <mergeCell ref="AF32:AG32"/>
    <mergeCell ref="AH34:AI34"/>
    <mergeCell ref="AB35:AC35"/>
    <mergeCell ref="AD35:AE35"/>
    <mergeCell ref="AF35:AG35"/>
    <mergeCell ref="AH35:AI35"/>
    <mergeCell ref="AH36:AI36"/>
    <mergeCell ref="AB36:AC36"/>
    <mergeCell ref="AD36:AE36"/>
    <mergeCell ref="AF36:AG36"/>
    <mergeCell ref="AB38:AC38"/>
    <mergeCell ref="AD38:AE38"/>
    <mergeCell ref="AF38:AG38"/>
    <mergeCell ref="AH38:AI38"/>
    <mergeCell ref="Z82:AA82"/>
    <mergeCell ref="Z83:AA83"/>
    <mergeCell ref="Q82:Y82"/>
    <mergeCell ref="Q83:Y83"/>
    <mergeCell ref="AH79:AI79"/>
    <mergeCell ref="AB48:AC48"/>
    <mergeCell ref="AD48:AE48"/>
    <mergeCell ref="AF48:AG48"/>
    <mergeCell ref="AB37:AC37"/>
    <mergeCell ref="AD37:AE37"/>
    <mergeCell ref="AF37:AG37"/>
    <mergeCell ref="AH37:AI37"/>
    <mergeCell ref="AB39:AC39"/>
    <mergeCell ref="AD39:AE39"/>
    <mergeCell ref="AF39:AG39"/>
    <mergeCell ref="AH39:AI39"/>
    <mergeCell ref="AH42:AI42"/>
    <mergeCell ref="AB43:AC43"/>
    <mergeCell ref="AD43:AE43"/>
    <mergeCell ref="AF43:AG43"/>
    <mergeCell ref="AH43:AI43"/>
    <mergeCell ref="Q42:Y42"/>
    <mergeCell ref="Q43:Y43"/>
    <mergeCell ref="Z42:AA42"/>
    <mergeCell ref="F46:K46"/>
    <mergeCell ref="AB82:AC82"/>
    <mergeCell ref="AD82:AE82"/>
    <mergeCell ref="AF82:AG82"/>
    <mergeCell ref="AH82:AI82"/>
    <mergeCell ref="AB83:AC83"/>
    <mergeCell ref="AD83:AE83"/>
    <mergeCell ref="AF83:AG83"/>
    <mergeCell ref="AH83:AI83"/>
    <mergeCell ref="AB80:AC80"/>
    <mergeCell ref="AD80:AE80"/>
    <mergeCell ref="AF80:AG80"/>
    <mergeCell ref="AH80:AI80"/>
    <mergeCell ref="AB81:AC81"/>
    <mergeCell ref="AD81:AE81"/>
    <mergeCell ref="AF81:AG81"/>
    <mergeCell ref="AH81:AI81"/>
    <mergeCell ref="AB78:AC78"/>
    <mergeCell ref="AD78:AE78"/>
    <mergeCell ref="AF78:AG78"/>
    <mergeCell ref="AH78:AI78"/>
    <mergeCell ref="AB79:AC79"/>
    <mergeCell ref="AD79:AE79"/>
    <mergeCell ref="AF79:AG79"/>
    <mergeCell ref="Z78:AA78"/>
    <mergeCell ref="Z79:AA79"/>
    <mergeCell ref="Z80:AA80"/>
    <mergeCell ref="Z81:AA81"/>
    <mergeCell ref="Q78:Y78"/>
    <mergeCell ref="Q79:Y79"/>
    <mergeCell ref="Q80:Y80"/>
    <mergeCell ref="Q81:Y81"/>
    <mergeCell ref="Q39:Y39"/>
    <mergeCell ref="Z39:AA39"/>
    <mergeCell ref="Z43:AA43"/>
    <mergeCell ref="Q46:Y46"/>
    <mergeCell ref="Q47:Y47"/>
    <mergeCell ref="Z46:AA46"/>
    <mergeCell ref="Z47:AA47"/>
    <mergeCell ref="Q44:Y44"/>
    <mergeCell ref="Q45:Y45"/>
    <mergeCell ref="Z44:AA44"/>
    <mergeCell ref="Z45:AA45"/>
    <mergeCell ref="Q35:Y35"/>
    <mergeCell ref="Q36:Y36"/>
    <mergeCell ref="Q37:Y37"/>
    <mergeCell ref="Q38:Y38"/>
    <mergeCell ref="Z30:AA30"/>
    <mergeCell ref="Z31:AA31"/>
    <mergeCell ref="Z32:AA32"/>
    <mergeCell ref="Z33:AA33"/>
    <mergeCell ref="Z34:AA34"/>
    <mergeCell ref="Z35:AA35"/>
    <mergeCell ref="Z36:AA36"/>
    <mergeCell ref="Z37:AA37"/>
    <mergeCell ref="Z38:AA38"/>
    <mergeCell ref="Q30:Y30"/>
    <mergeCell ref="Q31:Y31"/>
    <mergeCell ref="Q32:Y32"/>
    <mergeCell ref="Q33:Y33"/>
    <mergeCell ref="Q34:Y34"/>
  </mergeCells>
  <conditionalFormatting sqref="Q11:AI83">
    <cfRule type="expression" dxfId="116" priority="5">
      <formula>ISBLANK($Q11)</formula>
    </cfRule>
  </conditionalFormatting>
  <dataValidations count="3">
    <dataValidation allowBlank="1" showInputMessage="1" showErrorMessage="1" prompt="The average of the simulated returns of the asset/strategy" sqref="Z9:AC9" xr:uid="{00000000-0002-0000-0800-000000000000}"/>
    <dataValidation allowBlank="1" showInputMessage="1" showErrorMessage="1" prompt="Portfolio volatility sensitivity to a small change in the weight of each asset" sqref="AD9:AE9" xr:uid="{00000000-0002-0000-0800-000001000000}"/>
    <dataValidation allowBlank="1" showInputMessage="1" showErrorMessage="1" prompt="The return an asset must deliver in order to justify the amount of volatility it contributes to the overall portfolio" sqref="AF9:AG9" xr:uid="{00000000-0002-0000-0800-000002000000}"/>
  </dataValidations>
  <pageMargins left="0.7" right="0.7" top="0" bottom="0" header="0" footer="0"/>
  <pageSetup scale="66"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15" id="{0425909C-07BB-4CB0-8956-B6EC0561C807}">
            <x14:iconSet iconSet="3Symbols" custom="1">
              <x14:cfvo type="percent">
                <xm:f>0</xm:f>
              </x14:cfvo>
              <x14:cfvo type="num">
                <xm:f>0</xm:f>
              </x14:cfvo>
              <x14:cfvo type="num" gte="0">
                <xm:f>0</xm:f>
              </x14:cfvo>
              <x14:cfIcon iconSet="3Symbols" iconId="1"/>
              <x14:cfIcon iconSet="NoIcons" iconId="0"/>
              <x14:cfIcon iconSet="3Symbols" iconId="2"/>
            </x14:iconSet>
          </x14:cfRule>
          <xm:sqref>AH10:AI83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M103"/>
  <sheetViews>
    <sheetView workbookViewId="0"/>
  </sheetViews>
  <sheetFormatPr defaultRowHeight="15" x14ac:dyDescent="0.25"/>
  <cols>
    <col min="2" max="5" width="16.28515625" customWidth="1"/>
    <col min="6" max="8" width="9.140625" customWidth="1"/>
    <col min="9" max="12" width="16.28515625" customWidth="1"/>
  </cols>
  <sheetData>
    <row r="1" spans="1:13" x14ac:dyDescent="0.25">
      <c r="B1" s="308" t="s">
        <v>258</v>
      </c>
      <c r="C1" s="308" t="s">
        <v>18</v>
      </c>
      <c r="D1" s="308" t="s">
        <v>121</v>
      </c>
      <c r="E1" s="308" t="s">
        <v>257</v>
      </c>
      <c r="F1" s="308" t="s">
        <v>261</v>
      </c>
      <c r="I1" s="308" t="s">
        <v>259</v>
      </c>
      <c r="J1" s="308" t="s">
        <v>18</v>
      </c>
      <c r="K1" s="308" t="s">
        <v>121</v>
      </c>
      <c r="L1" s="308" t="s">
        <v>257</v>
      </c>
      <c r="M1" s="308" t="s">
        <v>261</v>
      </c>
    </row>
    <row r="2" spans="1:13" x14ac:dyDescent="0.25">
      <c r="B2" s="302" t="s">
        <v>351</v>
      </c>
      <c r="C2" s="269">
        <v>0.9376493977324154</v>
      </c>
      <c r="D2" s="269" t="s">
        <v>294</v>
      </c>
      <c r="E2" s="269" t="s">
        <v>294</v>
      </c>
      <c r="F2" s="270" t="s">
        <v>294</v>
      </c>
      <c r="I2" s="302" t="s">
        <v>351</v>
      </c>
      <c r="J2" s="269">
        <v>0.9376493977324154</v>
      </c>
      <c r="K2" s="269" t="s">
        <v>294</v>
      </c>
      <c r="L2" s="269" t="s">
        <v>294</v>
      </c>
      <c r="M2" s="270" t="s">
        <v>294</v>
      </c>
    </row>
    <row r="3" spans="1:13" x14ac:dyDescent="0.25">
      <c r="A3">
        <f t="array" ref="A3">INDEX('RISK BUDGETING (StDev)'!P$11:P$87, MATCH(1, (B3='RISK BUDGETING (StDev)'!Q$11:Q$87) * (C3='RISK BUDGETING (StDev)'!AB$11:AB$87) * (D3='RISK BUDGETING (StDev)'!AD$11:AD$87) * (E3='RISK BUDGETING (StDev)'!AF$11:AF$87), 0))</f>
        <v>1</v>
      </c>
      <c r="B3" t="s">
        <v>322</v>
      </c>
      <c r="C3">
        <v>0.52696580394678449</v>
      </c>
      <c r="D3">
        <v>0.62705205788520435</v>
      </c>
      <c r="E3">
        <v>0.78294267871567458</v>
      </c>
      <c r="F3">
        <v>-0.25597687476889008</v>
      </c>
      <c r="H3">
        <f t="array" ref="H3">INDEX('RISK BUDGETING (StDev)'!P$11:P$87, MATCH(1, (I3='RISK BUDGETING (StDev)'!Q$11:Q$87) * (J3='RISK BUDGETING (StDev)'!AB$11:AB$87) * (K3='RISK BUDGETING (StDev)'!AD$11:AD$87) * (L3='RISK BUDGETING (StDev)'!AF$11:AF$87), 0))</f>
        <v>13</v>
      </c>
      <c r="I3" t="s">
        <v>323</v>
      </c>
      <c r="J3">
        <v>1.070412969088532</v>
      </c>
      <c r="K3">
        <v>0.57713167145819322</v>
      </c>
      <c r="L3">
        <v>0.72061164801384947</v>
      </c>
      <c r="M3">
        <v>0.34980132107468254</v>
      </c>
    </row>
    <row r="4" spans="1:13" x14ac:dyDescent="0.25">
      <c r="A4">
        <f t="array" ref="A4">INDEX('RISK BUDGETING (StDev)'!P$11:P$87, MATCH(1, (B4='RISK BUDGETING (StDev)'!Q$11:Q$87) * (C4='RISK BUDGETING (StDev)'!AB$11:AB$87) * (D4='RISK BUDGETING (StDev)'!AD$11:AD$87) * (E4='RISK BUDGETING (StDev)'!AF$11:AF$87), 0))</f>
        <v>4</v>
      </c>
      <c r="B4" t="s">
        <v>320</v>
      </c>
      <c r="C4">
        <v>0.71084486914380762</v>
      </c>
      <c r="D4">
        <v>1.1300130887324948</v>
      </c>
      <c r="E4">
        <v>1.410944216752702</v>
      </c>
      <c r="F4">
        <v>-0.70009934760889436</v>
      </c>
      <c r="H4">
        <f t="array" ref="H4">INDEX('RISK BUDGETING (StDev)'!P$11:P$87, MATCH(1, (I4='RISK BUDGETING (StDev)'!Q$11:Q$87) * (J4='RISK BUDGETING (StDev)'!AB$11:AB$87) * (K4='RISK BUDGETING (StDev)'!AD$11:AD$87) * (L4='RISK BUDGETING (StDev)'!AF$11:AF$87), 0))</f>
        <v>35</v>
      </c>
      <c r="I4" t="s">
        <v>324</v>
      </c>
      <c r="J4">
        <v>-0.59150315309951873</v>
      </c>
      <c r="K4">
        <v>0.67609513124563136</v>
      </c>
      <c r="L4">
        <v>0.84417828865653699</v>
      </c>
      <c r="M4">
        <v>-1.4356814417560557</v>
      </c>
    </row>
    <row r="5" spans="1:13" x14ac:dyDescent="0.25">
      <c r="A5">
        <f t="array" ref="A5">INDEX('RISK BUDGETING (StDev)'!P$11:P$87, MATCH(1, (B5='RISK BUDGETING (StDev)'!Q$11:Q$87) * (C5='RISK BUDGETING (StDev)'!AB$11:AB$87) * (D5='RISK BUDGETING (StDev)'!AD$11:AD$87) * (E5='RISK BUDGETING (StDev)'!AF$11:AF$87), 0))</f>
        <v>12</v>
      </c>
      <c r="B5" t="s">
        <v>318</v>
      </c>
      <c r="C5">
        <v>0.97744841860439702</v>
      </c>
      <c r="D5">
        <v>1.0891745405043893</v>
      </c>
      <c r="E5">
        <v>1.3599528485839587</v>
      </c>
      <c r="F5">
        <v>-0.38250442997956169</v>
      </c>
      <c r="H5">
        <f t="array" ref="H5">INDEX('RISK BUDGETING (StDev)'!P$11:P$87, MATCH(1, (I5='RISK BUDGETING (StDev)'!Q$11:Q$87) * (J5='RISK BUDGETING (StDev)'!AB$11:AB$87) * (K5='RISK BUDGETING (StDev)'!AD$11:AD$87) * (L5='RISK BUDGETING (StDev)'!AF$11:AF$87), 0))</f>
        <v>44</v>
      </c>
      <c r="I5" t="s">
        <v>313</v>
      </c>
      <c r="J5">
        <v>0.98209791573682026</v>
      </c>
      <c r="K5">
        <v>0.31635737610865766</v>
      </c>
      <c r="L5">
        <v>0.3950065841699622</v>
      </c>
      <c r="M5">
        <v>0.587091331566858</v>
      </c>
    </row>
    <row r="6" spans="1:13" x14ac:dyDescent="0.25">
      <c r="A6">
        <f t="array" ref="A6">INDEX('RISK BUDGETING (StDev)'!P$11:P$87, MATCH(1, (B6='RISK BUDGETING (StDev)'!Q$11:Q$87) * (C6='RISK BUDGETING (StDev)'!AB$11:AB$87) * (D6='RISK BUDGETING (StDev)'!AD$11:AD$87) * (E6='RISK BUDGETING (StDev)'!AF$11:AF$87), 0))</f>
        <v>17</v>
      </c>
      <c r="B6" t="s">
        <v>319</v>
      </c>
      <c r="C6">
        <v>0.82495861727283271</v>
      </c>
      <c r="D6">
        <v>0.34545180423960736</v>
      </c>
      <c r="E6">
        <v>0.43133414136413234</v>
      </c>
      <c r="F6">
        <v>0.39362447590870037</v>
      </c>
      <c r="H6">
        <f t="array" ref="H6">INDEX('RISK BUDGETING (StDev)'!P$11:P$87, MATCH(1, (I6='RISK BUDGETING (StDev)'!Q$11:Q$87) * (J6='RISK BUDGETING (StDev)'!AB$11:AB$87) * (K6='RISK BUDGETING (StDev)'!AD$11:AD$87) * (L6='RISK BUDGETING (StDev)'!AF$11:AF$87), 0))</f>
        <v>36</v>
      </c>
      <c r="I6" t="s">
        <v>325</v>
      </c>
      <c r="J6">
        <v>0.76373881324272452</v>
      </c>
      <c r="K6">
        <v>0.4362011259307278</v>
      </c>
      <c r="L6">
        <v>0.54464453740382035</v>
      </c>
      <c r="M6">
        <v>0.21909427583890417</v>
      </c>
    </row>
    <row r="7" spans="1:13" x14ac:dyDescent="0.25">
      <c r="A7">
        <f t="array" ref="A7">INDEX('RISK BUDGETING (StDev)'!P$11:P$87, MATCH(1, (B7='RISK BUDGETING (StDev)'!Q$11:Q$87) * (C7='RISK BUDGETING (StDev)'!AB$11:AB$87) * (D7='RISK BUDGETING (StDev)'!AD$11:AD$87) * (E7='RISK BUDGETING (StDev)'!AF$11:AF$87), 0))</f>
        <v>21</v>
      </c>
      <c r="B7" t="s">
        <v>317</v>
      </c>
      <c r="C7">
        <v>0.96297433745027849</v>
      </c>
      <c r="D7">
        <v>1.1537179069550207</v>
      </c>
      <c r="E7">
        <v>1.4405422599202735</v>
      </c>
      <c r="F7">
        <v>-0.47756792246999502</v>
      </c>
      <c r="H7">
        <f t="array" ref="H7">INDEX('RISK BUDGETING (StDev)'!P$11:P$87, MATCH(1, (I7='RISK BUDGETING (StDev)'!Q$11:Q$87) * (J7='RISK BUDGETING (StDev)'!AB$11:AB$87) * (K7='RISK BUDGETING (StDev)'!AD$11:AD$87) * (L7='RISK BUDGETING (StDev)'!AF$11:AF$87), 0))</f>
        <v>5</v>
      </c>
      <c r="I7" t="s">
        <v>326</v>
      </c>
      <c r="J7">
        <v>0.87289775521258461</v>
      </c>
      <c r="K7">
        <v>0.14432683517284745</v>
      </c>
      <c r="L7">
        <v>0.18020774753836005</v>
      </c>
      <c r="M7">
        <v>0.69269000767422462</v>
      </c>
    </row>
    <row r="8" spans="1:13" x14ac:dyDescent="0.25">
      <c r="A8">
        <f t="array" ref="A8">INDEX('RISK BUDGETING (StDev)'!P$11:P$87, MATCH(1, (B8='RISK BUDGETING (StDev)'!Q$11:Q$87) * (C8='RISK BUDGETING (StDev)'!AB$11:AB$87) * (D8='RISK BUDGETING (StDev)'!AD$11:AD$87) * (E8='RISK BUDGETING (StDev)'!AF$11:AF$87), 0))</f>
        <v>27</v>
      </c>
      <c r="B8" t="s">
        <v>315</v>
      </c>
      <c r="C8">
        <v>1.098552404780093</v>
      </c>
      <c r="D8">
        <v>0.58772091420490524</v>
      </c>
      <c r="E8">
        <v>0.73383346903720958</v>
      </c>
      <c r="F8">
        <v>0.36471893574288339</v>
      </c>
      <c r="H8">
        <f t="array" ref="H8">INDEX('RISK BUDGETING (StDev)'!P$11:P$87, MATCH(1, (I8='RISK BUDGETING (StDev)'!Q$11:Q$87) * (J8='RISK BUDGETING (StDev)'!AB$11:AB$87) * (K8='RISK BUDGETING (StDev)'!AD$11:AD$87) * (L8='RISK BUDGETING (StDev)'!AF$11:AF$87), 0))</f>
        <v>37</v>
      </c>
      <c r="I8" t="s">
        <v>327</v>
      </c>
      <c r="J8">
        <v>1.2240245840614499</v>
      </c>
      <c r="K8">
        <v>0.81853224784519762</v>
      </c>
      <c r="L8">
        <v>1.0220265170717613</v>
      </c>
      <c r="M8">
        <v>0.20199806698968858</v>
      </c>
    </row>
    <row r="9" spans="1:13" x14ac:dyDescent="0.25">
      <c r="A9">
        <f t="array" ref="A9">INDEX('RISK BUDGETING (StDev)'!P$11:P$87, MATCH(1, (B9='RISK BUDGETING (StDev)'!Q$11:Q$87) * (C9='RISK BUDGETING (StDev)'!AB$11:AB$87) * (D9='RISK BUDGETING (StDev)'!AD$11:AD$87) * (E9='RISK BUDGETING (StDev)'!AF$11:AF$87), 0))</f>
        <v>34</v>
      </c>
      <c r="B9" t="s">
        <v>316</v>
      </c>
      <c r="C9">
        <v>0.82337776998936218</v>
      </c>
      <c r="D9">
        <v>0.52088268005203409</v>
      </c>
      <c r="E9">
        <v>0.6503786658351115</v>
      </c>
      <c r="F9">
        <v>0.17299910415425068</v>
      </c>
      <c r="H9">
        <f t="array" ref="H9">INDEX('RISK BUDGETING (StDev)'!P$11:P$87, MATCH(1, (I9='RISK BUDGETING (StDev)'!Q$11:Q$87) * (J9='RISK BUDGETING (StDev)'!AB$11:AB$87) * (K9='RISK BUDGETING (StDev)'!AD$11:AD$87) * (L9='RISK BUDGETING (StDev)'!AF$11:AF$87), 0))</f>
        <v>28</v>
      </c>
      <c r="I9" t="s">
        <v>328</v>
      </c>
      <c r="J9">
        <v>0.90210471791805935</v>
      </c>
      <c r="K9">
        <v>0.412639379582385</v>
      </c>
      <c r="L9">
        <v>0.51522513502851297</v>
      </c>
      <c r="M9">
        <v>0.38687958288954638</v>
      </c>
    </row>
    <row r="10" spans="1:13" x14ac:dyDescent="0.25">
      <c r="A10">
        <f t="array" ref="A10">INDEX('RISK BUDGETING (StDev)'!P$11:P$87, MATCH(1, (B10='RISK BUDGETING (StDev)'!Q$11:Q$87) * (C10='RISK BUDGETING (StDev)'!AB$11:AB$87) * (D10='RISK BUDGETING (StDev)'!AD$11:AD$87) * (E10='RISK BUDGETING (StDev)'!AF$11:AF$87), 0))</f>
        <v>43</v>
      </c>
      <c r="B10" t="s">
        <v>321</v>
      </c>
      <c r="C10">
        <v>0.91070065104020836</v>
      </c>
      <c r="D10">
        <v>0.77293543852788105</v>
      </c>
      <c r="E10">
        <v>0.96509394252891345</v>
      </c>
      <c r="F10">
        <v>-5.4393291488705087E-2</v>
      </c>
      <c r="H10">
        <f t="array" ref="H10">INDEX('RISK BUDGETING (StDev)'!P$11:P$87, MATCH(1, (I10='RISK BUDGETING (StDev)'!Q$11:Q$87) * (J10='RISK BUDGETING (StDev)'!AB$11:AB$87) * (K10='RISK BUDGETING (StDev)'!AD$11:AD$87) * (L10='RISK BUDGETING (StDev)'!AF$11:AF$87), 0))</f>
        <v>6</v>
      </c>
      <c r="I10" t="s">
        <v>329</v>
      </c>
      <c r="J10">
        <v>0.8489291545414801</v>
      </c>
      <c r="K10">
        <v>0.27266888490959423</v>
      </c>
      <c r="L10">
        <v>0.34045675230463107</v>
      </c>
      <c r="M10">
        <v>0.50847240223684897</v>
      </c>
    </row>
    <row r="11" spans="1:13" x14ac:dyDescent="0.25">
      <c r="A11" t="str">
        <f t="array" ref="A11">INDEX('RISK BUDGETING (StDev)'!P$11:P$87, MATCH(1, (B11='RISK BUDGETING (StDev)'!Q$11:Q$87) * (C11='RISK BUDGETING (StDev)'!AB$11:AB$87) * (D11='RISK BUDGETING (StDev)'!AD$11:AD$87) * (E11='RISK BUDGETING (StDev)'!AF$11:AF$87), 0))</f>
        <v/>
      </c>
      <c r="H11">
        <f t="array" ref="H11">INDEX('RISK BUDGETING (StDev)'!P$11:P$87, MATCH(1, (I11='RISK BUDGETING (StDev)'!Q$11:Q$87) * (J11='RISK BUDGETING (StDev)'!AB$11:AB$87) * (K11='RISK BUDGETING (StDev)'!AD$11:AD$87) * (L11='RISK BUDGETING (StDev)'!AF$11:AF$87), 0))</f>
        <v>2</v>
      </c>
      <c r="I11" t="s">
        <v>330</v>
      </c>
      <c r="J11">
        <v>0.23526581837368488</v>
      </c>
      <c r="K11">
        <v>0.18108481106104202</v>
      </c>
      <c r="L11">
        <v>0.22610407742703864</v>
      </c>
      <c r="M11">
        <v>9.1617409466462352E-3</v>
      </c>
    </row>
    <row r="12" spans="1:13" x14ac:dyDescent="0.25">
      <c r="A12" t="str">
        <f t="array" ref="A12">INDEX('RISK BUDGETING (StDev)'!P$11:P$87, MATCH(1, (B12='RISK BUDGETING (StDev)'!Q$11:Q$87) * (C12='RISK BUDGETING (StDev)'!AB$11:AB$87) * (D12='RISK BUDGETING (StDev)'!AD$11:AD$87) * (E12='RISK BUDGETING (StDev)'!AF$11:AF$87), 0))</f>
        <v/>
      </c>
      <c r="H12">
        <f t="array" ref="H12">INDEX('RISK BUDGETING (StDev)'!P$11:P$87, MATCH(1, (I12='RISK BUDGETING (StDev)'!Q$11:Q$87) * (J12='RISK BUDGETING (StDev)'!AB$11:AB$87) * (K12='RISK BUDGETING (StDev)'!AD$11:AD$87) * (L12='RISK BUDGETING (StDev)'!AF$11:AF$87), 0))</f>
        <v>22</v>
      </c>
      <c r="I12" t="s">
        <v>312</v>
      </c>
      <c r="J12">
        <v>0.89036567185711524</v>
      </c>
      <c r="K12">
        <v>0.26451556101518625</v>
      </c>
      <c r="L12">
        <v>0.33027644084556262</v>
      </c>
      <c r="M12">
        <v>0.56008923101155261</v>
      </c>
    </row>
    <row r="13" spans="1:13" x14ac:dyDescent="0.25">
      <c r="A13" t="str">
        <f t="array" ref="A13">INDEX('RISK BUDGETING (StDev)'!P$11:P$87, MATCH(1, (B13='RISK BUDGETING (StDev)'!Q$11:Q$87) * (C13='RISK BUDGETING (StDev)'!AB$11:AB$87) * (D13='RISK BUDGETING (StDev)'!AD$11:AD$87) * (E13='RISK BUDGETING (StDev)'!AF$11:AF$87), 0))</f>
        <v/>
      </c>
      <c r="H13">
        <f t="array" ref="H13">INDEX('RISK BUDGETING (StDev)'!P$11:P$87, MATCH(1, (I13='RISK BUDGETING (StDev)'!Q$11:Q$87) * (J13='RISK BUDGETING (StDev)'!AB$11:AB$87) * (K13='RISK BUDGETING (StDev)'!AD$11:AD$87) * (L13='RISK BUDGETING (StDev)'!AF$11:AF$87), 0))</f>
        <v>29</v>
      </c>
      <c r="I13" t="s">
        <v>331</v>
      </c>
      <c r="J13">
        <v>1.7007493867712347</v>
      </c>
      <c r="K13">
        <v>1.3654622025908845</v>
      </c>
      <c r="L13">
        <v>1.7049280376929319</v>
      </c>
      <c r="M13">
        <v>-4.1786509216972245E-3</v>
      </c>
    </row>
    <row r="14" spans="1:13" x14ac:dyDescent="0.25">
      <c r="A14" t="str">
        <f t="array" ref="A14">INDEX('RISK BUDGETING (StDev)'!P$11:P$87, MATCH(1, (B14='RISK BUDGETING (StDev)'!Q$11:Q$87) * (C14='RISK BUDGETING (StDev)'!AB$11:AB$87) * (D14='RISK BUDGETING (StDev)'!AD$11:AD$87) * (E14='RISK BUDGETING (StDev)'!AF$11:AF$87), 0))</f>
        <v/>
      </c>
      <c r="H14">
        <f t="array" ref="H14">INDEX('RISK BUDGETING (StDev)'!P$11:P$87, MATCH(1, (I14='RISK BUDGETING (StDev)'!Q$11:Q$87) * (J14='RISK BUDGETING (StDev)'!AB$11:AB$87) * (K14='RISK BUDGETING (StDev)'!AD$11:AD$87) * (L14='RISK BUDGETING (StDev)'!AF$11:AF$87), 0))</f>
        <v>30</v>
      </c>
      <c r="I14" t="s">
        <v>311</v>
      </c>
      <c r="J14">
        <v>1.4252162442827232</v>
      </c>
      <c r="K14">
        <v>0.44421708388188796</v>
      </c>
      <c r="L14">
        <v>0.55465333254583404</v>
      </c>
      <c r="M14">
        <v>0.87056291173688916</v>
      </c>
    </row>
    <row r="15" spans="1:13" x14ac:dyDescent="0.25">
      <c r="A15" t="str">
        <f t="array" ref="A15">INDEX('RISK BUDGETING (StDev)'!P$11:P$87, MATCH(1, (B15='RISK BUDGETING (StDev)'!Q$11:Q$87) * (C15='RISK BUDGETING (StDev)'!AB$11:AB$87) * (D15='RISK BUDGETING (StDev)'!AD$11:AD$87) * (E15='RISK BUDGETING (StDev)'!AF$11:AF$87), 0))</f>
        <v/>
      </c>
      <c r="H15">
        <f t="array" ref="H15">INDEX('RISK BUDGETING (StDev)'!P$11:P$87, MATCH(1, (I15='RISK BUDGETING (StDev)'!Q$11:Q$87) * (J15='RISK BUDGETING (StDev)'!AB$11:AB$87) * (K15='RISK BUDGETING (StDev)'!AD$11:AD$87) * (L15='RISK BUDGETING (StDev)'!AF$11:AF$87), 0))</f>
        <v>31</v>
      </c>
      <c r="I15" t="s">
        <v>309</v>
      </c>
      <c r="J15">
        <v>1.2936613506325858</v>
      </c>
      <c r="K15">
        <v>0.20032400543548382</v>
      </c>
      <c r="L15">
        <v>0.25012630363686372</v>
      </c>
      <c r="M15">
        <v>1.0435350469957221</v>
      </c>
    </row>
    <row r="16" spans="1:13" x14ac:dyDescent="0.25">
      <c r="A16" t="str">
        <f t="array" ref="A16">INDEX('RISK BUDGETING (StDev)'!P$11:P$87, MATCH(1, (B16='RISK BUDGETING (StDev)'!Q$11:Q$87) * (C16='RISK BUDGETING (StDev)'!AB$11:AB$87) * (D16='RISK BUDGETING (StDev)'!AD$11:AD$87) * (E16='RISK BUDGETING (StDev)'!AF$11:AF$87), 0))</f>
        <v/>
      </c>
      <c r="H16">
        <f t="array" ref="H16">INDEX('RISK BUDGETING (StDev)'!P$11:P$87, MATCH(1, (I16='RISK BUDGETING (StDev)'!Q$11:Q$87) * (J16='RISK BUDGETING (StDev)'!AB$11:AB$87) * (K16='RISK BUDGETING (StDev)'!AD$11:AD$87) * (L16='RISK BUDGETING (StDev)'!AF$11:AF$87), 0))</f>
        <v>14</v>
      </c>
      <c r="I16" t="s">
        <v>332</v>
      </c>
      <c r="J16">
        <v>1.0463513292958786</v>
      </c>
      <c r="K16">
        <v>1.4867381671547932</v>
      </c>
      <c r="L16">
        <v>1.8563542667682846</v>
      </c>
      <c r="M16">
        <v>-0.81000293747240604</v>
      </c>
    </row>
    <row r="17" spans="1:13" x14ac:dyDescent="0.25">
      <c r="A17" t="str">
        <f t="array" ref="A17">INDEX('RISK BUDGETING (StDev)'!P$11:P$87, MATCH(1, (B17='RISK BUDGETING (StDev)'!Q$11:Q$87) * (C17='RISK BUDGETING (StDev)'!AB$11:AB$87) * (D17='RISK BUDGETING (StDev)'!AD$11:AD$87) * (E17='RISK BUDGETING (StDev)'!AF$11:AF$87), 0))</f>
        <v/>
      </c>
      <c r="H17">
        <f t="array" ref="H17">INDEX('RISK BUDGETING (StDev)'!P$11:P$87, MATCH(1, (I17='RISK BUDGETING (StDev)'!Q$11:Q$87) * (J17='RISK BUDGETING (StDev)'!AB$11:AB$87) * (K17='RISK BUDGETING (StDev)'!AD$11:AD$87) * (L17='RISK BUDGETING (StDev)'!AF$11:AF$87), 0))</f>
        <v>15</v>
      </c>
      <c r="I17" t="s">
        <v>333</v>
      </c>
      <c r="J17">
        <v>0.57425514939531197</v>
      </c>
      <c r="K17">
        <v>0.58178341591435923</v>
      </c>
      <c r="L17">
        <v>0.72641985678920451</v>
      </c>
      <c r="M17">
        <v>-0.15216470739389254</v>
      </c>
    </row>
    <row r="18" spans="1:13" x14ac:dyDescent="0.25">
      <c r="A18" t="str">
        <f t="array" ref="A18">INDEX('RISK BUDGETING (StDev)'!P$11:P$87, MATCH(1, (B18='RISK BUDGETING (StDev)'!Q$11:Q$87) * (C18='RISK BUDGETING (StDev)'!AB$11:AB$87) * (D18='RISK BUDGETING (StDev)'!AD$11:AD$87) * (E18='RISK BUDGETING (StDev)'!AF$11:AF$87), 0))</f>
        <v/>
      </c>
      <c r="H18">
        <f t="array" ref="H18">INDEX('RISK BUDGETING (StDev)'!P$11:P$87, MATCH(1, (I18='RISK BUDGETING (StDev)'!Q$11:Q$87) * (J18='RISK BUDGETING (StDev)'!AB$11:AB$87) * (K18='RISK BUDGETING (StDev)'!AD$11:AD$87) * (L18='RISK BUDGETING (StDev)'!AF$11:AF$87), 0))</f>
        <v>32</v>
      </c>
      <c r="I18" t="s">
        <v>334</v>
      </c>
      <c r="J18">
        <v>0.71204297040772346</v>
      </c>
      <c r="K18">
        <v>0.33876464644349297</v>
      </c>
      <c r="L18">
        <v>0.42298449770688673</v>
      </c>
      <c r="M18">
        <v>0.28905847270083673</v>
      </c>
    </row>
    <row r="19" spans="1:13" x14ac:dyDescent="0.25">
      <c r="A19" t="str">
        <f t="array" ref="A19">INDEX('RISK BUDGETING (StDev)'!P$11:P$87, MATCH(1, (B19='RISK BUDGETING (StDev)'!Q$11:Q$87) * (C19='RISK BUDGETING (StDev)'!AB$11:AB$87) * (D19='RISK BUDGETING (StDev)'!AD$11:AD$87) * (E19='RISK BUDGETING (StDev)'!AF$11:AF$87), 0))</f>
        <v/>
      </c>
      <c r="H19">
        <f t="array" ref="H19">INDEX('RISK BUDGETING (StDev)'!P$11:P$87, MATCH(1, (I19='RISK BUDGETING (StDev)'!Q$11:Q$87) * (J19='RISK BUDGETING (StDev)'!AB$11:AB$87) * (K19='RISK BUDGETING (StDev)'!AD$11:AD$87) * (L19='RISK BUDGETING (StDev)'!AF$11:AF$87), 0))</f>
        <v>18</v>
      </c>
      <c r="I19" t="s">
        <v>335</v>
      </c>
      <c r="J19">
        <v>0.86964862390834785</v>
      </c>
      <c r="K19">
        <v>0.42812486491735985</v>
      </c>
      <c r="L19">
        <v>0.53456044733138808</v>
      </c>
      <c r="M19">
        <v>0.33508817657695977</v>
      </c>
    </row>
    <row r="20" spans="1:13" x14ac:dyDescent="0.25">
      <c r="A20" t="str">
        <f t="array" ref="A20">INDEX('RISK BUDGETING (StDev)'!P$11:P$87, MATCH(1, (B20='RISK BUDGETING (StDev)'!Q$11:Q$87) * (C20='RISK BUDGETING (StDev)'!AB$11:AB$87) * (D20='RISK BUDGETING (StDev)'!AD$11:AD$87) * (E20='RISK BUDGETING (StDev)'!AF$11:AF$87), 0))</f>
        <v/>
      </c>
      <c r="H20">
        <f t="array" ref="H20">INDEX('RISK BUDGETING (StDev)'!P$11:P$87, MATCH(1, (I20='RISK BUDGETING (StDev)'!Q$11:Q$87) * (J20='RISK BUDGETING (StDev)'!AB$11:AB$87) * (K20='RISK BUDGETING (StDev)'!AD$11:AD$87) * (L20='RISK BUDGETING (StDev)'!AF$11:AF$87), 0))</f>
        <v>19</v>
      </c>
      <c r="I20" t="s">
        <v>336</v>
      </c>
      <c r="J20">
        <v>0.6302408043882255</v>
      </c>
      <c r="K20">
        <v>0.46708449874468694</v>
      </c>
      <c r="L20">
        <v>0.5832057865611634</v>
      </c>
      <c r="M20">
        <v>4.7035017827062098E-2</v>
      </c>
    </row>
    <row r="21" spans="1:13" x14ac:dyDescent="0.25">
      <c r="A21" t="str">
        <f t="array" ref="A21">INDEX('RISK BUDGETING (StDev)'!P$11:P$87, MATCH(1, (B21='RISK BUDGETING (StDev)'!Q$11:Q$87) * (C21='RISK BUDGETING (StDev)'!AB$11:AB$87) * (D21='RISK BUDGETING (StDev)'!AD$11:AD$87) * (E21='RISK BUDGETING (StDev)'!AF$11:AF$87), 0))</f>
        <v/>
      </c>
      <c r="H21">
        <f t="array" ref="H21">INDEX('RISK BUDGETING (StDev)'!P$11:P$87, MATCH(1, (I21='RISK BUDGETING (StDev)'!Q$11:Q$87) * (J21='RISK BUDGETING (StDev)'!AB$11:AB$87) * (K21='RISK BUDGETING (StDev)'!AD$11:AD$87) * (L21='RISK BUDGETING (StDev)'!AF$11:AF$87), 0))</f>
        <v>23</v>
      </c>
      <c r="I21" t="s">
        <v>307</v>
      </c>
      <c r="J21">
        <v>0.73676292898015627</v>
      </c>
      <c r="K21">
        <v>1.6418692303993967</v>
      </c>
      <c r="L21">
        <v>2.0500522678854076</v>
      </c>
      <c r="M21">
        <v>-1.3132893389052513</v>
      </c>
    </row>
    <row r="22" spans="1:13" x14ac:dyDescent="0.25">
      <c r="A22" t="str">
        <f t="array" ref="A22">INDEX('RISK BUDGETING (StDev)'!P$11:P$87, MATCH(1, (B22='RISK BUDGETING (StDev)'!Q$11:Q$87) * (C22='RISK BUDGETING (StDev)'!AB$11:AB$87) * (D22='RISK BUDGETING (StDev)'!AD$11:AD$87) * (E22='RISK BUDGETING (StDev)'!AF$11:AF$87), 0))</f>
        <v/>
      </c>
      <c r="H22">
        <f t="array" ref="H22">INDEX('RISK BUDGETING (StDev)'!P$11:P$87, MATCH(1, (I22='RISK BUDGETING (StDev)'!Q$11:Q$87) * (J22='RISK BUDGETING (StDev)'!AB$11:AB$87) * (K22='RISK BUDGETING (StDev)'!AD$11:AD$87) * (L22='RISK BUDGETING (StDev)'!AF$11:AF$87), 0))</f>
        <v>3</v>
      </c>
      <c r="I22" t="s">
        <v>337</v>
      </c>
      <c r="J22">
        <v>0.64839132159262669</v>
      </c>
      <c r="K22">
        <v>0.8126941781353062</v>
      </c>
      <c r="L22">
        <v>1.0147370522183725</v>
      </c>
      <c r="M22">
        <v>-0.36634573062574582</v>
      </c>
    </row>
    <row r="23" spans="1:13" x14ac:dyDescent="0.25">
      <c r="A23" t="str">
        <f t="array" ref="A23">INDEX('RISK BUDGETING (StDev)'!P$11:P$87, MATCH(1, (B23='RISK BUDGETING (StDev)'!Q$11:Q$87) * (C23='RISK BUDGETING (StDev)'!AB$11:AB$87) * (D23='RISK BUDGETING (StDev)'!AD$11:AD$87) * (E23='RISK BUDGETING (StDev)'!AF$11:AF$87), 0))</f>
        <v/>
      </c>
      <c r="H23">
        <f t="array" ref="H23">INDEX('RISK BUDGETING (StDev)'!P$11:P$87, MATCH(1, (I23='RISK BUDGETING (StDev)'!Q$11:Q$87) * (J23='RISK BUDGETING (StDev)'!AB$11:AB$87) * (K23='RISK BUDGETING (StDev)'!AD$11:AD$87) * (L23='RISK BUDGETING (StDev)'!AF$11:AF$87), 0))</f>
        <v>45</v>
      </c>
      <c r="I23" t="s">
        <v>338</v>
      </c>
      <c r="J23">
        <v>0.87674791411798414</v>
      </c>
      <c r="K23">
        <v>0.99005965054976119</v>
      </c>
      <c r="L23">
        <v>1.2361971309113411</v>
      </c>
      <c r="M23">
        <v>-0.35944921679335695</v>
      </c>
    </row>
    <row r="24" spans="1:13" x14ac:dyDescent="0.25">
      <c r="A24" t="str">
        <f t="array" ref="A24">INDEX('RISK BUDGETING (StDev)'!P$11:P$87, MATCH(1, (B24='RISK BUDGETING (StDev)'!Q$11:Q$87) * (C24='RISK BUDGETING (StDev)'!AB$11:AB$87) * (D24='RISK BUDGETING (StDev)'!AD$11:AD$87) * (E24='RISK BUDGETING (StDev)'!AF$11:AF$87), 0))</f>
        <v/>
      </c>
      <c r="H24">
        <f t="array" ref="H24">INDEX('RISK BUDGETING (StDev)'!P$11:P$87, MATCH(1, (I24='RISK BUDGETING (StDev)'!Q$11:Q$87) * (J24='RISK BUDGETING (StDev)'!AB$11:AB$87) * (K24='RISK BUDGETING (StDev)'!AD$11:AD$87) * (L24='RISK BUDGETING (StDev)'!AF$11:AF$87), 0))</f>
        <v>20</v>
      </c>
      <c r="I24" t="s">
        <v>339</v>
      </c>
      <c r="J24">
        <v>0.87570578509636088</v>
      </c>
      <c r="K24">
        <v>0.26479885536830983</v>
      </c>
      <c r="L24">
        <v>0.33063016465033274</v>
      </c>
      <c r="M24">
        <v>0.54507562044602809</v>
      </c>
    </row>
    <row r="25" spans="1:13" x14ac:dyDescent="0.25">
      <c r="A25" t="str">
        <f t="array" ref="A25">INDEX('RISK BUDGETING (StDev)'!P$11:P$87, MATCH(1, (B25='RISK BUDGETING (StDev)'!Q$11:Q$87) * (C25='RISK BUDGETING (StDev)'!AB$11:AB$87) * (D25='RISK BUDGETING (StDev)'!AD$11:AD$87) * (E25='RISK BUDGETING (StDev)'!AF$11:AF$87), 0))</f>
        <v/>
      </c>
      <c r="H25">
        <f t="array" ref="H25">INDEX('RISK BUDGETING (StDev)'!P$11:P$87, MATCH(1, (I25='RISK BUDGETING (StDev)'!Q$11:Q$87) * (J25='RISK BUDGETING (StDev)'!AB$11:AB$87) * (K25='RISK BUDGETING (StDev)'!AD$11:AD$87) * (L25='RISK BUDGETING (StDev)'!AF$11:AF$87), 0))</f>
        <v>38</v>
      </c>
      <c r="I25" t="s">
        <v>340</v>
      </c>
      <c r="J25">
        <v>9.619057318761301E-2</v>
      </c>
      <c r="K25">
        <v>0.26970978132508283</v>
      </c>
      <c r="L25">
        <v>0.3367619897121033</v>
      </c>
      <c r="M25">
        <v>-0.24057141652449029</v>
      </c>
    </row>
    <row r="26" spans="1:13" x14ac:dyDescent="0.25">
      <c r="A26" t="str">
        <f t="array" ref="A26">INDEX('RISK BUDGETING (StDev)'!P$11:P$87, MATCH(1, (B26='RISK BUDGETING (StDev)'!Q$11:Q$87) * (C26='RISK BUDGETING (StDev)'!AB$11:AB$87) * (D26='RISK BUDGETING (StDev)'!AD$11:AD$87) * (E26='RISK BUDGETING (StDev)'!AF$11:AF$87), 0))</f>
        <v/>
      </c>
      <c r="H26">
        <f t="array" ref="H26">INDEX('RISK BUDGETING (StDev)'!P$11:P$87, MATCH(1, (I26='RISK BUDGETING (StDev)'!Q$11:Q$87) * (J26='RISK BUDGETING (StDev)'!AB$11:AB$87) * (K26='RISK BUDGETING (StDev)'!AD$11:AD$87) * (L26='RISK BUDGETING (StDev)'!AF$11:AF$87), 0))</f>
        <v>7</v>
      </c>
      <c r="I26" t="s">
        <v>341</v>
      </c>
      <c r="J26">
        <v>-7.0365045698543821E-2</v>
      </c>
      <c r="K26">
        <v>0.65353361493851447</v>
      </c>
      <c r="L26">
        <v>0.81600778225079906</v>
      </c>
      <c r="M26">
        <v>-0.88637282794934291</v>
      </c>
    </row>
    <row r="27" spans="1:13" x14ac:dyDescent="0.25">
      <c r="A27" t="str">
        <f t="array" ref="A27">INDEX('RISK BUDGETING (StDev)'!P$11:P$87, MATCH(1, (B27='RISK BUDGETING (StDev)'!Q$11:Q$87) * (C27='RISK BUDGETING (StDev)'!AB$11:AB$87) * (D27='RISK BUDGETING (StDev)'!AD$11:AD$87) * (E27='RISK BUDGETING (StDev)'!AF$11:AF$87), 0))</f>
        <v/>
      </c>
      <c r="H27">
        <f t="array" ref="H27">INDEX('RISK BUDGETING (StDev)'!P$11:P$87, MATCH(1, (I27='RISK BUDGETING (StDev)'!Q$11:Q$87) * (J27='RISK BUDGETING (StDev)'!AB$11:AB$87) * (K27='RISK BUDGETING (StDev)'!AD$11:AD$87) * (L27='RISK BUDGETING (StDev)'!AF$11:AF$87), 0))</f>
        <v>8</v>
      </c>
      <c r="I27" t="s">
        <v>310</v>
      </c>
      <c r="J27">
        <v>0.34156768158000195</v>
      </c>
      <c r="K27">
        <v>-0.13901257234755304</v>
      </c>
      <c r="L27">
        <v>-0.17357231253816427</v>
      </c>
      <c r="M27">
        <v>0.51513999411816624</v>
      </c>
    </row>
    <row r="28" spans="1:13" x14ac:dyDescent="0.25">
      <c r="A28" t="str">
        <f t="array" ref="A28">INDEX('RISK BUDGETING (StDev)'!P$11:P$87, MATCH(1, (B28='RISK BUDGETING (StDev)'!Q$11:Q$87) * (C28='RISK BUDGETING (StDev)'!AB$11:AB$87) * (D28='RISK BUDGETING (StDev)'!AD$11:AD$87) * (E28='RISK BUDGETING (StDev)'!AF$11:AF$87), 0))</f>
        <v/>
      </c>
      <c r="H28">
        <f t="array" ref="H28">INDEX('RISK BUDGETING (StDev)'!P$11:P$87, MATCH(1, (I28='RISK BUDGETING (StDev)'!Q$11:Q$87) * (J28='RISK BUDGETING (StDev)'!AB$11:AB$87) * (K28='RISK BUDGETING (StDev)'!AD$11:AD$87) * (L28='RISK BUDGETING (StDev)'!AF$11:AF$87), 0))</f>
        <v>9</v>
      </c>
      <c r="I28" t="s">
        <v>305</v>
      </c>
      <c r="J28">
        <v>0.51903774134260061</v>
      </c>
      <c r="K28">
        <v>1.7618599311303809</v>
      </c>
      <c r="L28">
        <v>2.1998737053081894</v>
      </c>
      <c r="M28">
        <v>-1.6808359639655888</v>
      </c>
    </row>
    <row r="29" spans="1:13" x14ac:dyDescent="0.25">
      <c r="A29" t="str">
        <f t="array" ref="A29">INDEX('RISK BUDGETING (StDev)'!P$11:P$87, MATCH(1, (B29='RISK BUDGETING (StDev)'!Q$11:Q$87) * (C29='RISK BUDGETING (StDev)'!AB$11:AB$87) * (D29='RISK BUDGETING (StDev)'!AD$11:AD$87) * (E29='RISK BUDGETING (StDev)'!AF$11:AF$87), 0))</f>
        <v/>
      </c>
      <c r="H29">
        <f t="array" ref="H29">INDEX('RISK BUDGETING (StDev)'!P$11:P$87, MATCH(1, (I29='RISK BUDGETING (StDev)'!Q$11:Q$87) * (J29='RISK BUDGETING (StDev)'!AB$11:AB$87) * (K29='RISK BUDGETING (StDev)'!AD$11:AD$87) * (L29='RISK BUDGETING (StDev)'!AF$11:AF$87), 0))</f>
        <v>24</v>
      </c>
      <c r="I29" t="s">
        <v>342</v>
      </c>
      <c r="J29">
        <v>0.56030430209459359</v>
      </c>
      <c r="K29">
        <v>1.1640465976439374</v>
      </c>
      <c r="L29">
        <v>1.453438753367525</v>
      </c>
      <c r="M29">
        <v>-0.89313445127293145</v>
      </c>
    </row>
    <row r="30" spans="1:13" x14ac:dyDescent="0.25">
      <c r="A30" t="str">
        <f t="array" ref="A30">INDEX('RISK BUDGETING (StDev)'!P$11:P$87, MATCH(1, (B30='RISK BUDGETING (StDev)'!Q$11:Q$87) * (C30='RISK BUDGETING (StDev)'!AB$11:AB$87) * (D30='RISK BUDGETING (StDev)'!AD$11:AD$87) * (E30='RISK BUDGETING (StDev)'!AF$11:AF$87), 0))</f>
        <v/>
      </c>
      <c r="H30">
        <f t="array" ref="H30">INDEX('RISK BUDGETING (StDev)'!P$11:P$87, MATCH(1, (I30='RISK BUDGETING (StDev)'!Q$11:Q$87) * (J30='RISK BUDGETING (StDev)'!AB$11:AB$87) * (K30='RISK BUDGETING (StDev)'!AD$11:AD$87) * (L30='RISK BUDGETING (StDev)'!AF$11:AF$87), 0))</f>
        <v>39</v>
      </c>
      <c r="I30" t="s">
        <v>343</v>
      </c>
      <c r="J30">
        <v>0.81454710070217551</v>
      </c>
      <c r="K30">
        <v>0.52597055535524118</v>
      </c>
      <c r="L30">
        <v>0.65673143139704249</v>
      </c>
      <c r="M30">
        <v>0.15781566930513302</v>
      </c>
    </row>
    <row r="31" spans="1:13" x14ac:dyDescent="0.25">
      <c r="A31" t="str">
        <f t="array" ref="A31">INDEX('RISK BUDGETING (StDev)'!P$11:P$87, MATCH(1, (B31='RISK BUDGETING (StDev)'!Q$11:Q$87) * (C31='RISK BUDGETING (StDev)'!AB$11:AB$87) * (D31='RISK BUDGETING (StDev)'!AD$11:AD$87) * (E31='RISK BUDGETING (StDev)'!AF$11:AF$87), 0))</f>
        <v/>
      </c>
      <c r="H31">
        <f t="array" ref="H31">INDEX('RISK BUDGETING (StDev)'!P$11:P$87, MATCH(1, (I31='RISK BUDGETING (StDev)'!Q$11:Q$87) * (J31='RISK BUDGETING (StDev)'!AB$11:AB$87) * (K31='RISK BUDGETING (StDev)'!AD$11:AD$87) * (L31='RISK BUDGETING (StDev)'!AF$11:AF$87), 0))</f>
        <v>25</v>
      </c>
      <c r="I31" t="s">
        <v>306</v>
      </c>
      <c r="J31">
        <v>0.48438409188778858</v>
      </c>
      <c r="K31">
        <v>1.3853513642716708</v>
      </c>
      <c r="L31">
        <v>1.7297618187609192</v>
      </c>
      <c r="M31">
        <v>-1.2453777268731305</v>
      </c>
    </row>
    <row r="32" spans="1:13" x14ac:dyDescent="0.25">
      <c r="A32" t="str">
        <f t="array" ref="A32">INDEX('RISK BUDGETING (StDev)'!P$11:P$87, MATCH(1, (B32='RISK BUDGETING (StDev)'!Q$11:Q$87) * (C32='RISK BUDGETING (StDev)'!AB$11:AB$87) * (D32='RISK BUDGETING (StDev)'!AD$11:AD$87) * (E32='RISK BUDGETING (StDev)'!AF$11:AF$87), 0))</f>
        <v/>
      </c>
      <c r="H32">
        <f t="array" ref="H32">INDEX('RISK BUDGETING (StDev)'!P$11:P$87, MATCH(1, (I32='RISK BUDGETING (StDev)'!Q$11:Q$87) * (J32='RISK BUDGETING (StDev)'!AB$11:AB$87) * (K32='RISK BUDGETING (StDev)'!AD$11:AD$87) * (L32='RISK BUDGETING (StDev)'!AF$11:AF$87), 0))</f>
        <v>40</v>
      </c>
      <c r="I32" t="s">
        <v>344</v>
      </c>
      <c r="J32">
        <v>0.4723515398106492</v>
      </c>
      <c r="K32">
        <v>8.222469910602935E-2</v>
      </c>
      <c r="L32">
        <v>0.1026664777909901</v>
      </c>
      <c r="M32">
        <v>0.36968506201965912</v>
      </c>
    </row>
    <row r="33" spans="1:13" x14ac:dyDescent="0.25">
      <c r="A33" t="str">
        <f t="array" ref="A33">INDEX('RISK BUDGETING (StDev)'!P$11:P$87, MATCH(1, (B33='RISK BUDGETING (StDev)'!Q$11:Q$87) * (C33='RISK BUDGETING (StDev)'!AB$11:AB$87) * (D33='RISK BUDGETING (StDev)'!AD$11:AD$87) * (E33='RISK BUDGETING (StDev)'!AF$11:AF$87), 0))</f>
        <v/>
      </c>
      <c r="H33">
        <f t="array" ref="H33">INDEX('RISK BUDGETING (StDev)'!P$11:P$87, MATCH(1, (I33='RISK BUDGETING (StDev)'!Q$11:Q$87) * (J33='RISK BUDGETING (StDev)'!AB$11:AB$87) * (K33='RISK BUDGETING (StDev)'!AD$11:AD$87) * (L33='RISK BUDGETING (StDev)'!AF$11:AF$87), 0))</f>
        <v>26</v>
      </c>
      <c r="I33" t="s">
        <v>345</v>
      </c>
      <c r="J33">
        <v>1.389198981781846</v>
      </c>
      <c r="K33">
        <v>1.2705789129085776</v>
      </c>
      <c r="L33">
        <v>1.5864559330964136</v>
      </c>
      <c r="M33">
        <v>-0.19725695131456766</v>
      </c>
    </row>
    <row r="34" spans="1:13" x14ac:dyDescent="0.25">
      <c r="H34">
        <f t="array" ref="H34">INDEX('RISK BUDGETING (StDev)'!P$11:P$87, MATCH(1, (I34='RISK BUDGETING (StDev)'!Q$11:Q$87) * (J34='RISK BUDGETING (StDev)'!AB$11:AB$87) * (K34='RISK BUDGETING (StDev)'!AD$11:AD$87) * (L34='RISK BUDGETING (StDev)'!AF$11:AF$87), 0))</f>
        <v>16</v>
      </c>
      <c r="I34" t="s">
        <v>308</v>
      </c>
      <c r="J34">
        <v>1.3756037275364426</v>
      </c>
      <c r="K34">
        <v>1.6052194414074674</v>
      </c>
      <c r="L34">
        <v>2.0042910211007623</v>
      </c>
      <c r="M34">
        <v>-0.62868729356431974</v>
      </c>
    </row>
    <row r="35" spans="1:13" x14ac:dyDescent="0.25">
      <c r="H35">
        <f t="array" ref="H35">INDEX('RISK BUDGETING (StDev)'!P$11:P$87, MATCH(1, (I35='RISK BUDGETING (StDev)'!Q$11:Q$87) * (J35='RISK BUDGETING (StDev)'!AB$11:AB$87) * (K35='RISK BUDGETING (StDev)'!AD$11:AD$87) * (L35='RISK BUDGETING (StDev)'!AF$11:AF$87), 0))</f>
        <v>10</v>
      </c>
      <c r="I35" t="s">
        <v>346</v>
      </c>
      <c r="J35">
        <v>1.5690664565354817</v>
      </c>
      <c r="K35">
        <v>0.83188046408107552</v>
      </c>
      <c r="L35">
        <v>1.0386932165018572</v>
      </c>
      <c r="M35">
        <v>0.53037324003362452</v>
      </c>
    </row>
    <row r="36" spans="1:13" x14ac:dyDescent="0.25">
      <c r="H36">
        <f t="array" ref="H36">INDEX('RISK BUDGETING (StDev)'!P$11:P$87, MATCH(1, (I36='RISK BUDGETING (StDev)'!Q$11:Q$87) * (J36='RISK BUDGETING (StDev)'!AB$11:AB$87) * (K36='RISK BUDGETING (StDev)'!AD$11:AD$87) * (L36='RISK BUDGETING (StDev)'!AF$11:AF$87), 0))</f>
        <v>11</v>
      </c>
      <c r="I36" t="s">
        <v>304</v>
      </c>
      <c r="J36">
        <v>1.1693906991605869</v>
      </c>
      <c r="K36">
        <v>3.3037878077405223</v>
      </c>
      <c r="L36">
        <v>4.1251383255552092</v>
      </c>
      <c r="M36">
        <v>-2.9557476263946221</v>
      </c>
    </row>
    <row r="37" spans="1:13" x14ac:dyDescent="0.25">
      <c r="H37">
        <f t="array" ref="H37">INDEX('RISK BUDGETING (StDev)'!P$11:P$87, MATCH(1, (I37='RISK BUDGETING (StDev)'!Q$11:Q$87) * (J37='RISK BUDGETING (StDev)'!AB$11:AB$87) * (K37='RISK BUDGETING (StDev)'!AD$11:AD$87) * (L37='RISK BUDGETING (StDev)'!AF$11:AF$87), 0))</f>
        <v>41</v>
      </c>
      <c r="I37" t="s">
        <v>347</v>
      </c>
      <c r="J37">
        <v>1.2224809786082593</v>
      </c>
      <c r="K37">
        <v>0.40116845431613923</v>
      </c>
      <c r="L37">
        <v>0.5009024375070471</v>
      </c>
      <c r="M37">
        <v>0.72157854110121222</v>
      </c>
    </row>
    <row r="38" spans="1:13" x14ac:dyDescent="0.25">
      <c r="H38">
        <f t="array" ref="H38">INDEX('RISK BUDGETING (StDev)'!P$11:P$87, MATCH(1, (I38='RISK BUDGETING (StDev)'!Q$11:Q$87) * (J38='RISK BUDGETING (StDev)'!AB$11:AB$87) * (K38='RISK BUDGETING (StDev)'!AD$11:AD$87) * (L38='RISK BUDGETING (StDev)'!AF$11:AF$87), 0))</f>
        <v>42</v>
      </c>
      <c r="I38" t="s">
        <v>348</v>
      </c>
      <c r="J38">
        <v>0.75803820129462485</v>
      </c>
      <c r="K38">
        <v>0.80542119820128499</v>
      </c>
      <c r="L38">
        <v>1.0056559459207628</v>
      </c>
      <c r="M38">
        <v>-0.24761774462613795</v>
      </c>
    </row>
    <row r="39" spans="1:13" x14ac:dyDescent="0.25">
      <c r="H39">
        <f t="array" ref="H39">INDEX('RISK BUDGETING (StDev)'!P$11:P$87, MATCH(1, (I39='RISK BUDGETING (StDev)'!Q$11:Q$87) * (J39='RISK BUDGETING (StDev)'!AB$11:AB$87) * (K39='RISK BUDGETING (StDev)'!AD$11:AD$87) * (L39='RISK BUDGETING (StDev)'!AF$11:AF$87), 0))</f>
        <v>33</v>
      </c>
      <c r="I39" t="s">
        <v>349</v>
      </c>
      <c r="J39">
        <v>0.94527755569980543</v>
      </c>
      <c r="K39">
        <v>1.5436233081717392</v>
      </c>
      <c r="L39">
        <v>1.9273815509097507</v>
      </c>
      <c r="M39">
        <v>-0.98210399520994529</v>
      </c>
    </row>
    <row r="40" spans="1:13" x14ac:dyDescent="0.25">
      <c r="H40" t="str">
        <f t="array" ref="H40">INDEX('RISK BUDGETING (StDev)'!P$11:P$87, MATCH(1, (I40='RISK BUDGETING (StDev)'!Q$11:Q$87) * (J40='RISK BUDGETING (StDev)'!AB$11:AB$87) * (K40='RISK BUDGETING (StDev)'!AD$11:AD$87) * (L40='RISK BUDGETING (StDev)'!AF$11:AF$87), 0))</f>
        <v/>
      </c>
    </row>
    <row r="41" spans="1:13" x14ac:dyDescent="0.25">
      <c r="H41" t="str">
        <f t="array" ref="H41">INDEX('RISK BUDGETING (StDev)'!P$11:P$87, MATCH(1, (I41='RISK BUDGETING (StDev)'!Q$11:Q$87) * (J41='RISK BUDGETING (StDev)'!AB$11:AB$87) * (K41='RISK BUDGETING (StDev)'!AD$11:AD$87) * (L41='RISK BUDGETING (StDev)'!AF$11:AF$87), 0))</f>
        <v/>
      </c>
    </row>
    <row r="42" spans="1:13" x14ac:dyDescent="0.25">
      <c r="H42" t="str">
        <f t="array" ref="H42">INDEX('RISK BUDGETING (StDev)'!P$11:P$87, MATCH(1, (I42='RISK BUDGETING (StDev)'!Q$11:Q$87) * (J42='RISK BUDGETING (StDev)'!AB$11:AB$87) * (K42='RISK BUDGETING (StDev)'!AD$11:AD$87) * (L42='RISK BUDGETING (StDev)'!AF$11:AF$87), 0))</f>
        <v/>
      </c>
    </row>
    <row r="43" spans="1:13" x14ac:dyDescent="0.25">
      <c r="H43" t="str">
        <f t="array" ref="H43">INDEX('RISK BUDGETING (StDev)'!P$11:P$87, MATCH(1, (I43='RISK BUDGETING (StDev)'!Q$11:Q$87) * (J43='RISK BUDGETING (StDev)'!AB$11:AB$87) * (K43='RISK BUDGETING (StDev)'!AD$11:AD$87) * (L43='RISK BUDGETING (StDev)'!AF$11:AF$87), 0))</f>
        <v/>
      </c>
    </row>
    <row r="44" spans="1:13" x14ac:dyDescent="0.25">
      <c r="H44" t="str">
        <f t="array" ref="H44">INDEX('RISK BUDGETING (StDev)'!P$11:P$87, MATCH(1, (I44='RISK BUDGETING (StDev)'!Q$11:Q$87) * (J44='RISK BUDGETING (StDev)'!AB$11:AB$87) * (K44='RISK BUDGETING (StDev)'!AD$11:AD$87) * (L44='RISK BUDGETING (StDev)'!AF$11:AF$87), 0))</f>
        <v/>
      </c>
    </row>
    <row r="45" spans="1:13" x14ac:dyDescent="0.25">
      <c r="H45" t="str">
        <f t="array" ref="H45">INDEX('RISK BUDGETING (StDev)'!P$11:P$87, MATCH(1, (I45='RISK BUDGETING (StDev)'!Q$11:Q$87) * (J45='RISK BUDGETING (StDev)'!AB$11:AB$87) * (K45='RISK BUDGETING (StDev)'!AD$11:AD$87) * (L45='RISK BUDGETING (StDev)'!AF$11:AF$87), 0))</f>
        <v/>
      </c>
    </row>
    <row r="46" spans="1:13" x14ac:dyDescent="0.25">
      <c r="H46" t="str">
        <f t="array" ref="H46">INDEX('RISK BUDGETING (StDev)'!P$11:P$87, MATCH(1, (I46='RISK BUDGETING (StDev)'!Q$11:Q$87) * (J46='RISK BUDGETING (StDev)'!AB$11:AB$87) * (K46='RISK BUDGETING (StDev)'!AD$11:AD$87) * (L46='RISK BUDGETING (StDev)'!AF$11:AF$87), 0))</f>
        <v/>
      </c>
    </row>
    <row r="47" spans="1:13" x14ac:dyDescent="0.25">
      <c r="H47" t="str">
        <f t="array" ref="H47">INDEX('RISK BUDGETING (StDev)'!P$11:P$87, MATCH(1, (I47='RISK BUDGETING (StDev)'!Q$11:Q$87) * (J47='RISK BUDGETING (StDev)'!AB$11:AB$87) * (K47='RISK BUDGETING (StDev)'!AD$11:AD$87) * (L47='RISK BUDGETING (StDev)'!AF$11:AF$87), 0))</f>
        <v/>
      </c>
    </row>
    <row r="48" spans="1:13" x14ac:dyDescent="0.25">
      <c r="H48" t="str">
        <f t="array" ref="H48">INDEX('RISK BUDGETING (StDev)'!P$11:P$87, MATCH(1, (I48='RISK BUDGETING (StDev)'!Q$11:Q$87) * (J48='RISK BUDGETING (StDev)'!AB$11:AB$87) * (K48='RISK BUDGETING (StDev)'!AD$11:AD$87) * (L48='RISK BUDGETING (StDev)'!AF$11:AF$87), 0))</f>
        <v/>
      </c>
    </row>
    <row r="49" spans="8:8" x14ac:dyDescent="0.25">
      <c r="H49" t="str">
        <f t="array" ref="H49">INDEX('RISK BUDGETING (StDev)'!P$11:P$87, MATCH(1, (I49='RISK BUDGETING (StDev)'!Q$11:Q$87) * (J49='RISK BUDGETING (StDev)'!AB$11:AB$87) * (K49='RISK BUDGETING (StDev)'!AD$11:AD$87) * (L49='RISK BUDGETING (StDev)'!AF$11:AF$87), 0))</f>
        <v/>
      </c>
    </row>
    <row r="50" spans="8:8" x14ac:dyDescent="0.25">
      <c r="H50" t="str">
        <f t="array" ref="H50">INDEX('RISK BUDGETING (StDev)'!P$11:P$87, MATCH(1, (I50='RISK BUDGETING (StDev)'!Q$11:Q$87) * (J50='RISK BUDGETING (StDev)'!AB$11:AB$87) * (K50='RISK BUDGETING (StDev)'!AD$11:AD$87) * (L50='RISK BUDGETING (StDev)'!AF$11:AF$87), 0))</f>
        <v/>
      </c>
    </row>
    <row r="51" spans="8:8" x14ac:dyDescent="0.25">
      <c r="H51" t="str">
        <f t="array" ref="H51">INDEX('RISK BUDGETING (StDev)'!P$11:P$87, MATCH(1, (I51='RISK BUDGETING (StDev)'!Q$11:Q$87) * (J51='RISK BUDGETING (StDev)'!AB$11:AB$87) * (K51='RISK BUDGETING (StDev)'!AD$11:AD$87) * (L51='RISK BUDGETING (StDev)'!AF$11:AF$87), 0))</f>
        <v/>
      </c>
    </row>
    <row r="52" spans="8:8" x14ac:dyDescent="0.25">
      <c r="H52" t="str">
        <f t="array" ref="H52">INDEX('RISK BUDGETING (StDev)'!P$11:P$87, MATCH(1, (I52='RISK BUDGETING (StDev)'!Q$11:Q$87) * (J52='RISK BUDGETING (StDev)'!AB$11:AB$87) * (K52='RISK BUDGETING (StDev)'!AD$11:AD$87) * (L52='RISK BUDGETING (StDev)'!AF$11:AF$87), 0))</f>
        <v/>
      </c>
    </row>
    <row r="53" spans="8:8" x14ac:dyDescent="0.25">
      <c r="H53" t="str">
        <f t="array" ref="H53">INDEX('RISK BUDGETING (StDev)'!P$11:P$87, MATCH(1, (I53='RISK BUDGETING (StDev)'!Q$11:Q$87) * (J53='RISK BUDGETING (StDev)'!AB$11:AB$87) * (K53='RISK BUDGETING (StDev)'!AD$11:AD$87) * (L53='RISK BUDGETING (StDev)'!AF$11:AF$87), 0))</f>
        <v/>
      </c>
    </row>
    <row r="54" spans="8:8" x14ac:dyDescent="0.25">
      <c r="H54" t="str">
        <f t="array" ref="H54">INDEX('RISK BUDGETING (StDev)'!P$11:P$87, MATCH(1, (I54='RISK BUDGETING (StDev)'!Q$11:Q$87) * (J54='RISK BUDGETING (StDev)'!AB$11:AB$87) * (K54='RISK BUDGETING (StDev)'!AD$11:AD$87) * (L54='RISK BUDGETING (StDev)'!AF$11:AF$87), 0))</f>
        <v/>
      </c>
    </row>
    <row r="55" spans="8:8" x14ac:dyDescent="0.25">
      <c r="H55" t="str">
        <f t="array" ref="H55">INDEX('RISK BUDGETING (StDev)'!P$11:P$87, MATCH(1, (I55='RISK BUDGETING (StDev)'!Q$11:Q$87) * (J55='RISK BUDGETING (StDev)'!AB$11:AB$87) * (K55='RISK BUDGETING (StDev)'!AD$11:AD$87) * (L55='RISK BUDGETING (StDev)'!AF$11:AF$87), 0))</f>
        <v/>
      </c>
    </row>
    <row r="56" spans="8:8" x14ac:dyDescent="0.25">
      <c r="H56" t="str">
        <f t="array" ref="H56">INDEX('RISK BUDGETING (StDev)'!P$11:P$87, MATCH(1, (I56='RISK BUDGETING (StDev)'!Q$11:Q$87) * (J56='RISK BUDGETING (StDev)'!AB$11:AB$87) * (K56='RISK BUDGETING (StDev)'!AD$11:AD$87) * (L56='RISK BUDGETING (StDev)'!AF$11:AF$87), 0))</f>
        <v/>
      </c>
    </row>
    <row r="57" spans="8:8" x14ac:dyDescent="0.25">
      <c r="H57" t="str">
        <f t="array" ref="H57">INDEX('RISK BUDGETING (StDev)'!P$11:P$87, MATCH(1, (I57='RISK BUDGETING (StDev)'!Q$11:Q$87) * (J57='RISK BUDGETING (StDev)'!AB$11:AB$87) * (K57='RISK BUDGETING (StDev)'!AD$11:AD$87) * (L57='RISK BUDGETING (StDev)'!AF$11:AF$87), 0))</f>
        <v/>
      </c>
    </row>
    <row r="58" spans="8:8" x14ac:dyDescent="0.25">
      <c r="H58" t="str">
        <f t="array" ref="H58">INDEX('RISK BUDGETING (StDev)'!P$11:P$87, MATCH(1, (I58='RISK BUDGETING (StDev)'!Q$11:Q$87) * (J58='RISK BUDGETING (StDev)'!AB$11:AB$87) * (K58='RISK BUDGETING (StDev)'!AD$11:AD$87) * (L58='RISK BUDGETING (StDev)'!AF$11:AF$87), 0))</f>
        <v/>
      </c>
    </row>
    <row r="59" spans="8:8" x14ac:dyDescent="0.25">
      <c r="H59" t="str">
        <f t="array" ref="H59">INDEX('RISK BUDGETING (StDev)'!P$11:P$87, MATCH(1, (I59='RISK BUDGETING (StDev)'!Q$11:Q$87) * (J59='RISK BUDGETING (StDev)'!AB$11:AB$87) * (K59='RISK BUDGETING (StDev)'!AD$11:AD$87) * (L59='RISK BUDGETING (StDev)'!AF$11:AF$87), 0))</f>
        <v/>
      </c>
    </row>
    <row r="60" spans="8:8" x14ac:dyDescent="0.25">
      <c r="H60" t="str">
        <f t="array" ref="H60">INDEX('RISK BUDGETING (StDev)'!P$11:P$87, MATCH(1, (I60='RISK BUDGETING (StDev)'!Q$11:Q$87) * (J60='RISK BUDGETING (StDev)'!AB$11:AB$87) * (K60='RISK BUDGETING (StDev)'!AD$11:AD$87) * (L60='RISK BUDGETING (StDev)'!AF$11:AF$87), 0))</f>
        <v/>
      </c>
    </row>
    <row r="61" spans="8:8" x14ac:dyDescent="0.25">
      <c r="H61" t="str">
        <f t="array" ref="H61">INDEX('RISK BUDGETING (StDev)'!P$11:P$87, MATCH(1, (I61='RISK BUDGETING (StDev)'!Q$11:Q$87) * (J61='RISK BUDGETING (StDev)'!AB$11:AB$87) * (K61='RISK BUDGETING (StDev)'!AD$11:AD$87) * (L61='RISK BUDGETING (StDev)'!AF$11:AF$87), 0))</f>
        <v/>
      </c>
    </row>
    <row r="62" spans="8:8" x14ac:dyDescent="0.25">
      <c r="H62" t="str">
        <f t="array" ref="H62">INDEX('RISK BUDGETING (StDev)'!P$11:P$87, MATCH(1, (I62='RISK BUDGETING (StDev)'!Q$11:Q$87) * (J62='RISK BUDGETING (StDev)'!AB$11:AB$87) * (K62='RISK BUDGETING (StDev)'!AD$11:AD$87) * (L62='RISK BUDGETING (StDev)'!AF$11:AF$87), 0))</f>
        <v/>
      </c>
    </row>
    <row r="63" spans="8:8" x14ac:dyDescent="0.25">
      <c r="H63" t="str">
        <f t="array" ref="H63">INDEX('RISK BUDGETING (StDev)'!P$11:P$87, MATCH(1, (I63='RISK BUDGETING (StDev)'!Q$11:Q$87) * (J63='RISK BUDGETING (StDev)'!AB$11:AB$87) * (K63='RISK BUDGETING (StDev)'!AD$11:AD$87) * (L63='RISK BUDGETING (StDev)'!AF$11:AF$87), 0))</f>
        <v/>
      </c>
    </row>
    <row r="64" spans="8:8" x14ac:dyDescent="0.25">
      <c r="H64" t="str">
        <f t="array" ref="H64">INDEX('RISK BUDGETING (StDev)'!P$11:P$87, MATCH(1, (I64='RISK BUDGETING (StDev)'!Q$11:Q$87) * (J64='RISK BUDGETING (StDev)'!AB$11:AB$87) * (K64='RISK BUDGETING (StDev)'!AD$11:AD$87) * (L64='RISK BUDGETING (StDev)'!AF$11:AF$87), 0))</f>
        <v/>
      </c>
    </row>
    <row r="65" spans="8:8" x14ac:dyDescent="0.25">
      <c r="H65" t="str">
        <f t="array" ref="H65">INDEX('RISK BUDGETING (StDev)'!P$11:P$87, MATCH(1, (I65='RISK BUDGETING (StDev)'!Q$11:Q$87) * (J65='RISK BUDGETING (StDev)'!AB$11:AB$87) * (K65='RISK BUDGETING (StDev)'!AD$11:AD$87) * (L65='RISK BUDGETING (StDev)'!AF$11:AF$87), 0))</f>
        <v/>
      </c>
    </row>
    <row r="66" spans="8:8" x14ac:dyDescent="0.25">
      <c r="H66" t="str">
        <f t="array" ref="H66">INDEX('RISK BUDGETING (StDev)'!P$11:P$87, MATCH(1, (I66='RISK BUDGETING (StDev)'!Q$11:Q$87) * (J66='RISK BUDGETING (StDev)'!AB$11:AB$87) * (K66='RISK BUDGETING (StDev)'!AD$11:AD$87) * (L66='RISK BUDGETING (StDev)'!AF$11:AF$87), 0))</f>
        <v/>
      </c>
    </row>
    <row r="67" spans="8:8" x14ac:dyDescent="0.25">
      <c r="H67" t="str">
        <f t="array" ref="H67">INDEX('RISK BUDGETING (StDev)'!P$11:P$87, MATCH(1, (I67='RISK BUDGETING (StDev)'!Q$11:Q$87) * (J67='RISK BUDGETING (StDev)'!AB$11:AB$87) * (K67='RISK BUDGETING (StDev)'!AD$11:AD$87) * (L67='RISK BUDGETING (StDev)'!AF$11:AF$87), 0))</f>
        <v/>
      </c>
    </row>
    <row r="68" spans="8:8" x14ac:dyDescent="0.25">
      <c r="H68" t="str">
        <f t="array" ref="H68">INDEX('RISK BUDGETING (StDev)'!P$11:P$87, MATCH(1, (I68='RISK BUDGETING (StDev)'!Q$11:Q$87) * (J68='RISK BUDGETING (StDev)'!AB$11:AB$87) * (K68='RISK BUDGETING (StDev)'!AD$11:AD$87) * (L68='RISK BUDGETING (StDev)'!AF$11:AF$87), 0))</f>
        <v/>
      </c>
    </row>
    <row r="69" spans="8:8" x14ac:dyDescent="0.25">
      <c r="H69" t="str">
        <f t="array" ref="H69">INDEX('RISK BUDGETING (StDev)'!P$11:P$87, MATCH(1, (I69='RISK BUDGETING (StDev)'!Q$11:Q$87) * (J69='RISK BUDGETING (StDev)'!AB$11:AB$87) * (K69='RISK BUDGETING (StDev)'!AD$11:AD$87) * (L69='RISK BUDGETING (StDev)'!AF$11:AF$87), 0))</f>
        <v/>
      </c>
    </row>
    <row r="70" spans="8:8" x14ac:dyDescent="0.25">
      <c r="H70" t="str">
        <f t="array" ref="H70">INDEX('RISK BUDGETING (StDev)'!P$11:P$87, MATCH(1, (I70='RISK BUDGETING (StDev)'!Q$11:Q$87) * (J70='RISK BUDGETING (StDev)'!AB$11:AB$87) * (K70='RISK BUDGETING (StDev)'!AD$11:AD$87) * (L70='RISK BUDGETING (StDev)'!AF$11:AF$87), 0))</f>
        <v/>
      </c>
    </row>
    <row r="71" spans="8:8" x14ac:dyDescent="0.25">
      <c r="H71" t="str">
        <f t="array" ref="H71">INDEX('RISK BUDGETING (StDev)'!P$11:P$87, MATCH(1, (I71='RISK BUDGETING (StDev)'!Q$11:Q$87) * (J71='RISK BUDGETING (StDev)'!AB$11:AB$87) * (K71='RISK BUDGETING (StDev)'!AD$11:AD$87) * (L71='RISK BUDGETING (StDev)'!AF$11:AF$87), 0))</f>
        <v/>
      </c>
    </row>
    <row r="72" spans="8:8" x14ac:dyDescent="0.25">
      <c r="H72" t="str">
        <f t="array" ref="H72">INDEX('RISK BUDGETING (StDev)'!P$11:P$87, MATCH(1, (I72='RISK BUDGETING (StDev)'!Q$11:Q$87) * (J72='RISK BUDGETING (StDev)'!AB$11:AB$87) * (K72='RISK BUDGETING (StDev)'!AD$11:AD$87) * (L72='RISK BUDGETING (StDev)'!AF$11:AF$87), 0))</f>
        <v/>
      </c>
    </row>
    <row r="73" spans="8:8" x14ac:dyDescent="0.25">
      <c r="H73" t="str">
        <f t="array" ref="H73">INDEX('RISK BUDGETING (StDev)'!P$11:P$87, MATCH(1, (I73='RISK BUDGETING (StDev)'!Q$11:Q$87) * (J73='RISK BUDGETING (StDev)'!AB$11:AB$87) * (K73='RISK BUDGETING (StDev)'!AD$11:AD$87) * (L73='RISK BUDGETING (StDev)'!AF$11:AF$87), 0))</f>
        <v/>
      </c>
    </row>
    <row r="74" spans="8:8" x14ac:dyDescent="0.25">
      <c r="H74" t="str">
        <f t="array" ref="H74">INDEX('RISK BUDGETING (StDev)'!P$11:P$87, MATCH(1, (I74='RISK BUDGETING (StDev)'!Q$11:Q$87) * (J74='RISK BUDGETING (StDev)'!AB$11:AB$87) * (K74='RISK BUDGETING (StDev)'!AD$11:AD$87) * (L74='RISK BUDGETING (StDev)'!AF$11:AF$87), 0))</f>
        <v/>
      </c>
    </row>
    <row r="75" spans="8:8" x14ac:dyDescent="0.25">
      <c r="H75" t="str">
        <f t="array" ref="H75">INDEX('RISK BUDGETING (StDev)'!P$11:P$87, MATCH(1, (I75='RISK BUDGETING (StDev)'!Q$11:Q$87) * (J75='RISK BUDGETING (StDev)'!AB$11:AB$87) * (K75='RISK BUDGETING (StDev)'!AD$11:AD$87) * (L75='RISK BUDGETING (StDev)'!AF$11:AF$87), 0))</f>
        <v/>
      </c>
    </row>
    <row r="76" spans="8:8" x14ac:dyDescent="0.25">
      <c r="H76" t="str">
        <f t="array" ref="H76">INDEX('RISK BUDGETING (StDev)'!P$11:P$87, MATCH(1, (I76='RISK BUDGETING (StDev)'!Q$11:Q$87) * (J76='RISK BUDGETING (StDev)'!AB$11:AB$87) * (K76='RISK BUDGETING (StDev)'!AD$11:AD$87) * (L76='RISK BUDGETING (StDev)'!AF$11:AF$87), 0))</f>
        <v/>
      </c>
    </row>
    <row r="77" spans="8:8" x14ac:dyDescent="0.25">
      <c r="H77" t="str">
        <f t="array" ref="H77">INDEX('RISK BUDGETING (StDev)'!P$11:P$87, MATCH(1, (I77='RISK BUDGETING (StDev)'!Q$11:Q$87) * (J77='RISK BUDGETING (StDev)'!AB$11:AB$87) * (K77='RISK BUDGETING (StDev)'!AD$11:AD$87) * (L77='RISK BUDGETING (StDev)'!AF$11:AF$87), 0))</f>
        <v/>
      </c>
    </row>
    <row r="78" spans="8:8" x14ac:dyDescent="0.25">
      <c r="H78" t="str">
        <f t="array" ref="H78">INDEX('RISK BUDGETING (StDev)'!P$11:P$87, MATCH(1, (I78='RISK BUDGETING (StDev)'!Q$11:Q$87) * (J78='RISK BUDGETING (StDev)'!AB$11:AB$87) * (K78='RISK BUDGETING (StDev)'!AD$11:AD$87) * (L78='RISK BUDGETING (StDev)'!AF$11:AF$87), 0))</f>
        <v/>
      </c>
    </row>
    <row r="79" spans="8:8" x14ac:dyDescent="0.25">
      <c r="H79" t="str">
        <f t="array" ref="H79">INDEX('RISK BUDGETING (StDev)'!P$11:P$87, MATCH(1, (I79='RISK BUDGETING (StDev)'!Q$11:Q$87) * (J79='RISK BUDGETING (StDev)'!AB$11:AB$87) * (K79='RISK BUDGETING (StDev)'!AD$11:AD$87) * (L79='RISK BUDGETING (StDev)'!AF$11:AF$87), 0))</f>
        <v/>
      </c>
    </row>
    <row r="80" spans="8:8" x14ac:dyDescent="0.25">
      <c r="H80" t="str">
        <f t="array" ref="H80">INDEX('RISK BUDGETING (StDev)'!P$11:P$87, MATCH(1, (I80='RISK BUDGETING (StDev)'!Q$11:Q$87) * (J80='RISK BUDGETING (StDev)'!AB$11:AB$87) * (K80='RISK BUDGETING (StDev)'!AD$11:AD$87) * (L80='RISK BUDGETING (StDev)'!AF$11:AF$87), 0))</f>
        <v/>
      </c>
    </row>
    <row r="81" spans="8:8" x14ac:dyDescent="0.25">
      <c r="H81" t="str">
        <f t="array" ref="H81">INDEX('RISK BUDGETING (StDev)'!P$11:P$87, MATCH(1, (I81='RISK BUDGETING (StDev)'!Q$11:Q$87) * (J81='RISK BUDGETING (StDev)'!AB$11:AB$87) * (K81='RISK BUDGETING (StDev)'!AD$11:AD$87) * (L81='RISK BUDGETING (StDev)'!AF$11:AF$87), 0))</f>
        <v/>
      </c>
    </row>
    <row r="82" spans="8:8" x14ac:dyDescent="0.25">
      <c r="H82" t="str">
        <f t="array" ref="H82">INDEX('RISK BUDGETING (StDev)'!P$11:P$87, MATCH(1, (I82='RISK BUDGETING (StDev)'!Q$11:Q$87) * (J82='RISK BUDGETING (StDev)'!AB$11:AB$87) * (K82='RISK BUDGETING (StDev)'!AD$11:AD$87) * (L82='RISK BUDGETING (StDev)'!AF$11:AF$87), 0))</f>
        <v/>
      </c>
    </row>
    <row r="83" spans="8:8" x14ac:dyDescent="0.25">
      <c r="H83" t="str">
        <f t="array" ref="H83">INDEX('RISK BUDGETING (StDev)'!P$11:P$87, MATCH(1, (I83='RISK BUDGETING (StDev)'!Q$11:Q$87) * (J83='RISK BUDGETING (StDev)'!AB$11:AB$87) * (K83='RISK BUDGETING (StDev)'!AD$11:AD$87) * (L83='RISK BUDGETING (StDev)'!AF$11:AF$87), 0))</f>
        <v/>
      </c>
    </row>
    <row r="84" spans="8:8" x14ac:dyDescent="0.25">
      <c r="H84" t="str">
        <f t="array" ref="H84">INDEX('RISK BUDGETING (StDev)'!P$11:P$87, MATCH(1, (I84='RISK BUDGETING (StDev)'!Q$11:Q$87) * (J84='RISK BUDGETING (StDev)'!AB$11:AB$87) * (K84='RISK BUDGETING (StDev)'!AD$11:AD$87) * (L84='RISK BUDGETING (StDev)'!AF$11:AF$87), 0))</f>
        <v/>
      </c>
    </row>
    <row r="85" spans="8:8" x14ac:dyDescent="0.25">
      <c r="H85" t="str">
        <f t="array" ref="H85">INDEX('RISK BUDGETING (StDev)'!P$11:P$87, MATCH(1, (I85='RISK BUDGETING (StDev)'!Q$11:Q$87) * (J85='RISK BUDGETING (StDev)'!AB$11:AB$87) * (K85='RISK BUDGETING (StDev)'!AD$11:AD$87) * (L85='RISK BUDGETING (StDev)'!AF$11:AF$87), 0))</f>
        <v/>
      </c>
    </row>
    <row r="86" spans="8:8" x14ac:dyDescent="0.25">
      <c r="H86" t="str">
        <f t="array" ref="H86">INDEX('RISK BUDGETING (StDev)'!P$11:P$87, MATCH(1, (I86='RISK BUDGETING (StDev)'!Q$11:Q$87) * (J86='RISK BUDGETING (StDev)'!AB$11:AB$87) * (K86='RISK BUDGETING (StDev)'!AD$11:AD$87) * (L86='RISK BUDGETING (StDev)'!AF$11:AF$87), 0))</f>
        <v/>
      </c>
    </row>
    <row r="87" spans="8:8" x14ac:dyDescent="0.25">
      <c r="H87" t="str">
        <f t="array" ref="H87">INDEX('RISK BUDGETING (StDev)'!P$11:P$87, MATCH(1, (I87='RISK BUDGETING (StDev)'!Q$11:Q$87) * (J87='RISK BUDGETING (StDev)'!AB$11:AB$87) * (K87='RISK BUDGETING (StDev)'!AD$11:AD$87) * (L87='RISK BUDGETING (StDev)'!AF$11:AF$87), 0))</f>
        <v/>
      </c>
    </row>
    <row r="88" spans="8:8" x14ac:dyDescent="0.25">
      <c r="H88" t="str">
        <f t="array" ref="H88">INDEX('RISK BUDGETING (StDev)'!P$11:P$87, MATCH(1, (I88='RISK BUDGETING (StDev)'!Q$11:Q$87) * (J88='RISK BUDGETING (StDev)'!AB$11:AB$87) * (K88='RISK BUDGETING (StDev)'!AD$11:AD$87) * (L88='RISK BUDGETING (StDev)'!AF$11:AF$87), 0))</f>
        <v/>
      </c>
    </row>
    <row r="89" spans="8:8" x14ac:dyDescent="0.25">
      <c r="H89" t="str">
        <f t="array" ref="H89">INDEX('RISK BUDGETING (StDev)'!P$11:P$87, MATCH(1, (I89='RISK BUDGETING (StDev)'!Q$11:Q$87) * (J89='RISK BUDGETING (StDev)'!AB$11:AB$87) * (K89='RISK BUDGETING (StDev)'!AD$11:AD$87) * (L89='RISK BUDGETING (StDev)'!AF$11:AF$87), 0))</f>
        <v/>
      </c>
    </row>
    <row r="90" spans="8:8" x14ac:dyDescent="0.25">
      <c r="H90" t="str">
        <f t="array" ref="H90">INDEX('RISK BUDGETING (StDev)'!P$11:P$87, MATCH(1, (I90='RISK BUDGETING (StDev)'!Q$11:Q$87) * (J90='RISK BUDGETING (StDev)'!AB$11:AB$87) * (K90='RISK BUDGETING (StDev)'!AD$11:AD$87) * (L90='RISK BUDGETING (StDev)'!AF$11:AF$87), 0))</f>
        <v/>
      </c>
    </row>
    <row r="91" spans="8:8" x14ac:dyDescent="0.25">
      <c r="H91" t="str">
        <f t="array" ref="H91">INDEX('RISK BUDGETING (StDev)'!P$11:P$87, MATCH(1, (I91='RISK BUDGETING (StDev)'!Q$11:Q$87) * (J91='RISK BUDGETING (StDev)'!AB$11:AB$87) * (K91='RISK BUDGETING (StDev)'!AD$11:AD$87) * (L91='RISK BUDGETING (StDev)'!AF$11:AF$87), 0))</f>
        <v/>
      </c>
    </row>
    <row r="92" spans="8:8" x14ac:dyDescent="0.25">
      <c r="H92" t="str">
        <f t="array" ref="H92">INDEX('RISK BUDGETING (StDev)'!P$11:P$87, MATCH(1, (I92='RISK BUDGETING (StDev)'!Q$11:Q$87) * (J92='RISK BUDGETING (StDev)'!AB$11:AB$87) * (K92='RISK BUDGETING (StDev)'!AD$11:AD$87) * (L92='RISK BUDGETING (StDev)'!AF$11:AF$87), 0))</f>
        <v/>
      </c>
    </row>
    <row r="93" spans="8:8" x14ac:dyDescent="0.25">
      <c r="H93" t="str">
        <f t="array" ref="H93">INDEX('RISK BUDGETING (StDev)'!P$11:P$87, MATCH(1, (I93='RISK BUDGETING (StDev)'!Q$11:Q$87) * (J93='RISK BUDGETING (StDev)'!AB$11:AB$87) * (K93='RISK BUDGETING (StDev)'!AD$11:AD$87) * (L93='RISK BUDGETING (StDev)'!AF$11:AF$87), 0))</f>
        <v/>
      </c>
    </row>
    <row r="94" spans="8:8" x14ac:dyDescent="0.25">
      <c r="H94" t="str">
        <f t="array" ref="H94">INDEX('RISK BUDGETING (StDev)'!P$11:P$87, MATCH(1, (I94='RISK BUDGETING (StDev)'!Q$11:Q$87) * (J94='RISK BUDGETING (StDev)'!AB$11:AB$87) * (K94='RISK BUDGETING (StDev)'!AD$11:AD$87) * (L94='RISK BUDGETING (StDev)'!AF$11:AF$87), 0))</f>
        <v/>
      </c>
    </row>
    <row r="95" spans="8:8" x14ac:dyDescent="0.25">
      <c r="H95" t="str">
        <f t="array" ref="H95">INDEX('RISK BUDGETING (StDev)'!P$11:P$87, MATCH(1, (I95='RISK BUDGETING (StDev)'!Q$11:Q$87) * (J95='RISK BUDGETING (StDev)'!AB$11:AB$87) * (K95='RISK BUDGETING (StDev)'!AD$11:AD$87) * (L95='RISK BUDGETING (StDev)'!AF$11:AF$87), 0))</f>
        <v/>
      </c>
    </row>
    <row r="96" spans="8:8" x14ac:dyDescent="0.25">
      <c r="H96" t="str">
        <f t="array" ref="H96">INDEX('RISK BUDGETING (StDev)'!P$11:P$87, MATCH(1, (I96='RISK BUDGETING (StDev)'!Q$11:Q$87) * (J96='RISK BUDGETING (StDev)'!AB$11:AB$87) * (K96='RISK BUDGETING (StDev)'!AD$11:AD$87) * (L96='RISK BUDGETING (StDev)'!AF$11:AF$87), 0))</f>
        <v/>
      </c>
    </row>
    <row r="97" spans="8:8" x14ac:dyDescent="0.25">
      <c r="H97" t="str">
        <f t="array" ref="H97">INDEX('RISK BUDGETING (StDev)'!P$11:P$87, MATCH(1, (I97='RISK BUDGETING (StDev)'!Q$11:Q$87) * (J97='RISK BUDGETING (StDev)'!AB$11:AB$87) * (K97='RISK BUDGETING (StDev)'!AD$11:AD$87) * (L97='RISK BUDGETING (StDev)'!AF$11:AF$87), 0))</f>
        <v/>
      </c>
    </row>
    <row r="98" spans="8:8" x14ac:dyDescent="0.25">
      <c r="H98" t="str">
        <f t="array" ref="H98">INDEX('RISK BUDGETING (StDev)'!P$11:P$87, MATCH(1, (I98='RISK BUDGETING (StDev)'!Q$11:Q$87) * (J98='RISK BUDGETING (StDev)'!AB$11:AB$87) * (K98='RISK BUDGETING (StDev)'!AD$11:AD$87) * (L98='RISK BUDGETING (StDev)'!AF$11:AF$87), 0))</f>
        <v/>
      </c>
    </row>
    <row r="99" spans="8:8" x14ac:dyDescent="0.25">
      <c r="H99" t="str">
        <f t="array" ref="H99">INDEX('RISK BUDGETING (StDev)'!P$11:P$87, MATCH(1, (I99='RISK BUDGETING (StDev)'!Q$11:Q$87) * (J99='RISK BUDGETING (StDev)'!AB$11:AB$87) * (K99='RISK BUDGETING (StDev)'!AD$11:AD$87) * (L99='RISK BUDGETING (StDev)'!AF$11:AF$87), 0))</f>
        <v/>
      </c>
    </row>
    <row r="100" spans="8:8" x14ac:dyDescent="0.25">
      <c r="H100" t="str">
        <f t="array" ref="H100">INDEX('RISK BUDGETING (StDev)'!P$11:P$87, MATCH(1, (I100='RISK BUDGETING (StDev)'!Q$11:Q$87) * (J100='RISK BUDGETING (StDev)'!AB$11:AB$87) * (K100='RISK BUDGETING (StDev)'!AD$11:AD$87) * (L100='RISK BUDGETING (StDev)'!AF$11:AF$87), 0))</f>
        <v/>
      </c>
    </row>
    <row r="101" spans="8:8" x14ac:dyDescent="0.25">
      <c r="H101" t="str">
        <f t="array" ref="H101">INDEX('RISK BUDGETING (StDev)'!P$11:P$87, MATCH(1, (I101='RISK BUDGETING (StDev)'!Q$11:Q$87) * (J101='RISK BUDGETING (StDev)'!AB$11:AB$87) * (K101='RISK BUDGETING (StDev)'!AD$11:AD$87) * (L101='RISK BUDGETING (StDev)'!AF$11:AF$87), 0))</f>
        <v/>
      </c>
    </row>
    <row r="102" spans="8:8" x14ac:dyDescent="0.25">
      <c r="H102" t="str">
        <f t="array" ref="H102">INDEX('RISK BUDGETING (StDev)'!P$11:P$87, MATCH(1, (I102='RISK BUDGETING (StDev)'!Q$11:Q$87) * (J102='RISK BUDGETING (StDev)'!AB$11:AB$87) * (K102='RISK BUDGETING (StDev)'!AD$11:AD$87) * (L102='RISK BUDGETING (StDev)'!AF$11:AF$87), 0))</f>
        <v/>
      </c>
    </row>
    <row r="103" spans="8:8" x14ac:dyDescent="0.25">
      <c r="H103" t="str">
        <f t="array" ref="H103">INDEX('RISK BUDGETING (StDev)'!P$11:P$87, MATCH(1, (I103='RISK BUDGETING (StDev)'!Q$11:Q$87) * (J103='RISK BUDGETING (StDev)'!AB$11:AB$87) * (K103='RISK BUDGETING (StDev)'!AD$11:AD$87) * (L103='RISK BUDGETING (StDev)'!AF$11:AF$87), 0))</f>
        <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I72"/>
  <sheetViews>
    <sheetView showGridLines="0" zoomScaleNormal="100" workbookViewId="0">
      <selection activeCell="A3" sqref="A3"/>
    </sheetView>
  </sheetViews>
  <sheetFormatPr defaultRowHeight="15" x14ac:dyDescent="0.25"/>
  <cols>
    <col min="1" max="35" width="5" style="41" customWidth="1"/>
    <col min="36" max="16384" width="9.140625" style="41"/>
  </cols>
  <sheetData>
    <row r="1" spans="1:35" x14ac:dyDescent="0.25">
      <c r="B1" s="386"/>
      <c r="C1" s="386"/>
      <c r="D1" s="386"/>
      <c r="E1" s="386"/>
      <c r="F1" s="386"/>
      <c r="G1" s="386"/>
      <c r="H1" s="386"/>
      <c r="I1" s="386"/>
      <c r="J1" s="386"/>
    </row>
    <row r="2" spans="1:35" x14ac:dyDescent="0.25">
      <c r="B2" s="386"/>
      <c r="C2" s="386"/>
      <c r="D2" s="386"/>
      <c r="E2" s="386"/>
      <c r="F2" s="386"/>
      <c r="G2" s="386"/>
      <c r="H2" s="386"/>
      <c r="I2" s="386"/>
      <c r="J2" s="386"/>
    </row>
    <row r="3" spans="1:35" ht="9.75" customHeight="1" x14ac:dyDescent="0.25">
      <c r="B3" s="98"/>
      <c r="C3" s="98"/>
      <c r="D3" s="98"/>
      <c r="E3" s="98"/>
      <c r="F3" s="98"/>
      <c r="G3" s="98"/>
      <c r="H3" s="98"/>
      <c r="I3" s="98"/>
      <c r="J3" s="98"/>
    </row>
    <row r="4" spans="1:35" ht="11.25" customHeight="1" x14ac:dyDescent="0.25">
      <c r="A4" s="395" t="s">
        <v>135</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11.25" customHeight="1" x14ac:dyDescent="0.25">
      <c r="A5" s="380" t="s">
        <v>112</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row>
    <row r="6" spans="1:35" ht="11.25" customHeight="1" x14ac:dyDescent="0.25">
      <c r="A6" s="400"/>
      <c r="B6" s="400"/>
      <c r="C6" s="400"/>
      <c r="D6" s="400"/>
      <c r="E6" s="400"/>
      <c r="F6" s="400"/>
      <c r="G6" s="400"/>
      <c r="H6" s="400"/>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row>
    <row r="7" spans="1:35" ht="11.25" customHeight="1" x14ac:dyDescent="0.2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row>
    <row r="8" spans="1:35" ht="9.75" customHeight="1" x14ac:dyDescent="0.25">
      <c r="A8" s="63"/>
      <c r="B8" s="63"/>
      <c r="C8" s="63"/>
      <c r="D8" s="63"/>
      <c r="E8" s="63"/>
      <c r="F8" s="63"/>
      <c r="G8" s="64"/>
      <c r="H8" s="64"/>
      <c r="I8" s="64"/>
      <c r="J8" s="64"/>
      <c r="K8" s="64"/>
      <c r="L8" s="64"/>
      <c r="M8" s="64"/>
      <c r="N8" s="64"/>
      <c r="O8" s="68"/>
      <c r="P8" s="69"/>
      <c r="Q8" s="69"/>
      <c r="R8" s="69"/>
      <c r="S8" s="503"/>
      <c r="T8" s="503"/>
      <c r="U8" s="503"/>
      <c r="V8" s="503"/>
      <c r="W8" s="503"/>
      <c r="X8" s="503"/>
      <c r="Y8" s="503"/>
      <c r="Z8" s="503"/>
      <c r="AA8" s="503"/>
      <c r="AB8" s="503"/>
      <c r="AC8" s="503"/>
      <c r="AD8" s="503"/>
      <c r="AE8" s="503"/>
    </row>
    <row r="9" spans="1:35" ht="24.75" customHeight="1" x14ac:dyDescent="0.25">
      <c r="A9" s="53"/>
      <c r="B9" s="53"/>
      <c r="C9" s="53"/>
      <c r="D9" s="53"/>
      <c r="E9" s="53"/>
      <c r="F9" s="53"/>
      <c r="G9" s="61"/>
      <c r="H9" s="61"/>
      <c r="I9" s="61"/>
      <c r="J9" s="61"/>
      <c r="K9" s="61"/>
      <c r="L9" s="61"/>
      <c r="M9" s="61"/>
      <c r="N9" s="61"/>
      <c r="S9" s="496"/>
      <c r="T9" s="497"/>
      <c r="U9" s="496"/>
      <c r="V9" s="498"/>
      <c r="W9" s="496"/>
      <c r="X9" s="498"/>
      <c r="Y9" s="132"/>
      <c r="Z9" s="101"/>
      <c r="AA9" s="160"/>
      <c r="AB9" s="499" t="s">
        <v>274</v>
      </c>
      <c r="AC9" s="500"/>
      <c r="AD9" s="499" t="s">
        <v>275</v>
      </c>
      <c r="AE9" s="500"/>
    </row>
    <row r="10" spans="1:35" ht="11.25" customHeight="1" x14ac:dyDescent="0.25">
      <c r="A10" s="65"/>
      <c r="B10" s="65"/>
      <c r="C10" s="65"/>
      <c r="D10" s="65"/>
      <c r="E10" s="65"/>
      <c r="F10" s="65"/>
      <c r="G10" s="21"/>
      <c r="H10" s="21"/>
      <c r="I10" s="21"/>
      <c r="J10" s="21"/>
      <c r="K10" s="21"/>
      <c r="L10" s="21"/>
      <c r="M10" s="21"/>
      <c r="N10" s="21"/>
      <c r="S10" s="504" t="s">
        <v>44</v>
      </c>
      <c r="T10" s="504"/>
      <c r="U10" s="504"/>
      <c r="V10" s="504"/>
      <c r="W10" s="504"/>
      <c r="X10" s="504"/>
      <c r="Y10" s="504"/>
      <c r="Z10" s="504"/>
      <c r="AA10" s="505"/>
      <c r="AB10" s="501">
        <f>SUMMARY!W13</f>
        <v>47.149713438998354</v>
      </c>
      <c r="AC10" s="502"/>
      <c r="AD10" s="501">
        <f>SUMMARY!AF13</f>
        <v>115.77315274208256</v>
      </c>
      <c r="AE10" s="502"/>
    </row>
    <row r="11" spans="1:35" ht="11.25" customHeight="1" x14ac:dyDescent="0.25">
      <c r="A11" s="66"/>
      <c r="B11" s="66"/>
      <c r="C11" s="66"/>
      <c r="D11" s="66"/>
      <c r="E11" s="66"/>
      <c r="F11" s="66"/>
      <c r="G11" s="67"/>
      <c r="H11" s="67"/>
      <c r="I11" s="67"/>
      <c r="J11" s="67"/>
      <c r="K11" s="67"/>
      <c r="L11" s="67"/>
      <c r="M11" s="67"/>
      <c r="N11" s="67"/>
      <c r="S11" s="504" t="s">
        <v>45</v>
      </c>
      <c r="T11" s="504"/>
      <c r="U11" s="504"/>
      <c r="V11" s="504"/>
      <c r="W11" s="504"/>
      <c r="X11" s="504"/>
      <c r="Y11" s="504"/>
      <c r="Z11" s="504"/>
      <c r="AA11" s="505"/>
      <c r="AB11" s="501">
        <f>SUMMARY!W24</f>
        <v>52.850286561001646</v>
      </c>
      <c r="AC11" s="502"/>
      <c r="AD11" s="501">
        <f>SUMMARY!AF24</f>
        <v>-15.773152742082559</v>
      </c>
      <c r="AE11" s="502"/>
    </row>
    <row r="12" spans="1:35" ht="11.25" customHeight="1" x14ac:dyDescent="0.25">
      <c r="A12" s="54"/>
      <c r="B12" s="54"/>
      <c r="C12" s="54"/>
      <c r="D12" s="54"/>
      <c r="E12" s="54"/>
      <c r="F12" s="54"/>
      <c r="G12" s="21"/>
      <c r="H12" s="21"/>
      <c r="I12" s="21"/>
      <c r="J12" s="21"/>
      <c r="K12" s="21"/>
      <c r="L12" s="21"/>
      <c r="M12" s="21"/>
      <c r="N12" s="21"/>
      <c r="S12" s="506" t="s">
        <v>352</v>
      </c>
      <c r="T12" s="506"/>
      <c r="U12" s="506"/>
      <c r="V12" s="506"/>
      <c r="W12" s="506"/>
      <c r="X12" s="506"/>
      <c r="Y12" s="506"/>
      <c r="Z12" s="506"/>
      <c r="AA12" s="506"/>
      <c r="AB12" s="507">
        <v>-4.0265997179469526</v>
      </c>
      <c r="AC12" s="507"/>
      <c r="AD12" s="507">
        <v>-8.4279646036092117</v>
      </c>
      <c r="AE12" s="507"/>
    </row>
    <row r="13" spans="1:35" ht="11.25" customHeight="1" x14ac:dyDescent="0.25">
      <c r="A13" s="54"/>
      <c r="B13" s="54"/>
      <c r="C13" s="54"/>
      <c r="D13" s="54"/>
      <c r="E13" s="54"/>
      <c r="F13" s="54"/>
      <c r="G13" s="21"/>
      <c r="H13" s="21"/>
      <c r="I13" s="21"/>
      <c r="J13" s="21"/>
      <c r="K13" s="21"/>
      <c r="L13" s="21"/>
      <c r="M13" s="21"/>
      <c r="N13" s="21"/>
      <c r="S13" s="492" t="s">
        <v>353</v>
      </c>
      <c r="T13" s="492"/>
      <c r="U13" s="492"/>
      <c r="V13" s="492"/>
      <c r="W13" s="492"/>
      <c r="X13" s="492"/>
      <c r="Y13" s="492"/>
      <c r="Z13" s="492"/>
      <c r="AA13" s="492"/>
      <c r="AB13" s="488">
        <v>7.7657969103866415</v>
      </c>
      <c r="AC13" s="488"/>
      <c r="AD13" s="488">
        <v>19.07392139601864</v>
      </c>
      <c r="AE13" s="488"/>
    </row>
    <row r="14" spans="1:35" ht="11.25" customHeight="1" x14ac:dyDescent="0.25">
      <c r="A14" s="66"/>
      <c r="B14" s="66"/>
      <c r="C14" s="66"/>
      <c r="D14" s="66"/>
      <c r="E14" s="66"/>
      <c r="F14" s="66"/>
      <c r="G14" s="67"/>
      <c r="H14" s="67"/>
      <c r="I14" s="67"/>
      <c r="J14" s="67"/>
      <c r="K14" s="67"/>
      <c r="L14" s="67"/>
      <c r="M14" s="67"/>
      <c r="N14" s="67"/>
      <c r="S14" s="492" t="s">
        <v>354</v>
      </c>
      <c r="T14" s="492"/>
      <c r="U14" s="492"/>
      <c r="V14" s="492"/>
      <c r="W14" s="492"/>
      <c r="X14" s="492"/>
      <c r="Y14" s="492"/>
      <c r="Z14" s="492"/>
      <c r="AA14" s="492"/>
      <c r="AB14" s="488">
        <v>-0.20667011720828174</v>
      </c>
      <c r="AC14" s="488"/>
      <c r="AD14" s="488">
        <v>-0.56591470172295144</v>
      </c>
      <c r="AE14" s="488"/>
    </row>
    <row r="15" spans="1:35" ht="11.25" customHeight="1" x14ac:dyDescent="0.25">
      <c r="A15" s="54"/>
      <c r="B15" s="54"/>
      <c r="C15" s="54"/>
      <c r="D15" s="54"/>
      <c r="E15" s="54"/>
      <c r="F15" s="54"/>
      <c r="G15" s="21"/>
      <c r="H15" s="21"/>
      <c r="I15" s="21"/>
      <c r="J15" s="21"/>
      <c r="K15" s="21"/>
      <c r="L15" s="21"/>
      <c r="M15" s="21"/>
      <c r="N15" s="21"/>
      <c r="S15" s="492" t="s">
        <v>355</v>
      </c>
      <c r="T15" s="492"/>
      <c r="U15" s="492"/>
      <c r="V15" s="492"/>
      <c r="W15" s="492"/>
      <c r="X15" s="492"/>
      <c r="Y15" s="492"/>
      <c r="Z15" s="492"/>
      <c r="AA15" s="492"/>
      <c r="AB15" s="488">
        <v>42.751741708071606</v>
      </c>
      <c r="AC15" s="488"/>
      <c r="AD15" s="488">
        <v>103.89462333109371</v>
      </c>
      <c r="AE15" s="488"/>
    </row>
    <row r="16" spans="1:35" ht="11.25" customHeight="1" x14ac:dyDescent="0.25">
      <c r="A16" s="54"/>
      <c r="B16" s="54"/>
      <c r="C16" s="54"/>
      <c r="D16" s="54"/>
      <c r="E16" s="54"/>
      <c r="F16" s="54"/>
      <c r="G16" s="21"/>
      <c r="H16" s="21"/>
      <c r="I16" s="21"/>
      <c r="J16" s="21"/>
      <c r="K16" s="21"/>
      <c r="L16" s="21"/>
      <c r="M16" s="21"/>
      <c r="N16" s="21"/>
      <c r="S16" s="492" t="s">
        <v>356</v>
      </c>
      <c r="T16" s="492"/>
      <c r="U16" s="492"/>
      <c r="V16" s="492"/>
      <c r="W16" s="492"/>
      <c r="X16" s="492"/>
      <c r="Y16" s="492"/>
      <c r="Z16" s="492"/>
      <c r="AA16" s="492"/>
      <c r="AB16" s="488">
        <v>6.1423329015140408E-2</v>
      </c>
      <c r="AC16" s="488"/>
      <c r="AD16" s="488">
        <v>0.12630520543112606</v>
      </c>
      <c r="AE16" s="488"/>
    </row>
    <row r="17" spans="1:35" ht="11.25" customHeight="1" x14ac:dyDescent="0.25">
      <c r="A17" s="66"/>
      <c r="B17" s="66"/>
      <c r="C17" s="66"/>
      <c r="D17" s="66"/>
      <c r="E17" s="66"/>
      <c r="F17" s="66"/>
      <c r="G17" s="67"/>
      <c r="H17" s="67"/>
      <c r="I17" s="67"/>
      <c r="J17" s="67"/>
      <c r="K17" s="67"/>
      <c r="L17" s="67"/>
      <c r="M17" s="67"/>
      <c r="N17" s="67"/>
      <c r="S17" s="492" t="s">
        <v>357</v>
      </c>
      <c r="T17" s="492"/>
      <c r="U17" s="492"/>
      <c r="V17" s="492"/>
      <c r="W17" s="492"/>
      <c r="X17" s="492"/>
      <c r="Y17" s="492"/>
      <c r="Z17" s="492"/>
      <c r="AA17" s="492"/>
      <c r="AB17" s="488">
        <v>0.80402132668019843</v>
      </c>
      <c r="AC17" s="488"/>
      <c r="AD17" s="488">
        <v>1.6721821148712281</v>
      </c>
      <c r="AE17" s="488"/>
    </row>
    <row r="18" spans="1:35" ht="11.25" customHeight="1" x14ac:dyDescent="0.25">
      <c r="A18" s="54"/>
      <c r="B18" s="54"/>
      <c r="C18" s="54"/>
      <c r="D18" s="54"/>
      <c r="E18" s="54"/>
      <c r="F18" s="54"/>
      <c r="G18" s="21"/>
      <c r="H18" s="21"/>
      <c r="I18" s="21"/>
      <c r="J18" s="21"/>
      <c r="K18" s="21"/>
      <c r="L18" s="21"/>
      <c r="M18" s="21"/>
      <c r="N18" s="21"/>
      <c r="S18" s="492"/>
      <c r="T18" s="492"/>
      <c r="U18" s="492"/>
      <c r="V18" s="492"/>
      <c r="W18" s="492"/>
      <c r="X18" s="492"/>
      <c r="Y18" s="492"/>
      <c r="Z18" s="492"/>
      <c r="AA18" s="492"/>
      <c r="AB18" s="488"/>
      <c r="AC18" s="488"/>
      <c r="AD18" s="488"/>
      <c r="AE18" s="488"/>
    </row>
    <row r="19" spans="1:35" ht="11.25" customHeight="1" x14ac:dyDescent="0.25">
      <c r="A19" s="54"/>
      <c r="B19" s="54"/>
      <c r="C19" s="54"/>
      <c r="D19" s="54"/>
      <c r="E19" s="54"/>
      <c r="F19" s="54"/>
      <c r="G19" s="21"/>
      <c r="H19" s="21"/>
      <c r="I19" s="21"/>
      <c r="J19" s="21"/>
      <c r="K19" s="21"/>
      <c r="L19" s="21"/>
      <c r="M19" s="21"/>
      <c r="N19" s="21"/>
      <c r="S19" s="492"/>
      <c r="T19" s="492"/>
      <c r="U19" s="492"/>
      <c r="V19" s="492"/>
      <c r="W19" s="492"/>
      <c r="X19" s="492"/>
      <c r="Y19" s="492"/>
      <c r="Z19" s="492"/>
      <c r="AA19" s="492"/>
      <c r="AB19" s="488"/>
      <c r="AC19" s="488"/>
      <c r="AD19" s="488"/>
      <c r="AE19" s="488"/>
    </row>
    <row r="20" spans="1:35" ht="11.25" customHeight="1" x14ac:dyDescent="0.25">
      <c r="A20" s="66"/>
      <c r="B20" s="66"/>
      <c r="C20" s="66"/>
      <c r="D20" s="66"/>
      <c r="E20" s="66"/>
      <c r="F20" s="66"/>
      <c r="G20" s="67"/>
      <c r="H20" s="67"/>
      <c r="I20" s="67"/>
      <c r="J20" s="67"/>
      <c r="K20" s="67"/>
      <c r="L20" s="67"/>
      <c r="M20" s="67"/>
      <c r="N20" s="67"/>
      <c r="S20" s="492"/>
      <c r="T20" s="492"/>
      <c r="U20" s="492"/>
      <c r="V20" s="492"/>
      <c r="W20" s="492"/>
      <c r="X20" s="492"/>
      <c r="Y20" s="492"/>
      <c r="Z20" s="492"/>
      <c r="AA20" s="492"/>
      <c r="AB20" s="489"/>
      <c r="AC20" s="489"/>
      <c r="AD20" s="489"/>
      <c r="AE20" s="489"/>
    </row>
    <row r="21" spans="1:35" ht="11.25" customHeight="1" x14ac:dyDescent="0.25">
      <c r="A21" s="66"/>
      <c r="B21" s="66"/>
      <c r="C21" s="66"/>
      <c r="D21" s="66"/>
      <c r="E21" s="66"/>
      <c r="F21" s="66"/>
      <c r="G21" s="67"/>
      <c r="H21" s="67"/>
      <c r="I21" s="67"/>
      <c r="J21" s="67"/>
      <c r="K21" s="67"/>
      <c r="L21" s="67"/>
      <c r="M21" s="67"/>
      <c r="N21" s="67"/>
      <c r="T21" s="159"/>
      <c r="U21" s="159"/>
      <c r="V21" s="159"/>
      <c r="W21" s="158"/>
      <c r="X21" s="158"/>
      <c r="Y21" s="148"/>
      <c r="Z21" s="148"/>
      <c r="AA21" s="148"/>
      <c r="AB21" s="158"/>
      <c r="AC21" s="158"/>
      <c r="AD21" s="158"/>
      <c r="AE21" s="158"/>
      <c r="AF21" s="149"/>
      <c r="AG21" s="149"/>
      <c r="AH21" s="149"/>
      <c r="AI21" s="149"/>
    </row>
    <row r="22" spans="1:35" ht="11.25" customHeight="1" x14ac:dyDescent="0.25">
      <c r="A22" s="66"/>
      <c r="B22" s="66"/>
      <c r="C22" s="66"/>
      <c r="D22" s="66"/>
      <c r="E22" s="66"/>
      <c r="F22" s="66"/>
      <c r="G22" s="67"/>
      <c r="H22" s="67"/>
      <c r="I22" s="67"/>
      <c r="J22" s="67"/>
      <c r="K22" s="67"/>
      <c r="L22" s="67"/>
      <c r="M22" s="67"/>
      <c r="N22" s="67"/>
      <c r="W22" s="148"/>
      <c r="X22" s="148"/>
      <c r="Y22" s="148"/>
      <c r="Z22" s="148"/>
      <c r="AA22" s="148"/>
      <c r="AB22" s="148"/>
      <c r="AC22" s="148"/>
      <c r="AD22" s="148"/>
      <c r="AE22" s="148"/>
      <c r="AF22" s="149"/>
      <c r="AG22" s="149"/>
      <c r="AH22" s="149"/>
      <c r="AI22" s="149"/>
    </row>
    <row r="23" spans="1:35" ht="11.25" customHeight="1" x14ac:dyDescent="0.25">
      <c r="A23" s="395" t="s">
        <v>134</v>
      </c>
      <c r="B23" s="395"/>
      <c r="C23" s="395"/>
      <c r="D23" s="395"/>
      <c r="E23" s="395"/>
      <c r="F23" s="395"/>
      <c r="G23" s="395"/>
      <c r="H23" s="395"/>
      <c r="I23" s="395"/>
      <c r="J23" s="395"/>
      <c r="K23" s="395"/>
      <c r="L23" s="395"/>
      <c r="M23" s="395"/>
      <c r="N23" s="395"/>
      <c r="O23" s="395"/>
      <c r="P23" s="395"/>
      <c r="Q23" s="395"/>
      <c r="R23" s="395"/>
      <c r="S23" s="395"/>
      <c r="T23" s="395"/>
      <c r="U23" s="395"/>
      <c r="V23" s="395"/>
      <c r="W23" s="395"/>
      <c r="X23" s="395"/>
      <c r="Y23" s="395"/>
      <c r="Z23" s="395"/>
      <c r="AA23" s="395"/>
      <c r="AB23" s="395"/>
      <c r="AC23" s="395"/>
      <c r="AD23" s="395"/>
      <c r="AE23" s="395"/>
      <c r="AF23" s="395"/>
      <c r="AG23" s="395"/>
      <c r="AH23" s="395"/>
      <c r="AI23" s="395"/>
    </row>
    <row r="24" spans="1:35" ht="11.25" customHeight="1" x14ac:dyDescent="0.25">
      <c r="A24" s="379" t="s">
        <v>113</v>
      </c>
      <c r="B24" s="380"/>
      <c r="C24" s="380"/>
      <c r="D24" s="380"/>
      <c r="E24" s="380"/>
      <c r="F24" s="380"/>
      <c r="G24" s="380"/>
      <c r="H24" s="380"/>
      <c r="I24" s="380"/>
      <c r="J24" s="380"/>
      <c r="K24" s="380"/>
      <c r="L24" s="380"/>
      <c r="M24" s="380"/>
      <c r="N24" s="380"/>
      <c r="O24" s="380"/>
      <c r="P24" s="380"/>
      <c r="Q24" s="380"/>
      <c r="R24" s="380"/>
      <c r="S24" s="380"/>
      <c r="T24" s="380"/>
      <c r="U24" s="380"/>
      <c r="V24" s="380"/>
      <c r="W24" s="380"/>
      <c r="X24" s="380"/>
      <c r="Y24" s="380"/>
      <c r="Z24" s="380"/>
      <c r="AA24" s="380"/>
      <c r="AB24" s="380"/>
      <c r="AC24" s="380"/>
      <c r="AD24" s="380"/>
      <c r="AE24" s="380"/>
      <c r="AF24" s="380"/>
      <c r="AG24" s="380"/>
      <c r="AH24" s="380"/>
      <c r="AI24" s="380"/>
    </row>
    <row r="25" spans="1:35" x14ac:dyDescent="0.25">
      <c r="A25" s="508"/>
      <c r="B25" s="400"/>
      <c r="C25" s="400"/>
      <c r="D25" s="400"/>
      <c r="E25" s="400"/>
      <c r="F25" s="400"/>
      <c r="G25" s="400"/>
      <c r="H25" s="400"/>
      <c r="I25" s="400"/>
      <c r="J25" s="400"/>
      <c r="K25" s="400"/>
      <c r="L25" s="400"/>
      <c r="M25" s="400"/>
      <c r="N25" s="400"/>
      <c r="O25" s="400"/>
      <c r="P25" s="400"/>
      <c r="Q25" s="400"/>
      <c r="R25" s="400"/>
      <c r="S25" s="400"/>
      <c r="T25" s="400"/>
      <c r="U25" s="400"/>
      <c r="V25" s="400"/>
      <c r="W25" s="400"/>
      <c r="X25" s="400"/>
      <c r="Y25" s="400"/>
      <c r="Z25" s="400"/>
      <c r="AA25" s="400"/>
      <c r="AB25" s="400"/>
      <c r="AC25" s="400"/>
      <c r="AD25" s="400"/>
      <c r="AE25" s="400"/>
      <c r="AF25" s="400"/>
      <c r="AG25" s="400"/>
      <c r="AH25" s="400"/>
      <c r="AI25" s="400"/>
    </row>
    <row r="26" spans="1:35" ht="11.25" customHeight="1" x14ac:dyDescent="0.25">
      <c r="A26" s="150"/>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row>
    <row r="27" spans="1:35" ht="23.25" customHeight="1" x14ac:dyDescent="0.25">
      <c r="A27" s="54"/>
      <c r="B27" s="71"/>
      <c r="C27" s="71"/>
      <c r="D27" s="71"/>
      <c r="E27" s="71"/>
      <c r="F27" s="71"/>
      <c r="G27" s="39"/>
      <c r="H27" s="39"/>
      <c r="I27" s="39"/>
      <c r="J27" s="39"/>
      <c r="K27" s="39"/>
      <c r="L27" s="39"/>
      <c r="M27" s="39"/>
      <c r="N27" s="39"/>
      <c r="O27" s="39"/>
      <c r="P27" s="39"/>
      <c r="Q27" s="70"/>
      <c r="R27" s="70"/>
      <c r="S27" s="494"/>
      <c r="T27" s="494"/>
      <c r="U27" s="494"/>
      <c r="V27" s="494"/>
      <c r="W27" s="494"/>
      <c r="X27" s="494"/>
      <c r="Y27" s="495"/>
      <c r="Z27" s="490" t="s">
        <v>65</v>
      </c>
      <c r="AA27" s="493"/>
      <c r="AB27" s="490" t="s">
        <v>127</v>
      </c>
      <c r="AC27" s="493"/>
      <c r="AD27" s="490" t="s">
        <v>274</v>
      </c>
      <c r="AE27" s="491"/>
      <c r="AF27" s="490" t="s">
        <v>143</v>
      </c>
      <c r="AG27" s="493"/>
      <c r="AH27" s="490" t="s">
        <v>275</v>
      </c>
      <c r="AI27" s="491"/>
    </row>
    <row r="28" spans="1:35" ht="11.25" customHeight="1" x14ac:dyDescent="0.25">
      <c r="A28" s="54"/>
      <c r="B28" s="71"/>
      <c r="C28" s="71"/>
      <c r="D28" s="71"/>
      <c r="E28" s="71"/>
      <c r="F28" s="71"/>
      <c r="G28" s="39"/>
      <c r="H28" s="39"/>
      <c r="I28" s="39"/>
      <c r="J28" s="39"/>
      <c r="K28" s="39"/>
      <c r="L28" s="39"/>
      <c r="M28" s="39"/>
      <c r="N28" s="39"/>
      <c r="O28" s="39"/>
      <c r="Q28" s="111"/>
      <c r="R28" s="111"/>
      <c r="S28" s="449" t="s">
        <v>358</v>
      </c>
      <c r="T28" s="509"/>
      <c r="U28" s="509"/>
      <c r="V28" s="509"/>
      <c r="W28" s="509"/>
      <c r="X28" s="509"/>
      <c r="Y28" s="509"/>
      <c r="Z28" s="448" t="s">
        <v>294</v>
      </c>
      <c r="AA28" s="448"/>
      <c r="AB28" s="448" t="s">
        <v>294</v>
      </c>
      <c r="AC28" s="448"/>
      <c r="AD28" s="448">
        <v>52.850286561001418</v>
      </c>
      <c r="AE28" s="448"/>
      <c r="AF28" s="448" t="s">
        <v>294</v>
      </c>
      <c r="AG28" s="448"/>
      <c r="AH28" s="448">
        <v>-15.773152742082578</v>
      </c>
      <c r="AI28" s="448"/>
    </row>
    <row r="29" spans="1:35" ht="11.25" customHeight="1" x14ac:dyDescent="0.25">
      <c r="A29" s="54"/>
      <c r="B29" s="71"/>
      <c r="C29" s="71"/>
      <c r="D29" s="71"/>
      <c r="E29" s="71"/>
      <c r="F29" s="71"/>
      <c r="G29" s="39"/>
      <c r="H29" s="39"/>
      <c r="I29" s="39"/>
      <c r="J29" s="39"/>
      <c r="K29" s="39"/>
      <c r="L29" s="39"/>
      <c r="M29" s="39"/>
      <c r="N29" s="39"/>
      <c r="O29" s="39"/>
      <c r="Q29" s="40"/>
      <c r="R29" s="40"/>
      <c r="S29" s="449" t="s">
        <v>359</v>
      </c>
      <c r="T29" s="487"/>
      <c r="U29" s="487"/>
      <c r="V29" s="487"/>
      <c r="W29" s="487"/>
      <c r="X29" s="487"/>
      <c r="Y29" s="487"/>
      <c r="Z29" s="448">
        <v>0.18544525576886361</v>
      </c>
      <c r="AA29" s="440"/>
      <c r="AB29" s="448">
        <v>1.9093143620793882</v>
      </c>
      <c r="AC29" s="440"/>
      <c r="AD29" s="448">
        <v>47.149713438998354</v>
      </c>
      <c r="AE29" s="440"/>
      <c r="AF29" s="448">
        <v>5.455996587558869</v>
      </c>
      <c r="AG29" s="440"/>
      <c r="AH29" s="448">
        <v>115.77315274208254</v>
      </c>
      <c r="AI29" s="440"/>
    </row>
    <row r="30" spans="1:35" ht="11.25" customHeight="1" x14ac:dyDescent="0.25">
      <c r="A30" s="54"/>
      <c r="B30" s="71"/>
      <c r="C30" s="71"/>
      <c r="D30" s="71"/>
      <c r="E30" s="71"/>
      <c r="F30" s="71"/>
      <c r="G30" s="39"/>
      <c r="H30" s="39"/>
      <c r="I30" s="39"/>
      <c r="J30" s="39"/>
      <c r="K30" s="39"/>
      <c r="L30" s="39"/>
      <c r="M30" s="39"/>
      <c r="N30" s="39"/>
      <c r="O30" s="39"/>
      <c r="Q30" s="40"/>
      <c r="R30" s="40"/>
      <c r="S30" s="487" t="s">
        <v>360</v>
      </c>
      <c r="T30" s="487"/>
      <c r="U30" s="487"/>
      <c r="V30" s="487"/>
      <c r="W30" s="487"/>
      <c r="X30" s="487"/>
      <c r="Y30" s="487"/>
      <c r="Z30" s="440" t="s">
        <v>294</v>
      </c>
      <c r="AA30" s="440"/>
      <c r="AB30" s="440" t="s">
        <v>294</v>
      </c>
      <c r="AC30" s="440"/>
      <c r="AD30" s="440" t="s">
        <v>294</v>
      </c>
      <c r="AE30" s="440"/>
      <c r="AF30" s="440" t="s">
        <v>294</v>
      </c>
      <c r="AG30" s="440"/>
      <c r="AH30" s="440" t="s">
        <v>294</v>
      </c>
      <c r="AI30" s="440"/>
    </row>
    <row r="31" spans="1:35" ht="11.25" customHeight="1" x14ac:dyDescent="0.25">
      <c r="A31" s="54"/>
      <c r="B31" s="71"/>
      <c r="C31" s="71"/>
      <c r="D31" s="71"/>
      <c r="E31" s="71"/>
      <c r="F31" s="71"/>
      <c r="G31" s="39"/>
      <c r="H31" s="39"/>
      <c r="I31" s="39"/>
      <c r="J31" s="39"/>
      <c r="K31" s="39"/>
      <c r="L31" s="39"/>
      <c r="M31" s="39"/>
      <c r="N31" s="39"/>
      <c r="O31" s="39"/>
      <c r="Q31" s="40"/>
      <c r="R31" s="40"/>
      <c r="S31" s="449" t="s">
        <v>216</v>
      </c>
      <c r="T31" s="487"/>
      <c r="U31" s="487"/>
      <c r="V31" s="487"/>
      <c r="W31" s="487"/>
      <c r="X31" s="487"/>
      <c r="Y31" s="487"/>
      <c r="Z31" s="448">
        <v>0.18544525576886361</v>
      </c>
      <c r="AA31" s="440"/>
      <c r="AB31" s="448">
        <v>1.9093143620793882</v>
      </c>
      <c r="AC31" s="440"/>
      <c r="AD31" s="448">
        <v>47.149713438998354</v>
      </c>
      <c r="AE31" s="440"/>
      <c r="AF31" s="448">
        <v>5.455996587558869</v>
      </c>
      <c r="AG31" s="440"/>
      <c r="AH31" s="448">
        <v>115.77315274208254</v>
      </c>
      <c r="AI31" s="440"/>
    </row>
    <row r="32" spans="1:35" ht="11.25" customHeight="1" x14ac:dyDescent="0.25">
      <c r="A32" s="54"/>
      <c r="B32" s="71"/>
      <c r="C32" s="71"/>
      <c r="D32" s="71"/>
      <c r="E32" s="71"/>
      <c r="F32" s="71"/>
      <c r="G32" s="39"/>
      <c r="H32" s="39"/>
      <c r="I32" s="39"/>
      <c r="J32" s="39"/>
      <c r="K32" s="39"/>
      <c r="L32" s="39"/>
      <c r="M32" s="39"/>
      <c r="N32" s="39"/>
      <c r="O32" s="39"/>
      <c r="Q32" s="111"/>
      <c r="R32" s="111"/>
      <c r="S32" s="449" t="s">
        <v>352</v>
      </c>
      <c r="T32" s="487"/>
      <c r="U32" s="487"/>
      <c r="V32" s="487"/>
      <c r="W32" s="487"/>
      <c r="X32" s="487"/>
      <c r="Y32" s="487"/>
      <c r="Z32" s="448">
        <v>-1.1900747425039293E-2</v>
      </c>
      <c r="AA32" s="440"/>
      <c r="AB32" s="448">
        <v>2.5408459206157366</v>
      </c>
      <c r="AC32" s="440"/>
      <c r="AD32" s="448">
        <v>-4.0265997179469526</v>
      </c>
      <c r="AE32" s="440"/>
      <c r="AF32" s="448">
        <v>6.1891416438787576</v>
      </c>
      <c r="AG32" s="440"/>
      <c r="AH32" s="448">
        <v>-8.4279646036092117</v>
      </c>
      <c r="AI32" s="440"/>
    </row>
    <row r="33" spans="1:35" ht="11.25" customHeight="1" x14ac:dyDescent="0.25">
      <c r="A33" s="54"/>
      <c r="B33" s="71"/>
      <c r="C33" s="71"/>
      <c r="D33" s="71"/>
      <c r="E33" s="71"/>
      <c r="F33" s="71"/>
      <c r="G33" s="39"/>
      <c r="H33" s="39"/>
      <c r="I33" s="39"/>
      <c r="J33" s="39"/>
      <c r="K33" s="39"/>
      <c r="L33" s="39"/>
      <c r="M33" s="39"/>
      <c r="N33" s="39"/>
      <c r="O33" s="39"/>
      <c r="Q33" s="40"/>
      <c r="R33" s="40"/>
      <c r="S33" s="487" t="s">
        <v>303</v>
      </c>
      <c r="T33" s="487"/>
      <c r="U33" s="487"/>
      <c r="V33" s="487"/>
      <c r="W33" s="487"/>
      <c r="X33" s="487"/>
      <c r="Y33" s="487"/>
      <c r="Z33" s="440">
        <v>-1.1900747425039293E-2</v>
      </c>
      <c r="AA33" s="440"/>
      <c r="AB33" s="440">
        <v>2.5408459206157366</v>
      </c>
      <c r="AC33" s="440"/>
      <c r="AD33" s="440">
        <v>-4.0265997179469526</v>
      </c>
      <c r="AE33" s="440"/>
      <c r="AF33" s="440">
        <v>6.1891416438787576</v>
      </c>
      <c r="AG33" s="440"/>
      <c r="AH33" s="440">
        <v>-8.4279646036092117</v>
      </c>
      <c r="AI33" s="440"/>
    </row>
    <row r="34" spans="1:35" ht="11.25" customHeight="1" x14ac:dyDescent="0.25">
      <c r="A34" s="54"/>
      <c r="B34" s="71"/>
      <c r="C34" s="71"/>
      <c r="D34" s="71"/>
      <c r="E34" s="71"/>
      <c r="F34" s="71"/>
      <c r="G34" s="39"/>
      <c r="H34" s="39"/>
      <c r="I34" s="39"/>
      <c r="J34" s="39"/>
      <c r="K34" s="39"/>
      <c r="L34" s="39"/>
      <c r="M34" s="39"/>
      <c r="N34" s="39"/>
      <c r="O34" s="39"/>
      <c r="Q34" s="40"/>
      <c r="R34" s="40"/>
      <c r="S34" s="449" t="s">
        <v>353</v>
      </c>
      <c r="T34" s="487"/>
      <c r="U34" s="487"/>
      <c r="V34" s="487"/>
      <c r="W34" s="487"/>
      <c r="X34" s="487"/>
      <c r="Y34" s="487"/>
      <c r="Z34" s="448">
        <v>3.8725346177370966E-2</v>
      </c>
      <c r="AA34" s="440"/>
      <c r="AB34" s="448">
        <v>1.5059301527897435</v>
      </c>
      <c r="AC34" s="440"/>
      <c r="AD34" s="448">
        <v>7.7657969103866415</v>
      </c>
      <c r="AE34" s="440"/>
      <c r="AF34" s="448">
        <v>4.3045389006890105</v>
      </c>
      <c r="AG34" s="440"/>
      <c r="AH34" s="448">
        <v>19.07392139601864</v>
      </c>
      <c r="AI34" s="440"/>
    </row>
    <row r="35" spans="1:35" ht="11.25" customHeight="1" x14ac:dyDescent="0.25">
      <c r="A35" s="54"/>
      <c r="B35" s="71"/>
      <c r="C35" s="71"/>
      <c r="D35" s="71"/>
      <c r="E35" s="71"/>
      <c r="F35" s="71"/>
      <c r="G35" s="39"/>
      <c r="H35" s="39"/>
      <c r="I35" s="39"/>
      <c r="J35" s="39"/>
      <c r="K35" s="39"/>
      <c r="L35" s="39"/>
      <c r="M35" s="39"/>
      <c r="N35" s="39"/>
      <c r="O35" s="39"/>
      <c r="Q35" s="111"/>
      <c r="R35" s="111"/>
      <c r="S35" s="487" t="s">
        <v>296</v>
      </c>
      <c r="T35" s="487"/>
      <c r="U35" s="487"/>
      <c r="V35" s="487"/>
      <c r="W35" s="487"/>
      <c r="X35" s="487"/>
      <c r="Y35" s="487"/>
      <c r="Z35" s="440">
        <v>3.7744727976516915E-2</v>
      </c>
      <c r="AA35" s="440"/>
      <c r="AB35" s="440">
        <v>0.92771053422118466</v>
      </c>
      <c r="AC35" s="440"/>
      <c r="AD35" s="440">
        <v>4.6628847221463516</v>
      </c>
      <c r="AE35" s="440"/>
      <c r="AF35" s="440">
        <v>2.8807950749890754</v>
      </c>
      <c r="AG35" s="440"/>
      <c r="AH35" s="440">
        <v>12.441900060887772</v>
      </c>
      <c r="AI35" s="440"/>
    </row>
    <row r="36" spans="1:35" ht="11.25" customHeight="1" x14ac:dyDescent="0.25">
      <c r="A36" s="54"/>
      <c r="B36" s="71"/>
      <c r="C36" s="71"/>
      <c r="D36" s="71"/>
      <c r="E36" s="71"/>
      <c r="F36" s="71"/>
      <c r="G36" s="39"/>
      <c r="H36" s="39"/>
      <c r="I36" s="39"/>
      <c r="J36" s="39"/>
      <c r="K36" s="39"/>
      <c r="L36" s="39"/>
      <c r="M36" s="39"/>
      <c r="N36" s="39"/>
      <c r="O36" s="39"/>
      <c r="Q36" s="40"/>
      <c r="R36" s="40"/>
      <c r="S36" s="487" t="s">
        <v>297</v>
      </c>
      <c r="T36" s="487"/>
      <c r="U36" s="487"/>
      <c r="V36" s="487"/>
      <c r="W36" s="487"/>
      <c r="X36" s="487"/>
      <c r="Y36" s="487"/>
      <c r="Z36" s="440">
        <v>1.4730596113430404E-2</v>
      </c>
      <c r="AA36" s="440"/>
      <c r="AB36" s="440">
        <v>1.6779847030181341</v>
      </c>
      <c r="AC36" s="440"/>
      <c r="AD36" s="440">
        <v>3.2915026597671102</v>
      </c>
      <c r="AE36" s="440"/>
      <c r="AF36" s="440">
        <v>4.0412800515552947</v>
      </c>
      <c r="AG36" s="440"/>
      <c r="AH36" s="440">
        <v>6.8117282246677568</v>
      </c>
      <c r="AI36" s="440"/>
    </row>
    <row r="37" spans="1:35" ht="11.25" customHeight="1" x14ac:dyDescent="0.25">
      <c r="A37" s="54"/>
      <c r="B37" s="71"/>
      <c r="C37" s="71"/>
      <c r="D37" s="71"/>
      <c r="E37" s="71"/>
      <c r="F37" s="71"/>
      <c r="G37" s="39"/>
      <c r="H37" s="39"/>
      <c r="I37" s="39"/>
      <c r="J37" s="39"/>
      <c r="K37" s="39"/>
      <c r="L37" s="39"/>
      <c r="M37" s="39"/>
      <c r="N37" s="39"/>
      <c r="O37" s="39"/>
      <c r="Q37" s="40"/>
      <c r="R37" s="40"/>
      <c r="S37" s="487" t="s">
        <v>301</v>
      </c>
      <c r="T37" s="487"/>
      <c r="U37" s="487"/>
      <c r="V37" s="487"/>
      <c r="W37" s="487"/>
      <c r="X37" s="487"/>
      <c r="Y37" s="487"/>
      <c r="Z37" s="440">
        <v>-1.374997791257635E-2</v>
      </c>
      <c r="AA37" s="440"/>
      <c r="AB37" s="440">
        <v>0.10299872647672279</v>
      </c>
      <c r="AC37" s="440"/>
      <c r="AD37" s="440">
        <v>-0.18859047152681971</v>
      </c>
      <c r="AE37" s="440"/>
      <c r="AF37" s="440">
        <v>0.11422066487090765</v>
      </c>
      <c r="AG37" s="440"/>
      <c r="AH37" s="440">
        <v>-0.17970688953688932</v>
      </c>
      <c r="AI37" s="440"/>
    </row>
    <row r="38" spans="1:35" ht="11.25" customHeight="1" x14ac:dyDescent="0.25">
      <c r="A38" s="66"/>
      <c r="B38" s="72"/>
      <c r="C38" s="72"/>
      <c r="D38" s="72"/>
      <c r="E38" s="72"/>
      <c r="F38" s="72"/>
      <c r="G38" s="73"/>
      <c r="H38" s="73"/>
      <c r="I38" s="73"/>
      <c r="J38" s="73"/>
      <c r="K38" s="73"/>
      <c r="L38" s="73"/>
      <c r="M38" s="73"/>
      <c r="N38" s="73"/>
      <c r="O38" s="73"/>
      <c r="Q38" s="40"/>
      <c r="R38" s="40"/>
      <c r="S38" s="449" t="s">
        <v>354</v>
      </c>
      <c r="T38" s="487"/>
      <c r="U38" s="487"/>
      <c r="V38" s="487"/>
      <c r="W38" s="487"/>
      <c r="X38" s="487"/>
      <c r="Y38" s="487"/>
      <c r="Z38" s="448">
        <v>4.3764759735389668E-3</v>
      </c>
      <c r="AA38" s="440"/>
      <c r="AB38" s="448">
        <v>-0.35462328318777137</v>
      </c>
      <c r="AC38" s="440"/>
      <c r="AD38" s="448">
        <v>-0.20667011720828174</v>
      </c>
      <c r="AE38" s="440"/>
      <c r="AF38" s="448">
        <v>-1.1300779082276646</v>
      </c>
      <c r="AG38" s="440"/>
      <c r="AH38" s="448">
        <v>-0.56591470172295144</v>
      </c>
      <c r="AI38" s="440"/>
    </row>
    <row r="39" spans="1:35" ht="11.25" customHeight="1" x14ac:dyDescent="0.25">
      <c r="A39" s="54"/>
      <c r="B39" s="71"/>
      <c r="C39" s="71"/>
      <c r="D39" s="71"/>
      <c r="E39" s="71"/>
      <c r="F39" s="71"/>
      <c r="G39" s="39"/>
      <c r="H39" s="39"/>
      <c r="I39" s="39"/>
      <c r="J39" s="39"/>
      <c r="K39" s="39"/>
      <c r="L39" s="39"/>
      <c r="M39" s="39"/>
      <c r="N39" s="39"/>
      <c r="O39" s="39"/>
      <c r="Q39" s="111"/>
      <c r="R39" s="111"/>
      <c r="S39" s="487" t="s">
        <v>302</v>
      </c>
      <c r="T39" s="487"/>
      <c r="U39" s="487"/>
      <c r="V39" s="487"/>
      <c r="W39" s="487"/>
      <c r="X39" s="487"/>
      <c r="Y39" s="487"/>
      <c r="Z39" s="440">
        <v>4.3764759735389668E-3</v>
      </c>
      <c r="AA39" s="440"/>
      <c r="AB39" s="440">
        <v>-0.35462328318777131</v>
      </c>
      <c r="AC39" s="440"/>
      <c r="AD39" s="440">
        <v>-0.20667011720828174</v>
      </c>
      <c r="AE39" s="440"/>
      <c r="AF39" s="440">
        <v>-1.1300779082276646</v>
      </c>
      <c r="AG39" s="440"/>
      <c r="AH39" s="440">
        <v>-0.56591470172295144</v>
      </c>
      <c r="AI39" s="440"/>
    </row>
    <row r="40" spans="1:35" ht="11.25" customHeight="1" x14ac:dyDescent="0.25">
      <c r="A40" s="54"/>
      <c r="B40" s="71"/>
      <c r="C40" s="71"/>
      <c r="D40" s="71"/>
      <c r="E40" s="71"/>
      <c r="F40" s="71"/>
      <c r="G40" s="39"/>
      <c r="H40" s="39"/>
      <c r="I40" s="39"/>
      <c r="J40" s="39"/>
      <c r="K40" s="39"/>
      <c r="L40" s="39"/>
      <c r="M40" s="39"/>
      <c r="N40" s="39"/>
      <c r="O40" s="39"/>
      <c r="Q40" s="40"/>
      <c r="R40" s="40"/>
      <c r="S40" s="449" t="s">
        <v>355</v>
      </c>
      <c r="T40" s="487"/>
      <c r="U40" s="487"/>
      <c r="V40" s="487"/>
      <c r="W40" s="487"/>
      <c r="X40" s="487"/>
      <c r="Y40" s="487"/>
      <c r="Z40" s="448">
        <v>0.15837662314253781</v>
      </c>
      <c r="AA40" s="440"/>
      <c r="AB40" s="448">
        <v>2.0271077911870741</v>
      </c>
      <c r="AC40" s="440"/>
      <c r="AD40" s="448">
        <v>42.751741708071606</v>
      </c>
      <c r="AE40" s="440"/>
      <c r="AF40" s="448">
        <v>5.7330265255425763</v>
      </c>
      <c r="AG40" s="440"/>
      <c r="AH40" s="448">
        <v>103.89462333109371</v>
      </c>
      <c r="AI40" s="440"/>
    </row>
    <row r="41" spans="1:35" ht="11.25" customHeight="1" x14ac:dyDescent="0.25">
      <c r="A41" s="66"/>
      <c r="B41" s="72"/>
      <c r="C41" s="72"/>
      <c r="D41" s="72"/>
      <c r="E41" s="72"/>
      <c r="F41" s="72"/>
      <c r="G41" s="73"/>
      <c r="H41" s="73"/>
      <c r="I41" s="73"/>
      <c r="J41" s="73"/>
      <c r="K41" s="73"/>
      <c r="L41" s="73"/>
      <c r="M41" s="73"/>
      <c r="N41" s="73"/>
      <c r="O41" s="73"/>
      <c r="Q41" s="40"/>
      <c r="R41" s="40"/>
      <c r="S41" s="449" t="s">
        <v>361</v>
      </c>
      <c r="T41" s="487"/>
      <c r="U41" s="487"/>
      <c r="V41" s="487"/>
      <c r="W41" s="487"/>
      <c r="X41" s="487"/>
      <c r="Y41" s="487"/>
      <c r="Z41" s="448">
        <v>0.20128461619659907</v>
      </c>
      <c r="AA41" s="440"/>
      <c r="AB41" s="448">
        <v>1.5212306814315875</v>
      </c>
      <c r="AC41" s="440"/>
      <c r="AD41" s="448">
        <v>40.77477289355182</v>
      </c>
      <c r="AE41" s="440"/>
      <c r="AF41" s="448">
        <v>4.4089470484114495</v>
      </c>
      <c r="AG41" s="440"/>
      <c r="AH41" s="448">
        <v>101.54616108263488</v>
      </c>
      <c r="AI41" s="440"/>
    </row>
    <row r="42" spans="1:35" ht="11.25" customHeight="1" x14ac:dyDescent="0.25">
      <c r="A42" s="54"/>
      <c r="B42" s="71"/>
      <c r="C42" s="71"/>
      <c r="D42" s="71"/>
      <c r="E42" s="71"/>
      <c r="F42" s="71"/>
      <c r="G42" s="39"/>
      <c r="H42" s="39"/>
      <c r="I42" s="39"/>
      <c r="J42" s="39"/>
      <c r="K42" s="39"/>
      <c r="L42" s="39"/>
      <c r="M42" s="39"/>
      <c r="N42" s="39"/>
      <c r="O42" s="39"/>
      <c r="Q42" s="40"/>
      <c r="R42" s="40"/>
      <c r="S42" s="487" t="s">
        <v>295</v>
      </c>
      <c r="T42" s="487"/>
      <c r="U42" s="487"/>
      <c r="V42" s="487"/>
      <c r="W42" s="487"/>
      <c r="X42" s="487"/>
      <c r="Y42" s="487"/>
      <c r="Z42" s="440">
        <v>0.20128461619659907</v>
      </c>
      <c r="AA42" s="440"/>
      <c r="AB42" s="440">
        <v>1.5212306814315872</v>
      </c>
      <c r="AC42" s="440"/>
      <c r="AD42" s="440">
        <v>40.77477289355182</v>
      </c>
      <c r="AE42" s="440"/>
      <c r="AF42" s="440">
        <v>4.4089470484114486</v>
      </c>
      <c r="AG42" s="440"/>
      <c r="AH42" s="440">
        <v>101.54616108263488</v>
      </c>
      <c r="AI42" s="440"/>
    </row>
    <row r="43" spans="1:35" ht="11.25" customHeight="1" x14ac:dyDescent="0.25">
      <c r="A43" s="54"/>
      <c r="B43" s="71"/>
      <c r="C43" s="71"/>
      <c r="D43" s="71"/>
      <c r="E43" s="71"/>
      <c r="F43" s="71"/>
      <c r="G43" s="39"/>
      <c r="H43" s="39"/>
      <c r="I43" s="39"/>
      <c r="J43" s="39"/>
      <c r="K43" s="39"/>
      <c r="L43" s="39"/>
      <c r="M43" s="39"/>
      <c r="N43" s="39"/>
      <c r="O43" s="39"/>
      <c r="Q43" s="40"/>
      <c r="R43" s="40"/>
      <c r="S43" s="449" t="s">
        <v>362</v>
      </c>
      <c r="T43" s="487"/>
      <c r="U43" s="487"/>
      <c r="V43" s="487"/>
      <c r="W43" s="487"/>
      <c r="X43" s="487"/>
      <c r="Y43" s="487"/>
      <c r="Z43" s="448">
        <v>-4.2907993054061268E-2</v>
      </c>
      <c r="AA43" s="440"/>
      <c r="AB43" s="448">
        <v>-0.3459997030619536</v>
      </c>
      <c r="AC43" s="440"/>
      <c r="AD43" s="448">
        <v>1.9769688145197841</v>
      </c>
      <c r="AE43" s="440"/>
      <c r="AF43" s="448">
        <v>-0.47832969035730599</v>
      </c>
      <c r="AG43" s="440"/>
      <c r="AH43" s="448">
        <v>2.3484622484588349</v>
      </c>
      <c r="AI43" s="440"/>
    </row>
    <row r="44" spans="1:35" ht="11.25" customHeight="1" x14ac:dyDescent="0.25">
      <c r="A44" s="54"/>
      <c r="B44" s="71"/>
      <c r="C44" s="71"/>
      <c r="D44" s="71"/>
      <c r="E44" s="71"/>
      <c r="F44" s="71"/>
      <c r="G44" s="39"/>
      <c r="H44" s="39"/>
      <c r="I44" s="39"/>
      <c r="J44" s="39"/>
      <c r="K44" s="39"/>
      <c r="L44" s="39"/>
      <c r="M44" s="39"/>
      <c r="N44" s="39"/>
      <c r="O44" s="39"/>
      <c r="Q44" s="40"/>
      <c r="R44" s="40"/>
      <c r="S44" s="487" t="s">
        <v>298</v>
      </c>
      <c r="T44" s="487"/>
      <c r="U44" s="487"/>
      <c r="V44" s="487"/>
      <c r="W44" s="487"/>
      <c r="X44" s="487"/>
      <c r="Y44" s="487"/>
      <c r="Z44" s="440">
        <v>-4.2907993054061268E-2</v>
      </c>
      <c r="AA44" s="440"/>
      <c r="AB44" s="440">
        <v>-0.3459997030619536</v>
      </c>
      <c r="AC44" s="440"/>
      <c r="AD44" s="440">
        <v>1.9769688145197841</v>
      </c>
      <c r="AE44" s="440"/>
      <c r="AF44" s="440">
        <v>-0.47832969035730605</v>
      </c>
      <c r="AG44" s="440"/>
      <c r="AH44" s="440">
        <v>2.3484622484588349</v>
      </c>
      <c r="AI44" s="440"/>
    </row>
    <row r="45" spans="1:35" ht="11.25" customHeight="1" x14ac:dyDescent="0.25">
      <c r="A45" s="54"/>
      <c r="B45" s="71"/>
      <c r="C45" s="71"/>
      <c r="D45" s="71"/>
      <c r="E45" s="71"/>
      <c r="F45" s="71"/>
      <c r="G45" s="40"/>
      <c r="H45" s="74"/>
      <c r="I45" s="39"/>
      <c r="J45" s="39"/>
      <c r="K45" s="39"/>
      <c r="L45" s="39"/>
      <c r="M45" s="39"/>
      <c r="N45" s="39"/>
      <c r="O45" s="39"/>
      <c r="Q45" s="111"/>
      <c r="R45" s="111"/>
      <c r="S45" s="449" t="s">
        <v>356</v>
      </c>
      <c r="T45" s="487"/>
      <c r="U45" s="487"/>
      <c r="V45" s="487"/>
      <c r="W45" s="487"/>
      <c r="X45" s="487"/>
      <c r="Y45" s="487"/>
      <c r="Z45" s="448">
        <v>7.1919360705677369E-4</v>
      </c>
      <c r="AA45" s="440"/>
      <c r="AB45" s="448">
        <v>0.64135966153985613</v>
      </c>
      <c r="AC45" s="440"/>
      <c r="AD45" s="448">
        <v>6.1423329015140408E-2</v>
      </c>
      <c r="AE45" s="440"/>
      <c r="AF45" s="448">
        <v>1.5348197830247896</v>
      </c>
      <c r="AG45" s="440"/>
      <c r="AH45" s="448">
        <v>0.12630520543112606</v>
      </c>
      <c r="AI45" s="440"/>
    </row>
    <row r="46" spans="1:35" ht="11.25" customHeight="1" x14ac:dyDescent="0.25">
      <c r="A46" s="54"/>
      <c r="B46" s="71"/>
      <c r="C46" s="71"/>
      <c r="D46" s="71"/>
      <c r="E46" s="71"/>
      <c r="F46" s="71"/>
      <c r="G46" s="40"/>
      <c r="H46" s="74"/>
      <c r="I46" s="39"/>
      <c r="J46" s="39"/>
      <c r="K46" s="39"/>
      <c r="L46" s="39"/>
      <c r="M46" s="39"/>
      <c r="N46" s="39"/>
      <c r="O46" s="39"/>
      <c r="Q46" s="40"/>
      <c r="R46" s="40"/>
      <c r="S46" s="487" t="s">
        <v>300</v>
      </c>
      <c r="T46" s="487"/>
      <c r="U46" s="487"/>
      <c r="V46" s="487"/>
      <c r="W46" s="487"/>
      <c r="X46" s="487"/>
      <c r="Y46" s="487"/>
      <c r="Z46" s="440">
        <v>7.1919360705677369E-4</v>
      </c>
      <c r="AA46" s="440"/>
      <c r="AB46" s="440">
        <v>0.64135966153985613</v>
      </c>
      <c r="AC46" s="440"/>
      <c r="AD46" s="440">
        <v>6.1423329015140408E-2</v>
      </c>
      <c r="AE46" s="440"/>
      <c r="AF46" s="440">
        <v>1.5348197830247894</v>
      </c>
      <c r="AG46" s="440"/>
      <c r="AH46" s="440">
        <v>0.12630520543112606</v>
      </c>
      <c r="AI46" s="440"/>
    </row>
    <row r="47" spans="1:35" ht="11.25" customHeight="1" x14ac:dyDescent="0.25">
      <c r="A47" s="54"/>
      <c r="B47" s="71"/>
      <c r="C47" s="71"/>
      <c r="D47" s="71"/>
      <c r="E47" s="71"/>
      <c r="F47" s="71"/>
      <c r="G47" s="40"/>
      <c r="H47" s="74"/>
      <c r="I47" s="39"/>
      <c r="J47" s="39"/>
      <c r="K47" s="39"/>
      <c r="L47" s="39"/>
      <c r="M47" s="39"/>
      <c r="N47" s="39"/>
      <c r="O47" s="39"/>
      <c r="Q47" s="40"/>
      <c r="R47" s="40"/>
      <c r="S47" s="449" t="s">
        <v>357</v>
      </c>
      <c r="T47" s="487"/>
      <c r="U47" s="487"/>
      <c r="V47" s="487"/>
      <c r="W47" s="487"/>
      <c r="X47" s="487"/>
      <c r="Y47" s="487"/>
      <c r="Z47" s="448">
        <v>-4.8516357066016001E-3</v>
      </c>
      <c r="AA47" s="440"/>
      <c r="AB47" s="448">
        <v>-1.2444959682801964</v>
      </c>
      <c r="AC47" s="440"/>
      <c r="AD47" s="448">
        <v>0.80402132668019843</v>
      </c>
      <c r="AE47" s="440"/>
      <c r="AF47" s="448">
        <v>-3.0121552176905313</v>
      </c>
      <c r="AG47" s="440"/>
      <c r="AH47" s="448">
        <v>1.6721821148712281</v>
      </c>
      <c r="AI47" s="440"/>
    </row>
    <row r="48" spans="1:35" ht="11.25" customHeight="1" x14ac:dyDescent="0.25">
      <c r="A48" s="54"/>
      <c r="B48" s="71"/>
      <c r="C48" s="71"/>
      <c r="D48" s="71"/>
      <c r="E48" s="71"/>
      <c r="F48" s="71"/>
      <c r="G48" s="40"/>
      <c r="H48" s="74"/>
      <c r="I48" s="39"/>
      <c r="J48" s="39"/>
      <c r="K48" s="39"/>
      <c r="L48" s="39"/>
      <c r="M48" s="39"/>
      <c r="N48" s="39"/>
      <c r="O48" s="39"/>
      <c r="Q48" s="40"/>
      <c r="R48" s="40"/>
      <c r="S48" s="487" t="s">
        <v>299</v>
      </c>
      <c r="T48" s="487"/>
      <c r="U48" s="487"/>
      <c r="V48" s="487"/>
      <c r="W48" s="487"/>
      <c r="X48" s="487"/>
      <c r="Y48" s="487"/>
      <c r="Z48" s="440">
        <v>-4.8516357066016001E-3</v>
      </c>
      <c r="AA48" s="440"/>
      <c r="AB48" s="440">
        <v>-1.2444959682801964</v>
      </c>
      <c r="AC48" s="440"/>
      <c r="AD48" s="440">
        <v>0.80402132668019843</v>
      </c>
      <c r="AE48" s="440"/>
      <c r="AF48" s="440">
        <v>-3.0121552176905304</v>
      </c>
      <c r="AG48" s="440"/>
      <c r="AH48" s="440">
        <v>1.6721821148712281</v>
      </c>
      <c r="AI48" s="440"/>
    </row>
    <row r="49" spans="1:35" ht="11.25" customHeight="1" x14ac:dyDescent="0.25">
      <c r="A49" s="54"/>
      <c r="B49" s="71"/>
      <c r="C49" s="71"/>
      <c r="D49" s="71"/>
      <c r="E49" s="71"/>
      <c r="F49" s="71"/>
      <c r="G49" s="40"/>
      <c r="H49" s="74"/>
      <c r="I49" s="39"/>
      <c r="J49" s="39"/>
      <c r="K49" s="39"/>
      <c r="L49" s="39"/>
      <c r="M49" s="39"/>
      <c r="N49" s="39"/>
      <c r="O49" s="39"/>
      <c r="Q49" s="40"/>
      <c r="R49" s="40"/>
      <c r="S49" s="487"/>
      <c r="T49" s="487"/>
      <c r="U49" s="487"/>
      <c r="V49" s="487"/>
      <c r="W49" s="487"/>
      <c r="X49" s="487"/>
      <c r="Y49" s="487"/>
      <c r="Z49" s="440"/>
      <c r="AA49" s="440"/>
      <c r="AB49" s="440"/>
      <c r="AC49" s="440"/>
      <c r="AD49" s="440"/>
      <c r="AE49" s="440"/>
      <c r="AF49" s="440"/>
      <c r="AG49" s="440"/>
      <c r="AH49" s="440"/>
      <c r="AI49" s="440"/>
    </row>
    <row r="50" spans="1:35" ht="11.25" customHeight="1" x14ac:dyDescent="0.25">
      <c r="A50" s="57"/>
      <c r="B50" s="75"/>
      <c r="C50" s="75"/>
      <c r="D50" s="75"/>
      <c r="E50" s="75"/>
      <c r="F50" s="75"/>
      <c r="G50" s="75"/>
      <c r="H50" s="74"/>
      <c r="I50" s="75"/>
      <c r="J50" s="75"/>
      <c r="K50" s="20"/>
      <c r="L50" s="20"/>
      <c r="M50" s="20"/>
      <c r="N50" s="20"/>
      <c r="O50" s="20"/>
      <c r="Q50" s="111"/>
      <c r="R50" s="111"/>
      <c r="S50" s="487"/>
      <c r="T50" s="487"/>
      <c r="U50" s="487"/>
      <c r="V50" s="487"/>
      <c r="W50" s="487"/>
      <c r="X50" s="487"/>
      <c r="Y50" s="487"/>
      <c r="Z50" s="440"/>
      <c r="AA50" s="440"/>
      <c r="AB50" s="440"/>
      <c r="AC50" s="440"/>
      <c r="AD50" s="440"/>
      <c r="AE50" s="440"/>
      <c r="AF50" s="440"/>
      <c r="AG50" s="440"/>
      <c r="AH50" s="440"/>
      <c r="AI50" s="440"/>
    </row>
    <row r="51" spans="1:35" ht="11.25" customHeight="1" x14ac:dyDescent="0.25">
      <c r="A51" s="58"/>
      <c r="B51" s="76"/>
      <c r="C51" s="76"/>
      <c r="D51" s="76"/>
      <c r="E51" s="76"/>
      <c r="F51" s="76"/>
      <c r="G51" s="30"/>
      <c r="H51" s="74"/>
      <c r="I51" s="77"/>
      <c r="J51" s="77"/>
      <c r="K51" s="77"/>
      <c r="L51" s="77"/>
      <c r="M51" s="77"/>
      <c r="N51" s="77"/>
      <c r="O51" s="77"/>
      <c r="Q51" s="40"/>
      <c r="R51" s="40"/>
      <c r="S51" s="487"/>
      <c r="T51" s="487"/>
      <c r="U51" s="487"/>
      <c r="V51" s="487"/>
      <c r="W51" s="487"/>
      <c r="X51" s="487"/>
      <c r="Y51" s="487"/>
      <c r="Z51" s="440"/>
      <c r="AA51" s="440"/>
      <c r="AB51" s="440"/>
      <c r="AC51" s="440"/>
      <c r="AD51" s="440"/>
      <c r="AE51" s="440"/>
      <c r="AF51" s="440"/>
      <c r="AG51" s="440"/>
      <c r="AH51" s="440"/>
      <c r="AI51" s="440"/>
    </row>
    <row r="52" spans="1:35" ht="11.25" customHeight="1" x14ac:dyDescent="0.25">
      <c r="A52" s="60"/>
      <c r="B52" s="78"/>
      <c r="C52" s="78"/>
      <c r="D52" s="78"/>
      <c r="E52" s="78"/>
      <c r="F52" s="78"/>
      <c r="G52" s="79"/>
      <c r="H52" s="74"/>
      <c r="I52" s="79"/>
      <c r="J52" s="79"/>
      <c r="K52" s="79"/>
      <c r="L52" s="79"/>
      <c r="M52" s="79"/>
      <c r="N52" s="79"/>
      <c r="O52" s="80"/>
      <c r="Q52" s="111"/>
      <c r="R52" s="111"/>
      <c r="S52" s="487"/>
      <c r="T52" s="487"/>
      <c r="U52" s="487"/>
      <c r="V52" s="487"/>
      <c r="W52" s="487"/>
      <c r="X52" s="487"/>
      <c r="Y52" s="487"/>
      <c r="Z52" s="440"/>
      <c r="AA52" s="440"/>
      <c r="AB52" s="440"/>
      <c r="AC52" s="440"/>
      <c r="AD52" s="440"/>
      <c r="AE52" s="440"/>
      <c r="AF52" s="440"/>
      <c r="AG52" s="440"/>
      <c r="AH52" s="440"/>
      <c r="AI52" s="440"/>
    </row>
    <row r="53" spans="1:35" ht="11.25" customHeight="1" x14ac:dyDescent="0.25">
      <c r="A53" s="54"/>
      <c r="B53" s="71"/>
      <c r="C53" s="71"/>
      <c r="D53" s="71"/>
      <c r="E53" s="71"/>
      <c r="F53" s="71"/>
      <c r="G53" s="40"/>
      <c r="H53" s="74"/>
      <c r="I53" s="39"/>
      <c r="J53" s="39"/>
      <c r="K53" s="39"/>
      <c r="L53" s="39"/>
      <c r="M53" s="39"/>
      <c r="N53" s="39"/>
      <c r="O53" s="39"/>
      <c r="Q53" s="40"/>
      <c r="R53" s="40"/>
      <c r="S53" s="487"/>
      <c r="T53" s="487"/>
      <c r="U53" s="487"/>
      <c r="V53" s="487"/>
      <c r="W53" s="487"/>
      <c r="X53" s="487"/>
      <c r="Y53" s="487"/>
      <c r="Z53" s="440"/>
      <c r="AA53" s="440"/>
      <c r="AB53" s="440"/>
      <c r="AC53" s="440"/>
      <c r="AD53" s="440"/>
      <c r="AE53" s="440"/>
      <c r="AF53" s="440"/>
      <c r="AG53" s="440"/>
      <c r="AH53" s="440"/>
      <c r="AI53" s="440"/>
    </row>
    <row r="54" spans="1:35" ht="11.25" customHeight="1" x14ac:dyDescent="0.25">
      <c r="A54" s="54"/>
      <c r="B54" s="71"/>
      <c r="C54" s="71"/>
      <c r="D54" s="71"/>
      <c r="E54" s="71"/>
      <c r="F54" s="71"/>
      <c r="G54" s="40"/>
      <c r="H54" s="74"/>
      <c r="I54" s="39"/>
      <c r="J54" s="39"/>
      <c r="K54" s="39"/>
      <c r="L54" s="39"/>
      <c r="M54" s="39"/>
      <c r="N54" s="39"/>
      <c r="O54" s="39"/>
      <c r="Q54" s="111"/>
      <c r="R54" s="111"/>
      <c r="S54" s="487"/>
      <c r="T54" s="487"/>
      <c r="U54" s="487"/>
      <c r="V54" s="487"/>
      <c r="W54" s="487"/>
      <c r="X54" s="487"/>
      <c r="Y54" s="487"/>
      <c r="Z54" s="440"/>
      <c r="AA54" s="440"/>
      <c r="AB54" s="440"/>
      <c r="AC54" s="440"/>
      <c r="AD54" s="440"/>
      <c r="AE54" s="440"/>
      <c r="AF54" s="440"/>
      <c r="AG54" s="440"/>
      <c r="AH54" s="440"/>
      <c r="AI54" s="440"/>
    </row>
    <row r="55" spans="1:35" ht="11.25" customHeight="1" x14ac:dyDescent="0.25">
      <c r="A55" s="54"/>
      <c r="B55" s="71"/>
      <c r="C55" s="71"/>
      <c r="D55" s="71"/>
      <c r="E55" s="71"/>
      <c r="F55" s="71"/>
      <c r="G55" s="40"/>
      <c r="H55" s="74"/>
      <c r="I55" s="39"/>
      <c r="J55" s="39"/>
      <c r="K55" s="39"/>
      <c r="L55" s="39"/>
      <c r="M55" s="39"/>
      <c r="N55" s="39"/>
      <c r="O55" s="39"/>
      <c r="Q55" s="40"/>
      <c r="R55" s="40"/>
      <c r="S55" s="487"/>
      <c r="T55" s="487"/>
      <c r="U55" s="487"/>
      <c r="V55" s="487"/>
      <c r="W55" s="487"/>
      <c r="X55" s="487"/>
      <c r="Y55" s="487"/>
      <c r="Z55" s="440"/>
      <c r="AA55" s="440"/>
      <c r="AB55" s="440"/>
      <c r="AC55" s="440"/>
      <c r="AD55" s="440"/>
      <c r="AE55" s="440"/>
      <c r="AF55" s="440"/>
      <c r="AG55" s="440"/>
      <c r="AH55" s="440"/>
      <c r="AI55" s="440"/>
    </row>
    <row r="56" spans="1:35" ht="11.25" customHeight="1" x14ac:dyDescent="0.25">
      <c r="A56" s="54"/>
      <c r="B56" s="71"/>
      <c r="C56" s="71"/>
      <c r="D56" s="71"/>
      <c r="E56" s="71"/>
      <c r="F56" s="71"/>
      <c r="G56" s="40"/>
      <c r="H56" s="74"/>
      <c r="I56" s="39"/>
      <c r="J56" s="39"/>
      <c r="K56" s="39"/>
      <c r="L56" s="39"/>
      <c r="M56" s="39"/>
      <c r="N56" s="39"/>
      <c r="O56" s="39"/>
      <c r="Q56" s="111"/>
      <c r="R56" s="111"/>
      <c r="S56" s="487"/>
      <c r="T56" s="487"/>
      <c r="U56" s="487"/>
      <c r="V56" s="487"/>
      <c r="W56" s="487"/>
      <c r="X56" s="487"/>
      <c r="Y56" s="487"/>
      <c r="Z56" s="440"/>
      <c r="AA56" s="440"/>
      <c r="AB56" s="440"/>
      <c r="AC56" s="440"/>
      <c r="AD56" s="440"/>
      <c r="AE56" s="440"/>
      <c r="AF56" s="440"/>
      <c r="AG56" s="440"/>
      <c r="AH56" s="440"/>
      <c r="AI56" s="440"/>
    </row>
    <row r="57" spans="1:35" ht="11.25" customHeight="1" x14ac:dyDescent="0.25">
      <c r="A57" s="54"/>
      <c r="B57" s="71"/>
      <c r="C57" s="71"/>
      <c r="D57" s="71"/>
      <c r="E57" s="71"/>
      <c r="F57" s="71"/>
      <c r="G57" s="40"/>
      <c r="H57" s="74"/>
      <c r="I57" s="39"/>
      <c r="J57" s="39"/>
      <c r="K57" s="39"/>
      <c r="L57" s="39"/>
      <c r="M57" s="39"/>
      <c r="N57" s="39"/>
      <c r="O57" s="39"/>
      <c r="Q57" s="40"/>
      <c r="R57" s="40"/>
      <c r="S57" s="487"/>
      <c r="T57" s="487"/>
      <c r="U57" s="487"/>
      <c r="V57" s="487"/>
      <c r="W57" s="487"/>
      <c r="X57" s="487"/>
      <c r="Y57" s="487"/>
      <c r="Z57" s="440"/>
      <c r="AA57" s="440"/>
      <c r="AB57" s="440"/>
      <c r="AC57" s="440"/>
      <c r="AD57" s="440"/>
      <c r="AE57" s="440"/>
      <c r="AF57" s="440"/>
      <c r="AG57" s="440"/>
      <c r="AH57" s="440"/>
      <c r="AI57" s="440"/>
    </row>
    <row r="58" spans="1:35" ht="11.25" customHeight="1" x14ac:dyDescent="0.25">
      <c r="A58" s="54"/>
      <c r="B58" s="71"/>
      <c r="C58" s="71"/>
      <c r="D58" s="71"/>
      <c r="E58" s="71"/>
      <c r="F58" s="71"/>
      <c r="G58" s="40"/>
      <c r="H58" s="74"/>
      <c r="I58" s="39"/>
      <c r="J58" s="39"/>
      <c r="K58" s="39"/>
      <c r="L58" s="39"/>
      <c r="M58" s="39"/>
      <c r="N58" s="39"/>
      <c r="O58" s="39"/>
      <c r="P58" s="39"/>
      <c r="Q58" s="20"/>
      <c r="R58" s="20"/>
      <c r="S58" s="487"/>
      <c r="T58" s="487"/>
      <c r="U58" s="487"/>
      <c r="V58" s="487"/>
      <c r="W58" s="487"/>
      <c r="X58" s="487"/>
      <c r="Y58" s="487"/>
      <c r="Z58" s="440"/>
      <c r="AA58" s="440"/>
      <c r="AB58" s="440"/>
      <c r="AC58" s="440"/>
      <c r="AD58" s="440"/>
      <c r="AE58" s="440"/>
      <c r="AF58" s="440"/>
      <c r="AG58" s="440"/>
      <c r="AH58" s="440"/>
      <c r="AI58" s="440"/>
    </row>
    <row r="59" spans="1:35" ht="11.25" customHeight="1" x14ac:dyDescent="0.25">
      <c r="A59" s="81"/>
      <c r="B59" s="81"/>
      <c r="C59" s="81"/>
      <c r="D59" s="81"/>
      <c r="E59" s="81"/>
      <c r="F59" s="81"/>
      <c r="G59" s="81"/>
      <c r="H59" s="81"/>
      <c r="I59" s="81"/>
      <c r="J59" s="81"/>
      <c r="K59" s="81"/>
      <c r="L59" s="81"/>
      <c r="M59" s="81"/>
      <c r="N59" s="81"/>
      <c r="O59" s="81"/>
      <c r="P59" s="81"/>
      <c r="Q59" s="81"/>
      <c r="R59" s="81"/>
      <c r="S59" s="487"/>
      <c r="T59" s="487"/>
      <c r="U59" s="487"/>
      <c r="V59" s="487"/>
      <c r="W59" s="487"/>
      <c r="X59" s="487"/>
      <c r="Y59" s="487"/>
      <c r="Z59" s="440"/>
      <c r="AA59" s="440"/>
      <c r="AB59" s="440"/>
      <c r="AC59" s="440"/>
      <c r="AD59" s="440"/>
      <c r="AE59" s="440"/>
      <c r="AF59" s="440"/>
      <c r="AG59" s="440"/>
      <c r="AH59" s="440"/>
      <c r="AI59" s="440"/>
    </row>
    <row r="60" spans="1:35" ht="11.25" customHeight="1" x14ac:dyDescent="0.25">
      <c r="S60" s="487"/>
      <c r="T60" s="487"/>
      <c r="U60" s="487"/>
      <c r="V60" s="487"/>
      <c r="W60" s="487"/>
      <c r="X60" s="487"/>
      <c r="Y60" s="487"/>
      <c r="Z60" s="440"/>
      <c r="AA60" s="440"/>
      <c r="AB60" s="440"/>
      <c r="AC60" s="440"/>
      <c r="AD60" s="440"/>
      <c r="AE60" s="440"/>
      <c r="AF60" s="440"/>
      <c r="AG60" s="440"/>
      <c r="AH60" s="440"/>
      <c r="AI60" s="440"/>
    </row>
    <row r="61" spans="1:35" ht="11.25" customHeight="1" x14ac:dyDescent="0.25">
      <c r="S61" s="487"/>
      <c r="T61" s="487"/>
      <c r="U61" s="487"/>
      <c r="V61" s="487"/>
      <c r="W61" s="487"/>
      <c r="X61" s="487"/>
      <c r="Y61" s="487"/>
      <c r="Z61" s="440"/>
      <c r="AA61" s="440"/>
      <c r="AB61" s="440"/>
      <c r="AC61" s="440"/>
      <c r="AD61" s="440"/>
      <c r="AE61" s="440"/>
      <c r="AF61" s="440"/>
      <c r="AG61" s="440"/>
      <c r="AH61" s="440"/>
      <c r="AI61" s="440"/>
    </row>
    <row r="62" spans="1:35" ht="11.25" customHeight="1" x14ac:dyDescent="0.25">
      <c r="S62" s="487"/>
      <c r="T62" s="487"/>
      <c r="U62" s="487"/>
      <c r="V62" s="487"/>
      <c r="W62" s="487"/>
      <c r="X62" s="487"/>
      <c r="Y62" s="487"/>
      <c r="Z62" s="440"/>
      <c r="AA62" s="440"/>
      <c r="AB62" s="440"/>
      <c r="AC62" s="440"/>
      <c r="AD62" s="440"/>
      <c r="AE62" s="440"/>
      <c r="AF62" s="440"/>
      <c r="AG62" s="440"/>
      <c r="AH62" s="440"/>
      <c r="AI62" s="440"/>
    </row>
    <row r="63" spans="1:35" ht="11.25" customHeight="1" x14ac:dyDescent="0.25">
      <c r="S63" s="487"/>
      <c r="T63" s="487"/>
      <c r="U63" s="487"/>
      <c r="V63" s="487"/>
      <c r="W63" s="487"/>
      <c r="X63" s="487"/>
      <c r="Y63" s="487"/>
      <c r="Z63" s="440"/>
      <c r="AA63" s="440"/>
      <c r="AB63" s="440"/>
      <c r="AC63" s="440"/>
      <c r="AD63" s="440"/>
      <c r="AE63" s="440"/>
      <c r="AF63" s="440"/>
      <c r="AG63" s="440"/>
      <c r="AH63" s="440"/>
      <c r="AI63" s="440"/>
    </row>
    <row r="64" spans="1:35" ht="11.25" customHeight="1" x14ac:dyDescent="0.25">
      <c r="S64" s="487"/>
      <c r="T64" s="487"/>
      <c r="U64" s="487"/>
      <c r="V64" s="487"/>
      <c r="W64" s="487"/>
      <c r="X64" s="487"/>
      <c r="Y64" s="487"/>
      <c r="Z64" s="440"/>
      <c r="AA64" s="440"/>
      <c r="AB64" s="440"/>
      <c r="AC64" s="440"/>
      <c r="AD64" s="440"/>
      <c r="AE64" s="440"/>
      <c r="AF64" s="440"/>
      <c r="AG64" s="440"/>
      <c r="AH64" s="440"/>
      <c r="AI64" s="440"/>
    </row>
    <row r="65" spans="19:35" ht="11.25" customHeight="1" x14ac:dyDescent="0.25">
      <c r="S65" s="487"/>
      <c r="T65" s="487"/>
      <c r="U65" s="487"/>
      <c r="V65" s="487"/>
      <c r="W65" s="487"/>
      <c r="X65" s="487"/>
      <c r="Y65" s="487"/>
      <c r="Z65" s="440"/>
      <c r="AA65" s="440"/>
      <c r="AB65" s="440"/>
      <c r="AC65" s="440"/>
      <c r="AD65" s="440"/>
      <c r="AE65" s="440"/>
      <c r="AF65" s="440"/>
      <c r="AG65" s="440"/>
      <c r="AH65" s="440"/>
      <c r="AI65" s="440"/>
    </row>
    <row r="66" spans="19:35" ht="11.25" customHeight="1" x14ac:dyDescent="0.25">
      <c r="S66" s="487"/>
      <c r="T66" s="487"/>
      <c r="U66" s="487"/>
      <c r="V66" s="487"/>
      <c r="W66" s="487"/>
      <c r="X66" s="487"/>
      <c r="Y66" s="487"/>
      <c r="Z66" s="440"/>
      <c r="AA66" s="440"/>
      <c r="AB66" s="440"/>
      <c r="AC66" s="440"/>
      <c r="AD66" s="440"/>
      <c r="AE66" s="440"/>
      <c r="AF66" s="440"/>
      <c r="AG66" s="440"/>
      <c r="AH66" s="440"/>
      <c r="AI66" s="440"/>
    </row>
    <row r="67" spans="19:35" ht="11.25" customHeight="1" x14ac:dyDescent="0.25">
      <c r="S67" s="487"/>
      <c r="T67" s="487"/>
      <c r="U67" s="487"/>
      <c r="V67" s="487"/>
      <c r="W67" s="487"/>
      <c r="X67" s="487"/>
      <c r="Y67" s="487"/>
      <c r="Z67" s="440"/>
      <c r="AA67" s="440"/>
      <c r="AB67" s="440"/>
      <c r="AC67" s="440"/>
      <c r="AD67" s="440"/>
      <c r="AE67" s="440"/>
      <c r="AF67" s="440"/>
      <c r="AG67" s="440"/>
      <c r="AH67" s="440"/>
      <c r="AI67" s="440"/>
    </row>
    <row r="68" spans="19:35" ht="11.25" customHeight="1" x14ac:dyDescent="0.25">
      <c r="S68" s="487"/>
      <c r="T68" s="487"/>
      <c r="U68" s="487"/>
      <c r="V68" s="487"/>
      <c r="W68" s="487"/>
      <c r="X68" s="487"/>
      <c r="Y68" s="487"/>
      <c r="Z68" s="440"/>
      <c r="AA68" s="440"/>
      <c r="AB68" s="440"/>
      <c r="AC68" s="440"/>
      <c r="AD68" s="440"/>
      <c r="AE68" s="440"/>
      <c r="AF68" s="440"/>
      <c r="AG68" s="440"/>
      <c r="AH68" s="440"/>
      <c r="AI68" s="440"/>
    </row>
    <row r="69" spans="19:35" ht="11.25" customHeight="1" x14ac:dyDescent="0.25">
      <c r="S69" s="487"/>
      <c r="T69" s="487"/>
      <c r="U69" s="487"/>
      <c r="V69" s="487"/>
      <c r="W69" s="487"/>
      <c r="X69" s="487"/>
      <c r="Y69" s="487"/>
      <c r="Z69" s="440"/>
      <c r="AA69" s="440"/>
      <c r="AB69" s="440"/>
      <c r="AC69" s="440"/>
      <c r="AD69" s="440"/>
      <c r="AE69" s="440"/>
      <c r="AF69" s="440"/>
      <c r="AG69" s="440"/>
      <c r="AH69" s="440"/>
      <c r="AI69" s="440"/>
    </row>
    <row r="70" spans="19:35" ht="11.25" customHeight="1" x14ac:dyDescent="0.25">
      <c r="S70" s="487"/>
      <c r="T70" s="487"/>
      <c r="U70" s="487"/>
      <c r="V70" s="487"/>
      <c r="W70" s="487"/>
      <c r="X70" s="487"/>
      <c r="Y70" s="487"/>
      <c r="Z70" s="440"/>
      <c r="AA70" s="440"/>
      <c r="AB70" s="440"/>
      <c r="AC70" s="440"/>
      <c r="AD70" s="440"/>
      <c r="AE70" s="440"/>
      <c r="AF70" s="440"/>
      <c r="AG70" s="440"/>
      <c r="AH70" s="440"/>
      <c r="AI70" s="440"/>
    </row>
    <row r="71" spans="19:35" ht="33.75" customHeight="1" x14ac:dyDescent="0.25">
      <c r="Z71" s="298"/>
      <c r="AA71" s="298"/>
      <c r="AB71" s="298"/>
      <c r="AC71" s="298"/>
      <c r="AD71" s="298"/>
      <c r="AE71" s="298"/>
      <c r="AF71" s="298"/>
      <c r="AG71" s="298"/>
      <c r="AH71" s="298"/>
      <c r="AI71" s="298"/>
    </row>
    <row r="72" spans="19:35" x14ac:dyDescent="0.25">
      <c r="Z72" s="298"/>
      <c r="AA72" s="298"/>
      <c r="AB72" s="298"/>
      <c r="AC72" s="298"/>
      <c r="AD72" s="298"/>
      <c r="AE72" s="298"/>
      <c r="AF72" s="298"/>
      <c r="AG72" s="298"/>
      <c r="AH72" s="298"/>
      <c r="AI72" s="298"/>
    </row>
  </sheetData>
  <mergeCells count="308">
    <mergeCell ref="S63:Y63"/>
    <mergeCell ref="Z63:AA63"/>
    <mergeCell ref="AB63:AC63"/>
    <mergeCell ref="AD63:AE63"/>
    <mergeCell ref="AF63:AG63"/>
    <mergeCell ref="AH63:AI63"/>
    <mergeCell ref="S61:Y61"/>
    <mergeCell ref="Z61:AA61"/>
    <mergeCell ref="AB61:AC61"/>
    <mergeCell ref="AD61:AE61"/>
    <mergeCell ref="AF61:AG61"/>
    <mergeCell ref="AH61:AI61"/>
    <mergeCell ref="S62:Y62"/>
    <mergeCell ref="Z62:AA62"/>
    <mergeCell ref="AB62:AC62"/>
    <mergeCell ref="AD62:AE62"/>
    <mergeCell ref="AF62:AG62"/>
    <mergeCell ref="AH62:AI62"/>
    <mergeCell ref="S59:Y59"/>
    <mergeCell ref="Z59:AA59"/>
    <mergeCell ref="AB59:AC59"/>
    <mergeCell ref="AD59:AE59"/>
    <mergeCell ref="AF59:AG59"/>
    <mergeCell ref="AH59:AI59"/>
    <mergeCell ref="S60:Y60"/>
    <mergeCell ref="Z60:AA60"/>
    <mergeCell ref="AB60:AC60"/>
    <mergeCell ref="AD60:AE60"/>
    <mergeCell ref="AF60:AG60"/>
    <mergeCell ref="AH60:AI60"/>
    <mergeCell ref="S42:Y42"/>
    <mergeCell ref="S43:Y43"/>
    <mergeCell ref="S44:Y44"/>
    <mergeCell ref="S58:Y58"/>
    <mergeCell ref="Z58:AA58"/>
    <mergeCell ref="AB58:AC58"/>
    <mergeCell ref="AD58:AE58"/>
    <mergeCell ref="AF58:AG58"/>
    <mergeCell ref="AH58:AI58"/>
    <mergeCell ref="AF52:AG52"/>
    <mergeCell ref="AH52:AI52"/>
    <mergeCell ref="S57:Y57"/>
    <mergeCell ref="AF55:AG55"/>
    <mergeCell ref="AH55:AI55"/>
    <mergeCell ref="AF56:AG56"/>
    <mergeCell ref="AH56:AI56"/>
    <mergeCell ref="AF57:AG57"/>
    <mergeCell ref="AH57:AI57"/>
    <mergeCell ref="AF42:AG42"/>
    <mergeCell ref="AH42:AI42"/>
    <mergeCell ref="AF43:AG43"/>
    <mergeCell ref="AH43:AI43"/>
    <mergeCell ref="AF44:AG44"/>
    <mergeCell ref="AH44:AI44"/>
    <mergeCell ref="S33:Y33"/>
    <mergeCell ref="S34:Y34"/>
    <mergeCell ref="S35:Y35"/>
    <mergeCell ref="S36:Y36"/>
    <mergeCell ref="S37:Y37"/>
    <mergeCell ref="S38:Y38"/>
    <mergeCell ref="S39:Y39"/>
    <mergeCell ref="S40:Y40"/>
    <mergeCell ref="S41:Y41"/>
    <mergeCell ref="AF53:AG53"/>
    <mergeCell ref="AH53:AI53"/>
    <mergeCell ref="AF54:AG54"/>
    <mergeCell ref="AH54:AI54"/>
    <mergeCell ref="AF45:AG45"/>
    <mergeCell ref="AH45:AI45"/>
    <mergeCell ref="AF46:AG46"/>
    <mergeCell ref="AH46:AI46"/>
    <mergeCell ref="AF47:AG47"/>
    <mergeCell ref="AH47:AI47"/>
    <mergeCell ref="AF48:AG48"/>
    <mergeCell ref="AH48:AI48"/>
    <mergeCell ref="AF49:AG49"/>
    <mergeCell ref="AH49:AI49"/>
    <mergeCell ref="AF50:AG50"/>
    <mergeCell ref="AH50:AI50"/>
    <mergeCell ref="AF51:AG51"/>
    <mergeCell ref="AH51:AI51"/>
    <mergeCell ref="AF37:AG37"/>
    <mergeCell ref="AH37:AI37"/>
    <mergeCell ref="AF38:AG38"/>
    <mergeCell ref="AH38:AI38"/>
    <mergeCell ref="AF39:AG39"/>
    <mergeCell ref="AH39:AI39"/>
    <mergeCell ref="AF40:AG40"/>
    <mergeCell ref="AH40:AI40"/>
    <mergeCell ref="AF41:AG41"/>
    <mergeCell ref="AH41:AI41"/>
    <mergeCell ref="AF33:AG33"/>
    <mergeCell ref="AF30:AG30"/>
    <mergeCell ref="AH33:AI33"/>
    <mergeCell ref="AF34:AG34"/>
    <mergeCell ref="AH34:AI34"/>
    <mergeCell ref="AF35:AG35"/>
    <mergeCell ref="AH35:AI35"/>
    <mergeCell ref="AF36:AG36"/>
    <mergeCell ref="AH36:AI36"/>
    <mergeCell ref="AD28:AE28"/>
    <mergeCell ref="A24:AI25"/>
    <mergeCell ref="AH30:AI30"/>
    <mergeCell ref="AF31:AG31"/>
    <mergeCell ref="AH31:AI31"/>
    <mergeCell ref="AF32:AG32"/>
    <mergeCell ref="AH32:AI32"/>
    <mergeCell ref="AF28:AG28"/>
    <mergeCell ref="AH28:AI28"/>
    <mergeCell ref="AF29:AG29"/>
    <mergeCell ref="AH29:AI29"/>
    <mergeCell ref="AD31:AE31"/>
    <mergeCell ref="Z32:AA32"/>
    <mergeCell ref="AB32:AC32"/>
    <mergeCell ref="AD32:AE32"/>
    <mergeCell ref="Z29:AA29"/>
    <mergeCell ref="AB29:AC29"/>
    <mergeCell ref="AD29:AE29"/>
    <mergeCell ref="Z30:AA30"/>
    <mergeCell ref="S28:Y28"/>
    <mergeCell ref="S29:Y29"/>
    <mergeCell ref="S30:Y30"/>
    <mergeCell ref="S31:Y31"/>
    <mergeCell ref="S32:Y32"/>
    <mergeCell ref="S8:AE8"/>
    <mergeCell ref="S10:AA10"/>
    <mergeCell ref="S11:AA11"/>
    <mergeCell ref="S12:AA12"/>
    <mergeCell ref="AD9:AE9"/>
    <mergeCell ref="AD10:AE10"/>
    <mergeCell ref="AD11:AE11"/>
    <mergeCell ref="AD12:AE12"/>
    <mergeCell ref="AB11:AC11"/>
    <mergeCell ref="AB12:AC12"/>
    <mergeCell ref="S13:AA13"/>
    <mergeCell ref="S14:AA14"/>
    <mergeCell ref="AB49:AC49"/>
    <mergeCell ref="AB50:AC50"/>
    <mergeCell ref="S9:T9"/>
    <mergeCell ref="U9:V9"/>
    <mergeCell ref="W9:X9"/>
    <mergeCell ref="AB9:AC9"/>
    <mergeCell ref="AB10:AC10"/>
    <mergeCell ref="Z31:AA31"/>
    <mergeCell ref="AB31:AC31"/>
    <mergeCell ref="S45:Y45"/>
    <mergeCell ref="S46:Y46"/>
    <mergeCell ref="S47:Y47"/>
    <mergeCell ref="S48:Y48"/>
    <mergeCell ref="S49:Y49"/>
    <mergeCell ref="S50:Y50"/>
    <mergeCell ref="Z46:AA46"/>
    <mergeCell ref="AB46:AC46"/>
    <mergeCell ref="Z44:AA44"/>
    <mergeCell ref="Z45:AA45"/>
    <mergeCell ref="AB41:AC41"/>
    <mergeCell ref="AB42:AC42"/>
    <mergeCell ref="AB43:AC43"/>
    <mergeCell ref="AB13:AC13"/>
    <mergeCell ref="AB14:AC14"/>
    <mergeCell ref="Z41:AA41"/>
    <mergeCell ref="S53:Y53"/>
    <mergeCell ref="S54:Y54"/>
    <mergeCell ref="S55:Y55"/>
    <mergeCell ref="AD46:AE46"/>
    <mergeCell ref="AD47:AE47"/>
    <mergeCell ref="AB54:AC54"/>
    <mergeCell ref="AB55:AC55"/>
    <mergeCell ref="AD36:AE36"/>
    <mergeCell ref="AD37:AE37"/>
    <mergeCell ref="AD38:AE38"/>
    <mergeCell ref="AD39:AE39"/>
    <mergeCell ref="AD40:AE40"/>
    <mergeCell ref="AD41:AE41"/>
    <mergeCell ref="AD42:AE42"/>
    <mergeCell ref="AD43:AE43"/>
    <mergeCell ref="AD44:AE44"/>
    <mergeCell ref="AD45:AE45"/>
    <mergeCell ref="AB40:AC40"/>
    <mergeCell ref="S51:Y51"/>
    <mergeCell ref="S52:Y52"/>
    <mergeCell ref="Z52:AA52"/>
    <mergeCell ref="S15:AA15"/>
    <mergeCell ref="S16:AA16"/>
    <mergeCell ref="S17:AA17"/>
    <mergeCell ref="AB15:AC15"/>
    <mergeCell ref="AB16:AC16"/>
    <mergeCell ref="AB17:AC17"/>
    <mergeCell ref="A23:AI23"/>
    <mergeCell ref="AF27:AG27"/>
    <mergeCell ref="S56:Y56"/>
    <mergeCell ref="AB47:AC47"/>
    <mergeCell ref="Z40:AA40"/>
    <mergeCell ref="Z55:AA55"/>
    <mergeCell ref="Z42:AA42"/>
    <mergeCell ref="Z43:AA43"/>
    <mergeCell ref="AH27:AI27"/>
    <mergeCell ref="S18:AA18"/>
    <mergeCell ref="S19:AA19"/>
    <mergeCell ref="S20:AA20"/>
    <mergeCell ref="Z27:AA27"/>
    <mergeCell ref="AB27:AC27"/>
    <mergeCell ref="AB20:AC20"/>
    <mergeCell ref="S27:Y27"/>
    <mergeCell ref="Z28:AA28"/>
    <mergeCell ref="AB28:AC28"/>
    <mergeCell ref="AD13:AE13"/>
    <mergeCell ref="AD14:AE14"/>
    <mergeCell ref="AD15:AE15"/>
    <mergeCell ref="AD16:AE16"/>
    <mergeCell ref="AD17:AE17"/>
    <mergeCell ref="AD18:AE18"/>
    <mergeCell ref="AD19:AE19"/>
    <mergeCell ref="AD20:AE20"/>
    <mergeCell ref="AD27:AE27"/>
    <mergeCell ref="Z57:AA57"/>
    <mergeCell ref="Z47:AA47"/>
    <mergeCell ref="Z48:AA48"/>
    <mergeCell ref="Z49:AA49"/>
    <mergeCell ref="Z50:AA50"/>
    <mergeCell ref="Z51:AA51"/>
    <mergeCell ref="AB57:AC57"/>
    <mergeCell ref="AB51:AC51"/>
    <mergeCell ref="AB52:AC52"/>
    <mergeCell ref="AB53:AC53"/>
    <mergeCell ref="AB56:AC56"/>
    <mergeCell ref="AB48:AC48"/>
    <mergeCell ref="Z53:AA53"/>
    <mergeCell ref="Z54:AA54"/>
    <mergeCell ref="Z56:AA56"/>
    <mergeCell ref="AB39:AC39"/>
    <mergeCell ref="AB35:AC35"/>
    <mergeCell ref="AD57:AE57"/>
    <mergeCell ref="AD48:AE48"/>
    <mergeCell ref="AD49:AE49"/>
    <mergeCell ref="AD50:AE50"/>
    <mergeCell ref="AD51:AE51"/>
    <mergeCell ref="AD52:AE52"/>
    <mergeCell ref="AD53:AE53"/>
    <mergeCell ref="AD54:AE54"/>
    <mergeCell ref="AD55:AE55"/>
    <mergeCell ref="AD56:AE56"/>
    <mergeCell ref="A5:AI6"/>
    <mergeCell ref="A4:AI4"/>
    <mergeCell ref="AB44:AC44"/>
    <mergeCell ref="AB45:AC45"/>
    <mergeCell ref="AD35:AE35"/>
    <mergeCell ref="AB30:AC30"/>
    <mergeCell ref="AD30:AE30"/>
    <mergeCell ref="B1:J2"/>
    <mergeCell ref="Z36:AA36"/>
    <mergeCell ref="Z37:AA37"/>
    <mergeCell ref="Z38:AA38"/>
    <mergeCell ref="Z39:AA39"/>
    <mergeCell ref="Z33:AA33"/>
    <mergeCell ref="AB33:AC33"/>
    <mergeCell ref="AD33:AE33"/>
    <mergeCell ref="Z34:AA34"/>
    <mergeCell ref="AB34:AC34"/>
    <mergeCell ref="AD34:AE34"/>
    <mergeCell ref="AB18:AC18"/>
    <mergeCell ref="AB19:AC19"/>
    <mergeCell ref="Z35:AA35"/>
    <mergeCell ref="AB36:AC36"/>
    <mergeCell ref="AB37:AC37"/>
    <mergeCell ref="AB38:AC38"/>
    <mergeCell ref="S64:Y64"/>
    <mergeCell ref="Z64:AA64"/>
    <mergeCell ref="AB64:AC64"/>
    <mergeCell ref="AD64:AE64"/>
    <mergeCell ref="AF64:AG64"/>
    <mergeCell ref="AH64:AI64"/>
    <mergeCell ref="S65:Y65"/>
    <mergeCell ref="Z65:AA65"/>
    <mergeCell ref="AB65:AC65"/>
    <mergeCell ref="AD65:AE65"/>
    <mergeCell ref="AF65:AG65"/>
    <mergeCell ref="AH65:AI65"/>
    <mergeCell ref="S66:Y66"/>
    <mergeCell ref="Z66:AA66"/>
    <mergeCell ref="AB66:AC66"/>
    <mergeCell ref="AD66:AE66"/>
    <mergeCell ref="AF66:AG66"/>
    <mergeCell ref="AH66:AI66"/>
    <mergeCell ref="S67:Y67"/>
    <mergeCell ref="Z67:AA67"/>
    <mergeCell ref="AB67:AC67"/>
    <mergeCell ref="AD67:AE67"/>
    <mergeCell ref="AF67:AG67"/>
    <mergeCell ref="AH67:AI67"/>
    <mergeCell ref="S70:Y70"/>
    <mergeCell ref="Z70:AA70"/>
    <mergeCell ref="AB70:AC70"/>
    <mergeCell ref="AD70:AE70"/>
    <mergeCell ref="AF70:AG70"/>
    <mergeCell ref="AH70:AI70"/>
    <mergeCell ref="S68:Y68"/>
    <mergeCell ref="Z68:AA68"/>
    <mergeCell ref="AB68:AC68"/>
    <mergeCell ref="AD68:AE68"/>
    <mergeCell ref="AF68:AG68"/>
    <mergeCell ref="AH68:AI68"/>
    <mergeCell ref="S69:Y69"/>
    <mergeCell ref="Z69:AA69"/>
    <mergeCell ref="AB69:AC69"/>
    <mergeCell ref="AD69:AE69"/>
    <mergeCell ref="AF69:AG69"/>
    <mergeCell ref="AH69:AI69"/>
  </mergeCells>
  <conditionalFormatting sqref="S12:AE20">
    <cfRule type="expression" dxfId="115" priority="5">
      <formula>ISBLANK($S12)</formula>
    </cfRule>
  </conditionalFormatting>
  <conditionalFormatting sqref="S29:AI70">
    <cfRule type="expression" dxfId="114" priority="1">
      <formula>ISBLANK($S29)</formula>
    </cfRule>
  </conditionalFormatting>
  <dataValidations count="7">
    <dataValidation allowBlank="1" showInputMessage="1" showErrorMessage="1" prompt="The fraction of total portfolio volatility contributed by each factor bucket" sqref="AB9:AC9" xr:uid="{00000000-0002-0000-0A00-000000000000}"/>
    <dataValidation allowBlank="1" showInputMessage="1" showErrorMessage="1" prompt="The fraction of total portfolio expected tail loss contributed by each factor bucket" sqref="AD9:AE9" xr:uid="{00000000-0002-0000-0A00-000001000000}"/>
    <dataValidation allowBlank="1" showInputMessage="1" showErrorMessage="1" prompt="The weighted sum of asset betas to each market index/factor bucket" sqref="Z27:AA27" xr:uid="{00000000-0002-0000-0A00-000002000000}"/>
    <dataValidation allowBlank="1" showInputMessage="1" showErrorMessage="1" prompt="Portfolio volatility sensitivity to a small change in the exposure to each market index/factor bucket" sqref="AB27:AC27" xr:uid="{00000000-0002-0000-0A00-000003000000}"/>
    <dataValidation allowBlank="1" showInputMessage="1" showErrorMessage="1" prompt="The fraction of total portfolio volatility contributed by each market index/factor bucket" sqref="AD27:AE27" xr:uid="{00000000-0002-0000-0A00-000004000000}"/>
    <dataValidation allowBlank="1" showInputMessage="1" showErrorMessage="1" prompt="Portfolio expected tail loss sensitivity to a small change in the exposure to each market index/factor bucket" sqref="AF27:AG27" xr:uid="{00000000-0002-0000-0A00-000005000000}"/>
    <dataValidation allowBlank="1" showInputMessage="1" showErrorMessage="1" prompt="The fraction of total portfolio expected tail loss contributed by each market index/factor bucket" sqref="AH27:AI27" xr:uid="{00000000-0002-0000-0A00-000006000000}"/>
  </dataValidations>
  <pageMargins left="0.7" right="0.7" top="0" bottom="0" header="0" footer="0"/>
  <pageSetup scale="66"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C9"/>
  <sheetViews>
    <sheetView workbookViewId="0"/>
  </sheetViews>
  <sheetFormatPr defaultRowHeight="15" x14ac:dyDescent="0.25"/>
  <sheetData>
    <row r="1" spans="1:3" x14ac:dyDescent="0.25">
      <c r="A1" t="s">
        <v>295</v>
      </c>
      <c r="B1">
        <v>40.77477289355182</v>
      </c>
      <c r="C1">
        <v>101.54616108263488</v>
      </c>
    </row>
    <row r="2" spans="1:3" x14ac:dyDescent="0.25">
      <c r="A2" t="s">
        <v>296</v>
      </c>
      <c r="B2">
        <v>4.6628847221463516</v>
      </c>
      <c r="C2">
        <v>12.441900060887772</v>
      </c>
    </row>
    <row r="3" spans="1:3" x14ac:dyDescent="0.25">
      <c r="A3" t="s">
        <v>297</v>
      </c>
      <c r="B3">
        <v>3.2915026597671102</v>
      </c>
      <c r="C3">
        <v>6.8117282246677568</v>
      </c>
    </row>
    <row r="4" spans="1:3" x14ac:dyDescent="0.25">
      <c r="A4" t="s">
        <v>298</v>
      </c>
      <c r="B4">
        <v>1.9769688145197841</v>
      </c>
      <c r="C4">
        <v>2.3484622484588349</v>
      </c>
    </row>
    <row r="5" spans="1:3" x14ac:dyDescent="0.25">
      <c r="A5" t="s">
        <v>299</v>
      </c>
      <c r="B5">
        <v>0.80402132668019843</v>
      </c>
      <c r="C5">
        <v>1.6721821148712281</v>
      </c>
    </row>
    <row r="6" spans="1:3" x14ac:dyDescent="0.25">
      <c r="A6" t="s">
        <v>300</v>
      </c>
      <c r="B6">
        <v>6.1423329015140408E-2</v>
      </c>
      <c r="C6">
        <v>0.12630520543112606</v>
      </c>
    </row>
    <row r="7" spans="1:3" x14ac:dyDescent="0.25">
      <c r="A7" t="s">
        <v>301</v>
      </c>
      <c r="B7">
        <v>-0.18859047152681971</v>
      </c>
      <c r="C7">
        <v>-0.17970688953688932</v>
      </c>
    </row>
    <row r="8" spans="1:3" x14ac:dyDescent="0.25">
      <c r="A8" t="s">
        <v>302</v>
      </c>
      <c r="B8">
        <v>-0.20667011720828174</v>
      </c>
      <c r="C8">
        <v>-0.56591470172295144</v>
      </c>
    </row>
    <row r="9" spans="1:3" x14ac:dyDescent="0.25">
      <c r="A9" t="s">
        <v>303</v>
      </c>
      <c r="B9">
        <v>-4.0265997179469526</v>
      </c>
      <c r="C9">
        <v>-8.4279646036092117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4">
    <pageSetUpPr fitToPage="1"/>
  </sheetPr>
  <dimension ref="A3:AI83"/>
  <sheetViews>
    <sheetView showGridLines="0" zoomScaleNormal="100" workbookViewId="0">
      <selection activeCell="A8" sqref="A8:I8"/>
    </sheetView>
  </sheetViews>
  <sheetFormatPr defaultRowHeight="15" x14ac:dyDescent="0.25"/>
  <cols>
    <col min="1" max="35" width="5" customWidth="1"/>
  </cols>
  <sheetData>
    <row r="3" spans="1:35" ht="6" customHeight="1" x14ac:dyDescent="0.25"/>
    <row r="4" spans="1:35" ht="11.25" customHeight="1" x14ac:dyDescent="0.25">
      <c r="A4" s="395" t="s">
        <v>265</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10.5" customHeight="1" x14ac:dyDescent="0.25">
      <c r="A5" s="471" t="s">
        <v>266</v>
      </c>
      <c r="B5" s="472"/>
      <c r="C5" s="472"/>
      <c r="D5" s="472"/>
      <c r="E5" s="472"/>
      <c r="F5" s="472"/>
      <c r="G5" s="472"/>
      <c r="H5" s="472"/>
      <c r="I5" s="472"/>
      <c r="J5" s="472"/>
      <c r="K5" s="472"/>
      <c r="L5" s="472"/>
      <c r="M5" s="472"/>
      <c r="N5" s="472"/>
      <c r="O5" s="472"/>
      <c r="P5" s="472"/>
      <c r="Q5" s="472"/>
      <c r="R5" s="472"/>
      <c r="S5" s="472"/>
      <c r="T5" s="472"/>
      <c r="U5" s="472"/>
      <c r="V5" s="472"/>
      <c r="W5" s="472"/>
      <c r="X5" s="472"/>
      <c r="Y5" s="472"/>
      <c r="Z5" s="472"/>
      <c r="AA5" s="472"/>
      <c r="AB5" s="472"/>
      <c r="AC5" s="472"/>
      <c r="AD5" s="472"/>
      <c r="AE5" s="472"/>
      <c r="AF5" s="472"/>
      <c r="AG5" s="472"/>
      <c r="AH5" s="472"/>
      <c r="AI5" s="472"/>
    </row>
    <row r="6" spans="1:35" ht="10.5" customHeight="1" x14ac:dyDescent="0.25"/>
    <row r="8" spans="1:35" ht="23.25" customHeight="1" x14ac:dyDescent="0.25">
      <c r="A8" s="511" t="s">
        <v>79</v>
      </c>
      <c r="B8" s="511"/>
      <c r="C8" s="511"/>
      <c r="D8" s="511"/>
      <c r="E8" s="511"/>
      <c r="F8" s="511"/>
      <c r="G8" s="511"/>
      <c r="H8" s="511"/>
      <c r="I8" s="512"/>
      <c r="J8" s="367" t="s">
        <v>363</v>
      </c>
      <c r="K8" s="369"/>
      <c r="L8" s="367" t="s">
        <v>364</v>
      </c>
      <c r="M8" s="369"/>
      <c r="N8" s="367" t="s">
        <v>365</v>
      </c>
      <c r="O8" s="369"/>
      <c r="P8" s="367" t="s">
        <v>366</v>
      </c>
      <c r="Q8" s="369"/>
      <c r="R8" s="367" t="s">
        <v>367</v>
      </c>
      <c r="S8" s="369"/>
      <c r="T8" s="367" t="s">
        <v>368</v>
      </c>
      <c r="U8" s="369"/>
      <c r="V8" s="367" t="s">
        <v>369</v>
      </c>
      <c r="W8" s="369"/>
      <c r="X8" s="367" t="s">
        <v>267</v>
      </c>
      <c r="Y8" s="369"/>
      <c r="Z8" s="367" t="s">
        <v>267</v>
      </c>
      <c r="AA8" s="369"/>
      <c r="AB8" s="367" t="s">
        <v>267</v>
      </c>
      <c r="AC8" s="369"/>
      <c r="AD8" s="367" t="s">
        <v>267</v>
      </c>
      <c r="AE8" s="369"/>
      <c r="AF8" s="367" t="s">
        <v>267</v>
      </c>
      <c r="AG8" s="369"/>
      <c r="AH8" s="367" t="s">
        <v>267</v>
      </c>
      <c r="AI8" s="369"/>
    </row>
    <row r="9" spans="1:35" ht="10.5" customHeight="1" x14ac:dyDescent="0.25">
      <c r="A9" s="449" t="s">
        <v>351</v>
      </c>
      <c r="B9" s="510"/>
      <c r="C9" s="510"/>
      <c r="D9" s="510"/>
      <c r="E9" s="510"/>
      <c r="F9" s="510"/>
      <c r="G9" s="510"/>
      <c r="H9" s="510"/>
      <c r="I9" s="510"/>
      <c r="J9" s="448">
        <v>-1.1900747425039293</v>
      </c>
      <c r="K9" s="440"/>
      <c r="L9" s="448">
        <v>20.128461619659909</v>
      </c>
      <c r="M9" s="440"/>
      <c r="N9" s="448">
        <v>3.8725346177370965</v>
      </c>
      <c r="O9" s="440"/>
      <c r="P9" s="448">
        <v>0.43764759735389674</v>
      </c>
      <c r="Q9" s="440"/>
      <c r="R9" s="448">
        <v>7.1919360705677379E-2</v>
      </c>
      <c r="S9" s="440"/>
      <c r="T9" s="448">
        <v>-4.2907993054061269</v>
      </c>
      <c r="U9" s="440"/>
      <c r="V9" s="448">
        <v>-0.48516357066016008</v>
      </c>
      <c r="W9" s="440"/>
      <c r="X9" s="440"/>
      <c r="Y9" s="440"/>
      <c r="Z9" s="440"/>
      <c r="AA9" s="440"/>
      <c r="AB9" s="440"/>
      <c r="AC9" s="440"/>
      <c r="AD9" s="440"/>
      <c r="AE9" s="440"/>
      <c r="AF9" s="440"/>
      <c r="AG9" s="440"/>
      <c r="AH9" s="440"/>
      <c r="AI9" s="440"/>
    </row>
    <row r="10" spans="1:35" ht="10.5" customHeight="1" x14ac:dyDescent="0.25">
      <c r="A10" s="449" t="s">
        <v>322</v>
      </c>
      <c r="B10" s="510"/>
      <c r="C10" s="510"/>
      <c r="D10" s="510"/>
      <c r="E10" s="510"/>
      <c r="F10" s="510"/>
      <c r="G10" s="510"/>
      <c r="H10" s="510"/>
      <c r="I10" s="510"/>
      <c r="J10" s="448">
        <v>-8.4235699334244352E-2</v>
      </c>
      <c r="K10" s="440"/>
      <c r="L10" s="448" t="s">
        <v>294</v>
      </c>
      <c r="M10" s="440"/>
      <c r="N10" s="448">
        <v>0.33576025528189563</v>
      </c>
      <c r="O10" s="440"/>
      <c r="P10" s="448" t="s">
        <v>294</v>
      </c>
      <c r="Q10" s="440"/>
      <c r="R10" s="448" t="s">
        <v>294</v>
      </c>
      <c r="S10" s="440"/>
      <c r="T10" s="448" t="s">
        <v>294</v>
      </c>
      <c r="U10" s="440"/>
      <c r="V10" s="448">
        <v>7.2605118103717975E-2</v>
      </c>
      <c r="W10" s="440"/>
      <c r="X10" s="440"/>
      <c r="Y10" s="440"/>
      <c r="Z10" s="440"/>
      <c r="AA10" s="440"/>
      <c r="AB10" s="440"/>
      <c r="AC10" s="440"/>
      <c r="AD10" s="440"/>
      <c r="AE10" s="440"/>
      <c r="AF10" s="440"/>
      <c r="AG10" s="440"/>
      <c r="AH10" s="440"/>
      <c r="AI10" s="440"/>
    </row>
    <row r="11" spans="1:35" ht="10.5" customHeight="1" x14ac:dyDescent="0.25">
      <c r="A11" s="510" t="s">
        <v>330</v>
      </c>
      <c r="B11" s="510"/>
      <c r="C11" s="510"/>
      <c r="D11" s="510"/>
      <c r="E11" s="510"/>
      <c r="F11" s="510"/>
      <c r="G11" s="510"/>
      <c r="H11" s="510"/>
      <c r="I11" s="510"/>
      <c r="J11" s="440">
        <v>-8.4235699334244366E-2</v>
      </c>
      <c r="K11" s="440"/>
      <c r="L11" s="440" t="s">
        <v>294</v>
      </c>
      <c r="M11" s="440"/>
      <c r="N11" s="440" t="s">
        <v>294</v>
      </c>
      <c r="O11" s="440"/>
      <c r="P11" s="440" t="s">
        <v>294</v>
      </c>
      <c r="Q11" s="440"/>
      <c r="R11" s="440" t="s">
        <v>294</v>
      </c>
      <c r="S11" s="440"/>
      <c r="T11" s="440" t="s">
        <v>294</v>
      </c>
      <c r="U11" s="440"/>
      <c r="V11" s="440">
        <v>7.2605118103717975E-2</v>
      </c>
      <c r="W11" s="440"/>
      <c r="X11" s="440"/>
      <c r="Y11" s="440"/>
      <c r="Z11" s="440"/>
      <c r="AA11" s="440"/>
      <c r="AB11" s="440"/>
      <c r="AC11" s="440"/>
      <c r="AD11" s="440"/>
      <c r="AE11" s="440"/>
      <c r="AF11" s="440"/>
      <c r="AG11" s="440"/>
      <c r="AH11" s="440"/>
      <c r="AI11" s="440"/>
    </row>
    <row r="12" spans="1:35" ht="10.5" customHeight="1" x14ac:dyDescent="0.25">
      <c r="A12" s="510" t="s">
        <v>337</v>
      </c>
      <c r="B12" s="510"/>
      <c r="C12" s="510"/>
      <c r="D12" s="510"/>
      <c r="E12" s="510"/>
      <c r="F12" s="510"/>
      <c r="G12" s="510"/>
      <c r="H12" s="510"/>
      <c r="I12" s="510"/>
      <c r="J12" s="440" t="s">
        <v>294</v>
      </c>
      <c r="K12" s="440"/>
      <c r="L12" s="440" t="s">
        <v>294</v>
      </c>
      <c r="M12" s="440"/>
      <c r="N12" s="440">
        <v>0.33576025528189563</v>
      </c>
      <c r="O12" s="440"/>
      <c r="P12" s="440" t="s">
        <v>294</v>
      </c>
      <c r="Q12" s="440"/>
      <c r="R12" s="440" t="s">
        <v>294</v>
      </c>
      <c r="S12" s="440"/>
      <c r="T12" s="440" t="s">
        <v>294</v>
      </c>
      <c r="U12" s="440"/>
      <c r="V12" s="440" t="s">
        <v>294</v>
      </c>
      <c r="W12" s="440"/>
      <c r="X12" s="440"/>
      <c r="Y12" s="440"/>
      <c r="Z12" s="440"/>
      <c r="AA12" s="440"/>
      <c r="AB12" s="440"/>
      <c r="AC12" s="440"/>
      <c r="AD12" s="440"/>
      <c r="AE12" s="440"/>
      <c r="AF12" s="440"/>
      <c r="AG12" s="440"/>
      <c r="AH12" s="440"/>
      <c r="AI12" s="440"/>
    </row>
    <row r="13" spans="1:35" ht="10.5" customHeight="1" x14ac:dyDescent="0.25">
      <c r="A13" s="449" t="s">
        <v>320</v>
      </c>
      <c r="B13" s="510"/>
      <c r="C13" s="510"/>
      <c r="D13" s="510"/>
      <c r="E13" s="510"/>
      <c r="F13" s="510"/>
      <c r="G13" s="510"/>
      <c r="H13" s="510"/>
      <c r="I13" s="510"/>
      <c r="J13" s="448">
        <v>0.80158948706401256</v>
      </c>
      <c r="K13" s="440"/>
      <c r="L13" s="448">
        <v>2.8620487376951802</v>
      </c>
      <c r="M13" s="440"/>
      <c r="N13" s="448">
        <v>0.63859543647461703</v>
      </c>
      <c r="O13" s="440"/>
      <c r="P13" s="448">
        <v>1.7822001071857361</v>
      </c>
      <c r="Q13" s="440"/>
      <c r="R13" s="448" t="s">
        <v>294</v>
      </c>
      <c r="S13" s="440"/>
      <c r="T13" s="448">
        <v>1.32636307641119</v>
      </c>
      <c r="U13" s="440"/>
      <c r="V13" s="448">
        <v>-4.9028400631857538E-3</v>
      </c>
      <c r="W13" s="440"/>
      <c r="X13" s="440"/>
      <c r="Y13" s="440"/>
      <c r="Z13" s="440"/>
      <c r="AA13" s="440"/>
      <c r="AB13" s="440"/>
      <c r="AC13" s="440"/>
      <c r="AD13" s="440"/>
      <c r="AE13" s="440"/>
      <c r="AF13" s="440"/>
      <c r="AG13" s="440"/>
      <c r="AH13" s="440"/>
      <c r="AI13" s="440"/>
    </row>
    <row r="14" spans="1:35" ht="10.5" customHeight="1" x14ac:dyDescent="0.25">
      <c r="A14" s="510" t="s">
        <v>326</v>
      </c>
      <c r="B14" s="510"/>
      <c r="C14" s="510"/>
      <c r="D14" s="510"/>
      <c r="E14" s="510"/>
      <c r="F14" s="510"/>
      <c r="G14" s="510"/>
      <c r="H14" s="510"/>
      <c r="I14" s="510"/>
      <c r="J14" s="440" t="s">
        <v>294</v>
      </c>
      <c r="K14" s="440"/>
      <c r="L14" s="440" t="s">
        <v>294</v>
      </c>
      <c r="M14" s="440"/>
      <c r="N14" s="440">
        <v>4.3467600293452943E-3</v>
      </c>
      <c r="O14" s="440"/>
      <c r="P14" s="440" t="s">
        <v>294</v>
      </c>
      <c r="Q14" s="440"/>
      <c r="R14" s="440" t="s">
        <v>294</v>
      </c>
      <c r="S14" s="440"/>
      <c r="T14" s="440" t="s">
        <v>294</v>
      </c>
      <c r="U14" s="440"/>
      <c r="V14" s="440" t="s">
        <v>294</v>
      </c>
      <c r="W14" s="440"/>
      <c r="X14" s="440"/>
      <c r="Y14" s="440"/>
      <c r="Z14" s="440"/>
      <c r="AA14" s="440"/>
      <c r="AB14" s="440"/>
      <c r="AC14" s="440"/>
      <c r="AD14" s="440"/>
      <c r="AE14" s="440"/>
      <c r="AF14" s="440"/>
      <c r="AG14" s="440"/>
      <c r="AH14" s="440"/>
      <c r="AI14" s="440"/>
    </row>
    <row r="15" spans="1:35" ht="10.5" customHeight="1" x14ac:dyDescent="0.25">
      <c r="A15" s="510" t="s">
        <v>329</v>
      </c>
      <c r="B15" s="510"/>
      <c r="C15" s="510"/>
      <c r="D15" s="510"/>
      <c r="E15" s="510"/>
      <c r="F15" s="510"/>
      <c r="G15" s="510"/>
      <c r="H15" s="510"/>
      <c r="I15" s="510"/>
      <c r="J15" s="440">
        <v>2.056785232910573E-2</v>
      </c>
      <c r="K15" s="440"/>
      <c r="L15" s="440" t="s">
        <v>294</v>
      </c>
      <c r="M15" s="440"/>
      <c r="N15" s="440">
        <v>-2.0848301872090493E-2</v>
      </c>
      <c r="O15" s="440"/>
      <c r="P15" s="440" t="s">
        <v>294</v>
      </c>
      <c r="Q15" s="440"/>
      <c r="R15" s="440" t="s">
        <v>294</v>
      </c>
      <c r="S15" s="440"/>
      <c r="T15" s="440" t="s">
        <v>294</v>
      </c>
      <c r="U15" s="440"/>
      <c r="V15" s="440" t="s">
        <v>294</v>
      </c>
      <c r="W15" s="440"/>
      <c r="X15" s="440"/>
      <c r="Y15" s="440"/>
      <c r="Z15" s="440"/>
      <c r="AA15" s="440"/>
      <c r="AB15" s="440"/>
      <c r="AC15" s="440"/>
      <c r="AD15" s="440"/>
      <c r="AE15" s="440"/>
      <c r="AF15" s="440"/>
      <c r="AG15" s="440"/>
      <c r="AH15" s="440"/>
      <c r="AI15" s="440"/>
    </row>
    <row r="16" spans="1:35" ht="10.5" customHeight="1" x14ac:dyDescent="0.25">
      <c r="A16" s="510" t="s">
        <v>341</v>
      </c>
      <c r="B16" s="510"/>
      <c r="C16" s="510"/>
      <c r="D16" s="510"/>
      <c r="E16" s="510"/>
      <c r="F16" s="510"/>
      <c r="G16" s="510"/>
      <c r="H16" s="510"/>
      <c r="I16" s="510"/>
      <c r="J16" s="440" t="s">
        <v>294</v>
      </c>
      <c r="K16" s="440"/>
      <c r="L16" s="440">
        <v>1.9489492776175163E-2</v>
      </c>
      <c r="M16" s="440"/>
      <c r="N16" s="440" t="s">
        <v>294</v>
      </c>
      <c r="O16" s="440"/>
      <c r="P16" s="440" t="s">
        <v>294</v>
      </c>
      <c r="Q16" s="440"/>
      <c r="R16" s="440" t="s">
        <v>294</v>
      </c>
      <c r="S16" s="440"/>
      <c r="T16" s="440" t="s">
        <v>294</v>
      </c>
      <c r="U16" s="440"/>
      <c r="V16" s="440">
        <v>-4.902840063185753E-3</v>
      </c>
      <c r="W16" s="440"/>
      <c r="X16" s="440"/>
      <c r="Y16" s="440"/>
      <c r="Z16" s="440"/>
      <c r="AA16" s="440"/>
      <c r="AB16" s="440"/>
      <c r="AC16" s="440"/>
      <c r="AD16" s="440"/>
      <c r="AE16" s="440"/>
      <c r="AF16" s="440"/>
      <c r="AG16" s="440"/>
      <c r="AH16" s="440"/>
      <c r="AI16" s="440"/>
    </row>
    <row r="17" spans="1:35" ht="10.5" customHeight="1" x14ac:dyDescent="0.25">
      <c r="A17" s="510" t="s">
        <v>310</v>
      </c>
      <c r="B17" s="510"/>
      <c r="C17" s="510"/>
      <c r="D17" s="510"/>
      <c r="E17" s="510"/>
      <c r="F17" s="510"/>
      <c r="G17" s="510"/>
      <c r="H17" s="510"/>
      <c r="I17" s="510"/>
      <c r="J17" s="440" t="s">
        <v>294</v>
      </c>
      <c r="K17" s="440"/>
      <c r="L17" s="440" t="s">
        <v>294</v>
      </c>
      <c r="M17" s="440"/>
      <c r="N17" s="440" t="s">
        <v>294</v>
      </c>
      <c r="O17" s="440"/>
      <c r="P17" s="440">
        <v>0.42858919515432814</v>
      </c>
      <c r="Q17" s="440"/>
      <c r="R17" s="440" t="s">
        <v>294</v>
      </c>
      <c r="S17" s="440"/>
      <c r="T17" s="440" t="s">
        <v>294</v>
      </c>
      <c r="U17" s="440"/>
      <c r="V17" s="440" t="s">
        <v>294</v>
      </c>
      <c r="W17" s="440"/>
      <c r="X17" s="440"/>
      <c r="Y17" s="440"/>
      <c r="Z17" s="440"/>
      <c r="AA17" s="440"/>
      <c r="AB17" s="440"/>
      <c r="AC17" s="440"/>
      <c r="AD17" s="440"/>
      <c r="AE17" s="440"/>
      <c r="AF17" s="440"/>
      <c r="AG17" s="440"/>
      <c r="AH17" s="440"/>
      <c r="AI17" s="440"/>
    </row>
    <row r="18" spans="1:35" ht="10.5" customHeight="1" x14ac:dyDescent="0.25">
      <c r="A18" s="510" t="s">
        <v>305</v>
      </c>
      <c r="B18" s="510"/>
      <c r="C18" s="510"/>
      <c r="D18" s="510"/>
      <c r="E18" s="510"/>
      <c r="F18" s="510"/>
      <c r="G18" s="510"/>
      <c r="H18" s="510"/>
      <c r="I18" s="510"/>
      <c r="J18" s="440">
        <v>0.36811723929367751</v>
      </c>
      <c r="K18" s="440"/>
      <c r="L18" s="440">
        <v>1.3250581753874437</v>
      </c>
      <c r="M18" s="440"/>
      <c r="N18" s="440">
        <v>0.65509697831736236</v>
      </c>
      <c r="O18" s="440"/>
      <c r="P18" s="440" t="s">
        <v>294</v>
      </c>
      <c r="Q18" s="440"/>
      <c r="R18" s="440" t="s">
        <v>294</v>
      </c>
      <c r="S18" s="440"/>
      <c r="T18" s="440" t="s">
        <v>294</v>
      </c>
      <c r="U18" s="440"/>
      <c r="V18" s="440" t="s">
        <v>294</v>
      </c>
      <c r="W18" s="440"/>
      <c r="X18" s="440"/>
      <c r="Y18" s="440"/>
      <c r="Z18" s="440"/>
      <c r="AA18" s="440"/>
      <c r="AB18" s="440"/>
      <c r="AC18" s="440"/>
      <c r="AD18" s="440"/>
      <c r="AE18" s="440"/>
      <c r="AF18" s="440"/>
      <c r="AG18" s="440"/>
      <c r="AH18" s="440"/>
      <c r="AI18" s="440"/>
    </row>
    <row r="19" spans="1:35" ht="10.5" customHeight="1" x14ac:dyDescent="0.25">
      <c r="A19" s="510" t="s">
        <v>346</v>
      </c>
      <c r="B19" s="510"/>
      <c r="C19" s="510"/>
      <c r="D19" s="510"/>
      <c r="E19" s="510"/>
      <c r="F19" s="510"/>
      <c r="G19" s="510"/>
      <c r="H19" s="510"/>
      <c r="I19" s="510"/>
      <c r="J19" s="440">
        <v>0.15328136107272861</v>
      </c>
      <c r="K19" s="440"/>
      <c r="L19" s="440" t="s">
        <v>294</v>
      </c>
      <c r="M19" s="440"/>
      <c r="N19" s="440" t="s">
        <v>294</v>
      </c>
      <c r="O19" s="440"/>
      <c r="P19" s="440" t="s">
        <v>294</v>
      </c>
      <c r="Q19" s="440"/>
      <c r="R19" s="440" t="s">
        <v>294</v>
      </c>
      <c r="S19" s="440"/>
      <c r="T19" s="440" t="s">
        <v>294</v>
      </c>
      <c r="U19" s="440"/>
      <c r="V19" s="440" t="s">
        <v>294</v>
      </c>
      <c r="W19" s="440"/>
      <c r="X19" s="440"/>
      <c r="Y19" s="440"/>
      <c r="Z19" s="440"/>
      <c r="AA19" s="440"/>
      <c r="AB19" s="440"/>
      <c r="AC19" s="440"/>
      <c r="AD19" s="440"/>
      <c r="AE19" s="440"/>
      <c r="AF19" s="440"/>
      <c r="AG19" s="440"/>
      <c r="AH19" s="440"/>
      <c r="AI19" s="440"/>
    </row>
    <row r="20" spans="1:35" ht="10.5" customHeight="1" x14ac:dyDescent="0.25">
      <c r="A20" s="510" t="s">
        <v>304</v>
      </c>
      <c r="B20" s="510"/>
      <c r="C20" s="510"/>
      <c r="D20" s="510"/>
      <c r="E20" s="510"/>
      <c r="F20" s="510"/>
      <c r="G20" s="510"/>
      <c r="H20" s="510"/>
      <c r="I20" s="510"/>
      <c r="J20" s="440">
        <v>0.25962303436850076</v>
      </c>
      <c r="K20" s="440"/>
      <c r="L20" s="440">
        <v>1.5175010695315614</v>
      </c>
      <c r="M20" s="440"/>
      <c r="N20" s="440" t="s">
        <v>294</v>
      </c>
      <c r="O20" s="440"/>
      <c r="P20" s="440">
        <v>1.3536109120314077</v>
      </c>
      <c r="Q20" s="440"/>
      <c r="R20" s="440" t="s">
        <v>294</v>
      </c>
      <c r="S20" s="440"/>
      <c r="T20" s="440">
        <v>1.32636307641119</v>
      </c>
      <c r="U20" s="440"/>
      <c r="V20" s="440" t="s">
        <v>294</v>
      </c>
      <c r="W20" s="440"/>
      <c r="X20" s="440"/>
      <c r="Y20" s="440"/>
      <c r="Z20" s="440"/>
      <c r="AA20" s="440"/>
      <c r="AB20" s="440"/>
      <c r="AC20" s="440"/>
      <c r="AD20" s="440"/>
      <c r="AE20" s="440"/>
      <c r="AF20" s="440"/>
      <c r="AG20" s="440"/>
      <c r="AH20" s="440"/>
      <c r="AI20" s="440"/>
    </row>
    <row r="21" spans="1:35" ht="10.5" customHeight="1" x14ac:dyDescent="0.25">
      <c r="A21" s="449" t="s">
        <v>318</v>
      </c>
      <c r="B21" s="510"/>
      <c r="C21" s="510"/>
      <c r="D21" s="510"/>
      <c r="E21" s="510"/>
      <c r="F21" s="510"/>
      <c r="G21" s="510"/>
      <c r="H21" s="510"/>
      <c r="I21" s="510"/>
      <c r="J21" s="448" t="s">
        <v>294</v>
      </c>
      <c r="K21" s="440"/>
      <c r="L21" s="448">
        <v>3.6496265979844105</v>
      </c>
      <c r="M21" s="440"/>
      <c r="N21" s="448">
        <v>0.74795085123154403</v>
      </c>
      <c r="O21" s="440"/>
      <c r="P21" s="448">
        <v>1.3803408963996697</v>
      </c>
      <c r="Q21" s="440"/>
      <c r="R21" s="448">
        <v>6.6735255340172037E-2</v>
      </c>
      <c r="S21" s="440"/>
      <c r="T21" s="448" t="s">
        <v>294</v>
      </c>
      <c r="U21" s="440"/>
      <c r="V21" s="448">
        <v>-0.35216342876029261</v>
      </c>
      <c r="W21" s="440"/>
      <c r="X21" s="440"/>
      <c r="Y21" s="440"/>
      <c r="Z21" s="440"/>
      <c r="AA21" s="440"/>
      <c r="AB21" s="440"/>
      <c r="AC21" s="440"/>
      <c r="AD21" s="440"/>
      <c r="AE21" s="440"/>
      <c r="AF21" s="440"/>
      <c r="AG21" s="440"/>
      <c r="AH21" s="440"/>
      <c r="AI21" s="440"/>
    </row>
    <row r="22" spans="1:35" ht="10.5" customHeight="1" x14ac:dyDescent="0.25">
      <c r="A22" s="510" t="s">
        <v>323</v>
      </c>
      <c r="B22" s="510"/>
      <c r="C22" s="510"/>
      <c r="D22" s="510"/>
      <c r="E22" s="510"/>
      <c r="F22" s="510"/>
      <c r="G22" s="510"/>
      <c r="H22" s="510"/>
      <c r="I22" s="510"/>
      <c r="J22" s="440" t="s">
        <v>294</v>
      </c>
      <c r="K22" s="440"/>
      <c r="L22" s="440">
        <v>0.80681302567399127</v>
      </c>
      <c r="M22" s="440"/>
      <c r="N22" s="440">
        <v>-1.0187254666669097</v>
      </c>
      <c r="O22" s="440"/>
      <c r="P22" s="440">
        <v>1.3803408963996697</v>
      </c>
      <c r="Q22" s="440"/>
      <c r="R22" s="440">
        <v>3.4958480323995574E-2</v>
      </c>
      <c r="S22" s="440"/>
      <c r="T22" s="440" t="s">
        <v>294</v>
      </c>
      <c r="U22" s="440"/>
      <c r="V22" s="440">
        <v>-0.3521634287602925</v>
      </c>
      <c r="W22" s="440"/>
      <c r="X22" s="440"/>
      <c r="Y22" s="440"/>
      <c r="Z22" s="440"/>
      <c r="AA22" s="440"/>
      <c r="AB22" s="440"/>
      <c r="AC22" s="440"/>
      <c r="AD22" s="440"/>
      <c r="AE22" s="440"/>
      <c r="AF22" s="440"/>
      <c r="AG22" s="440"/>
      <c r="AH22" s="440"/>
      <c r="AI22" s="440"/>
    </row>
    <row r="23" spans="1:35" ht="10.5" customHeight="1" x14ac:dyDescent="0.25">
      <c r="A23" s="510" t="s">
        <v>332</v>
      </c>
      <c r="B23" s="510"/>
      <c r="C23" s="510"/>
      <c r="D23" s="510"/>
      <c r="E23" s="510"/>
      <c r="F23" s="510"/>
      <c r="G23" s="510"/>
      <c r="H23" s="510"/>
      <c r="I23" s="510"/>
      <c r="J23" s="440" t="s">
        <v>294</v>
      </c>
      <c r="K23" s="440"/>
      <c r="L23" s="440">
        <v>2.0058739197755178</v>
      </c>
      <c r="M23" s="440"/>
      <c r="N23" s="440">
        <v>1.6780291162083609</v>
      </c>
      <c r="O23" s="440"/>
      <c r="P23" s="440" t="s">
        <v>294</v>
      </c>
      <c r="Q23" s="440"/>
      <c r="R23" s="440" t="s">
        <v>294</v>
      </c>
      <c r="S23" s="440"/>
      <c r="T23" s="440" t="s">
        <v>294</v>
      </c>
      <c r="U23" s="440"/>
      <c r="V23" s="440" t="s">
        <v>294</v>
      </c>
      <c r="W23" s="440"/>
      <c r="X23" s="440"/>
      <c r="Y23" s="440"/>
      <c r="Z23" s="440"/>
      <c r="AA23" s="440"/>
      <c r="AB23" s="440"/>
      <c r="AC23" s="440"/>
      <c r="AD23" s="440"/>
      <c r="AE23" s="440"/>
      <c r="AF23" s="440"/>
      <c r="AG23" s="440"/>
      <c r="AH23" s="440"/>
      <c r="AI23" s="440"/>
    </row>
    <row r="24" spans="1:35" ht="10.5" customHeight="1" x14ac:dyDescent="0.25">
      <c r="A24" s="510" t="s">
        <v>333</v>
      </c>
      <c r="B24" s="510"/>
      <c r="C24" s="510"/>
      <c r="D24" s="510"/>
      <c r="E24" s="510"/>
      <c r="F24" s="510"/>
      <c r="G24" s="510"/>
      <c r="H24" s="510"/>
      <c r="I24" s="510"/>
      <c r="J24" s="440" t="s">
        <v>294</v>
      </c>
      <c r="K24" s="440"/>
      <c r="L24" s="440">
        <v>0.39976060161889232</v>
      </c>
      <c r="M24" s="440"/>
      <c r="N24" s="440">
        <v>-0.67131679422748547</v>
      </c>
      <c r="O24" s="440"/>
      <c r="P24" s="440" t="s">
        <v>294</v>
      </c>
      <c r="Q24" s="440"/>
      <c r="R24" s="440">
        <v>4.6568534796384647E-2</v>
      </c>
      <c r="S24" s="440"/>
      <c r="T24" s="440" t="s">
        <v>294</v>
      </c>
      <c r="U24" s="440"/>
      <c r="V24" s="440" t="s">
        <v>294</v>
      </c>
      <c r="W24" s="440"/>
      <c r="X24" s="440"/>
      <c r="Y24" s="440"/>
      <c r="Z24" s="440"/>
      <c r="AA24" s="440"/>
      <c r="AB24" s="440"/>
      <c r="AC24" s="440"/>
      <c r="AD24" s="440"/>
      <c r="AE24" s="440"/>
      <c r="AF24" s="440"/>
      <c r="AG24" s="440"/>
      <c r="AH24" s="440"/>
      <c r="AI24" s="440"/>
    </row>
    <row r="25" spans="1:35" ht="10.5" customHeight="1" x14ac:dyDescent="0.25">
      <c r="A25" s="510" t="s">
        <v>308</v>
      </c>
      <c r="B25" s="510"/>
      <c r="C25" s="510"/>
      <c r="D25" s="510"/>
      <c r="E25" s="510"/>
      <c r="F25" s="510"/>
      <c r="G25" s="510"/>
      <c r="H25" s="510"/>
      <c r="I25" s="510"/>
      <c r="J25" s="440" t="s">
        <v>294</v>
      </c>
      <c r="K25" s="440"/>
      <c r="L25" s="440">
        <v>0.43717905091600906</v>
      </c>
      <c r="M25" s="440"/>
      <c r="N25" s="440">
        <v>0.75996399591757824</v>
      </c>
      <c r="O25" s="440"/>
      <c r="P25" s="440" t="s">
        <v>294</v>
      </c>
      <c r="Q25" s="440"/>
      <c r="R25" s="440">
        <v>-1.4791759780208183E-2</v>
      </c>
      <c r="S25" s="440"/>
      <c r="T25" s="440" t="s">
        <v>294</v>
      </c>
      <c r="U25" s="440"/>
      <c r="V25" s="440" t="s">
        <v>294</v>
      </c>
      <c r="W25" s="440"/>
      <c r="X25" s="440"/>
      <c r="Y25" s="440"/>
      <c r="Z25" s="440"/>
      <c r="AA25" s="440"/>
      <c r="AB25" s="440"/>
      <c r="AC25" s="440"/>
      <c r="AD25" s="440"/>
      <c r="AE25" s="440"/>
      <c r="AF25" s="440"/>
      <c r="AG25" s="440"/>
      <c r="AH25" s="440"/>
      <c r="AI25" s="440"/>
    </row>
    <row r="26" spans="1:35" ht="10.5" customHeight="1" x14ac:dyDescent="0.25">
      <c r="A26" s="449" t="s">
        <v>319</v>
      </c>
      <c r="B26" s="510"/>
      <c r="C26" s="510"/>
      <c r="D26" s="510"/>
      <c r="E26" s="510"/>
      <c r="F26" s="510"/>
      <c r="G26" s="510"/>
      <c r="H26" s="510"/>
      <c r="I26" s="510"/>
      <c r="J26" s="448" t="s">
        <v>294</v>
      </c>
      <c r="K26" s="440"/>
      <c r="L26" s="448">
        <v>0.48848843530295949</v>
      </c>
      <c r="M26" s="440"/>
      <c r="N26" s="448">
        <v>-6.3728977657377339E-2</v>
      </c>
      <c r="O26" s="440"/>
      <c r="P26" s="448" t="s">
        <v>294</v>
      </c>
      <c r="Q26" s="440"/>
      <c r="R26" s="448" t="s">
        <v>294</v>
      </c>
      <c r="S26" s="440"/>
      <c r="T26" s="448">
        <v>0.21601570246411725</v>
      </c>
      <c r="U26" s="440"/>
      <c r="V26" s="448" t="s">
        <v>294</v>
      </c>
      <c r="W26" s="440"/>
      <c r="X26" s="440"/>
      <c r="Y26" s="440"/>
      <c r="Z26" s="440"/>
      <c r="AA26" s="440"/>
      <c r="AB26" s="440"/>
      <c r="AC26" s="440"/>
      <c r="AD26" s="440"/>
      <c r="AE26" s="440"/>
      <c r="AF26" s="440"/>
      <c r="AG26" s="440"/>
      <c r="AH26" s="440"/>
      <c r="AI26" s="440"/>
    </row>
    <row r="27" spans="1:35" ht="10.5" customHeight="1" x14ac:dyDescent="0.25">
      <c r="A27" s="510" t="s">
        <v>335</v>
      </c>
      <c r="B27" s="510"/>
      <c r="C27" s="510"/>
      <c r="D27" s="510"/>
      <c r="E27" s="510"/>
      <c r="F27" s="510"/>
      <c r="G27" s="510"/>
      <c r="H27" s="510"/>
      <c r="I27" s="510"/>
      <c r="J27" s="440" t="s">
        <v>294</v>
      </c>
      <c r="K27" s="440"/>
      <c r="L27" s="440" t="s">
        <v>294</v>
      </c>
      <c r="M27" s="440"/>
      <c r="N27" s="440">
        <v>0.37930731182321359</v>
      </c>
      <c r="O27" s="440"/>
      <c r="P27" s="440" t="s">
        <v>294</v>
      </c>
      <c r="Q27" s="440"/>
      <c r="R27" s="440" t="s">
        <v>294</v>
      </c>
      <c r="S27" s="440"/>
      <c r="T27" s="440" t="s">
        <v>294</v>
      </c>
      <c r="U27" s="440"/>
      <c r="V27" s="440" t="s">
        <v>294</v>
      </c>
      <c r="W27" s="440"/>
      <c r="X27" s="440"/>
      <c r="Y27" s="440"/>
      <c r="Z27" s="440"/>
      <c r="AA27" s="440"/>
      <c r="AB27" s="440"/>
      <c r="AC27" s="440"/>
      <c r="AD27" s="440"/>
      <c r="AE27" s="440"/>
      <c r="AF27" s="440"/>
      <c r="AG27" s="440"/>
      <c r="AH27" s="440"/>
      <c r="AI27" s="440"/>
    </row>
    <row r="28" spans="1:35" ht="10.5" customHeight="1" x14ac:dyDescent="0.25">
      <c r="A28" s="510" t="s">
        <v>336</v>
      </c>
      <c r="B28" s="510"/>
      <c r="C28" s="510"/>
      <c r="D28" s="510"/>
      <c r="E28" s="510"/>
      <c r="F28" s="510"/>
      <c r="G28" s="510"/>
      <c r="H28" s="510"/>
      <c r="I28" s="510"/>
      <c r="J28" s="440" t="s">
        <v>294</v>
      </c>
      <c r="K28" s="440"/>
      <c r="L28" s="440">
        <v>0.48848843530295943</v>
      </c>
      <c r="M28" s="440"/>
      <c r="N28" s="440" t="s">
        <v>294</v>
      </c>
      <c r="O28" s="440"/>
      <c r="P28" s="440" t="s">
        <v>294</v>
      </c>
      <c r="Q28" s="440"/>
      <c r="R28" s="440" t="s">
        <v>294</v>
      </c>
      <c r="S28" s="440"/>
      <c r="T28" s="440">
        <v>0.21601570246411725</v>
      </c>
      <c r="U28" s="440"/>
      <c r="V28" s="440" t="s">
        <v>294</v>
      </c>
      <c r="W28" s="440"/>
      <c r="X28" s="440"/>
      <c r="Y28" s="440"/>
      <c r="Z28" s="440"/>
      <c r="AA28" s="440"/>
      <c r="AB28" s="440"/>
      <c r="AC28" s="440"/>
      <c r="AD28" s="440"/>
      <c r="AE28" s="440"/>
      <c r="AF28" s="440"/>
      <c r="AG28" s="440"/>
      <c r="AH28" s="440"/>
      <c r="AI28" s="440"/>
    </row>
    <row r="29" spans="1:35" ht="10.5" customHeight="1" x14ac:dyDescent="0.25">
      <c r="A29" s="510" t="s">
        <v>339</v>
      </c>
      <c r="B29" s="510"/>
      <c r="C29" s="510"/>
      <c r="D29" s="510"/>
      <c r="E29" s="510"/>
      <c r="F29" s="510"/>
      <c r="G29" s="510"/>
      <c r="H29" s="510"/>
      <c r="I29" s="510"/>
      <c r="J29" s="440" t="s">
        <v>294</v>
      </c>
      <c r="K29" s="440"/>
      <c r="L29" s="440" t="s">
        <v>294</v>
      </c>
      <c r="M29" s="440"/>
      <c r="N29" s="440">
        <v>-0.44303628948059093</v>
      </c>
      <c r="O29" s="440"/>
      <c r="P29" s="440" t="s">
        <v>294</v>
      </c>
      <c r="Q29" s="440"/>
      <c r="R29" s="440" t="s">
        <v>294</v>
      </c>
      <c r="S29" s="440"/>
      <c r="T29" s="440" t="s">
        <v>294</v>
      </c>
      <c r="U29" s="440"/>
      <c r="V29" s="440" t="s">
        <v>294</v>
      </c>
      <c r="W29" s="440"/>
      <c r="X29" s="440"/>
      <c r="Y29" s="440"/>
      <c r="Z29" s="440"/>
      <c r="AA29" s="440"/>
      <c r="AB29" s="440"/>
      <c r="AC29" s="440"/>
      <c r="AD29" s="440"/>
      <c r="AE29" s="440"/>
      <c r="AF29" s="440"/>
      <c r="AG29" s="440"/>
      <c r="AH29" s="440"/>
      <c r="AI29" s="440"/>
    </row>
    <row r="30" spans="1:35" ht="10.5" customHeight="1" x14ac:dyDescent="0.25">
      <c r="A30" s="449" t="s">
        <v>317</v>
      </c>
      <c r="B30" s="510"/>
      <c r="C30" s="510"/>
      <c r="D30" s="510"/>
      <c r="E30" s="510"/>
      <c r="F30" s="510"/>
      <c r="G30" s="510"/>
      <c r="H30" s="510"/>
      <c r="I30" s="510"/>
      <c r="J30" s="448">
        <v>-2.1537554104192957</v>
      </c>
      <c r="K30" s="440"/>
      <c r="L30" s="448">
        <v>7.3505316334664466</v>
      </c>
      <c r="M30" s="440"/>
      <c r="N30" s="448">
        <v>1.3607386384110043</v>
      </c>
      <c r="O30" s="440"/>
      <c r="P30" s="448">
        <v>-1.2489470495843598</v>
      </c>
      <c r="Q30" s="440"/>
      <c r="R30" s="448">
        <v>5.1841053655053348E-3</v>
      </c>
      <c r="S30" s="440"/>
      <c r="T30" s="448">
        <v>-2.6515633345760161</v>
      </c>
      <c r="U30" s="440"/>
      <c r="V30" s="448">
        <v>-0.15892767824267168</v>
      </c>
      <c r="W30" s="440"/>
      <c r="X30" s="440"/>
      <c r="Y30" s="440"/>
      <c r="Z30" s="440"/>
      <c r="AA30" s="440"/>
      <c r="AB30" s="440"/>
      <c r="AC30" s="440"/>
      <c r="AD30" s="440"/>
      <c r="AE30" s="440"/>
      <c r="AF30" s="440"/>
      <c r="AG30" s="440"/>
      <c r="AH30" s="440"/>
      <c r="AI30" s="440"/>
    </row>
    <row r="31" spans="1:35" ht="10.5" customHeight="1" x14ac:dyDescent="0.25">
      <c r="A31" s="510" t="s">
        <v>312</v>
      </c>
      <c r="B31" s="510"/>
      <c r="C31" s="510"/>
      <c r="D31" s="510"/>
      <c r="E31" s="510"/>
      <c r="F31" s="510"/>
      <c r="G31" s="510"/>
      <c r="H31" s="510"/>
      <c r="I31" s="510"/>
      <c r="J31" s="440">
        <v>-0.25946488206970164</v>
      </c>
      <c r="K31" s="440"/>
      <c r="L31" s="440" t="s">
        <v>294</v>
      </c>
      <c r="M31" s="440"/>
      <c r="N31" s="440">
        <v>0.32268821675658949</v>
      </c>
      <c r="O31" s="440"/>
      <c r="P31" s="440" t="s">
        <v>294</v>
      </c>
      <c r="Q31" s="440"/>
      <c r="R31" s="440" t="s">
        <v>294</v>
      </c>
      <c r="S31" s="440"/>
      <c r="T31" s="440" t="s">
        <v>294</v>
      </c>
      <c r="U31" s="440"/>
      <c r="V31" s="440" t="s">
        <v>294</v>
      </c>
      <c r="W31" s="440"/>
      <c r="X31" s="440"/>
      <c r="Y31" s="440"/>
      <c r="Z31" s="440"/>
      <c r="AA31" s="440"/>
      <c r="AB31" s="440"/>
      <c r="AC31" s="440"/>
      <c r="AD31" s="440"/>
      <c r="AE31" s="440"/>
      <c r="AF31" s="440"/>
      <c r="AG31" s="440"/>
      <c r="AH31" s="440"/>
      <c r="AI31" s="440"/>
    </row>
    <row r="32" spans="1:35" ht="10.5" customHeight="1" x14ac:dyDescent="0.25">
      <c r="A32" s="510" t="s">
        <v>307</v>
      </c>
      <c r="B32" s="510"/>
      <c r="C32" s="510"/>
      <c r="D32" s="510"/>
      <c r="E32" s="510"/>
      <c r="F32" s="510"/>
      <c r="G32" s="510"/>
      <c r="H32" s="510"/>
      <c r="I32" s="510"/>
      <c r="J32" s="440" t="s">
        <v>294</v>
      </c>
      <c r="K32" s="440"/>
      <c r="L32" s="440">
        <v>1.6714590965418441</v>
      </c>
      <c r="M32" s="440"/>
      <c r="N32" s="440">
        <v>0.42188188559949247</v>
      </c>
      <c r="O32" s="440"/>
      <c r="P32" s="440" t="s">
        <v>294</v>
      </c>
      <c r="Q32" s="440"/>
      <c r="R32" s="440" t="s">
        <v>294</v>
      </c>
      <c r="S32" s="440"/>
      <c r="T32" s="440" t="s">
        <v>294</v>
      </c>
      <c r="U32" s="440"/>
      <c r="V32" s="440">
        <v>-0.15892767824267165</v>
      </c>
      <c r="W32" s="440"/>
      <c r="X32" s="440"/>
      <c r="Y32" s="440"/>
      <c r="Z32" s="440"/>
      <c r="AA32" s="440"/>
      <c r="AB32" s="440"/>
      <c r="AC32" s="440"/>
      <c r="AD32" s="440"/>
      <c r="AE32" s="440"/>
      <c r="AF32" s="440"/>
      <c r="AG32" s="440"/>
      <c r="AH32" s="440"/>
      <c r="AI32" s="440"/>
    </row>
    <row r="33" spans="1:35" ht="10.5" customHeight="1" x14ac:dyDescent="0.25">
      <c r="A33" s="510" t="s">
        <v>342</v>
      </c>
      <c r="B33" s="510"/>
      <c r="C33" s="510"/>
      <c r="D33" s="510"/>
      <c r="E33" s="510"/>
      <c r="F33" s="510"/>
      <c r="G33" s="510"/>
      <c r="H33" s="510"/>
      <c r="I33" s="510"/>
      <c r="J33" s="440" t="s">
        <v>294</v>
      </c>
      <c r="K33" s="440"/>
      <c r="L33" s="440">
        <v>0.71114262653968197</v>
      </c>
      <c r="M33" s="440"/>
      <c r="N33" s="440">
        <v>0.29739873062830902</v>
      </c>
      <c r="O33" s="440"/>
      <c r="P33" s="440">
        <v>-1.2489470495843598</v>
      </c>
      <c r="Q33" s="440"/>
      <c r="R33" s="440">
        <v>-2.5526653382466472E-2</v>
      </c>
      <c r="S33" s="440"/>
      <c r="T33" s="440" t="s">
        <v>294</v>
      </c>
      <c r="U33" s="440"/>
      <c r="V33" s="440" t="s">
        <v>294</v>
      </c>
      <c r="W33" s="440"/>
      <c r="X33" s="440"/>
      <c r="Y33" s="440"/>
      <c r="Z33" s="440"/>
      <c r="AA33" s="440"/>
      <c r="AB33" s="440"/>
      <c r="AC33" s="440"/>
      <c r="AD33" s="440"/>
      <c r="AE33" s="440"/>
      <c r="AF33" s="440"/>
      <c r="AG33" s="440"/>
      <c r="AH33" s="440"/>
      <c r="AI33" s="440"/>
    </row>
    <row r="34" spans="1:35" ht="10.5" customHeight="1" x14ac:dyDescent="0.25">
      <c r="A34" s="510" t="s">
        <v>306</v>
      </c>
      <c r="B34" s="510"/>
      <c r="C34" s="510"/>
      <c r="D34" s="510"/>
      <c r="E34" s="510"/>
      <c r="F34" s="510"/>
      <c r="G34" s="510"/>
      <c r="H34" s="510"/>
      <c r="I34" s="510"/>
      <c r="J34" s="440">
        <v>-0.15986777387722145</v>
      </c>
      <c r="K34" s="440"/>
      <c r="L34" s="440">
        <v>0.63060336866622935</v>
      </c>
      <c r="M34" s="440"/>
      <c r="N34" s="440">
        <v>0.31876980542661321</v>
      </c>
      <c r="O34" s="440"/>
      <c r="P34" s="440" t="s">
        <v>294</v>
      </c>
      <c r="Q34" s="440"/>
      <c r="R34" s="440">
        <v>3.0710758747971814E-2</v>
      </c>
      <c r="S34" s="440"/>
      <c r="T34" s="440" t="s">
        <v>294</v>
      </c>
      <c r="U34" s="440"/>
      <c r="V34" s="440" t="s">
        <v>294</v>
      </c>
      <c r="W34" s="440"/>
      <c r="X34" s="440"/>
      <c r="Y34" s="440"/>
      <c r="Z34" s="440"/>
      <c r="AA34" s="440"/>
      <c r="AB34" s="440"/>
      <c r="AC34" s="440"/>
      <c r="AD34" s="440"/>
      <c r="AE34" s="440"/>
      <c r="AF34" s="440"/>
      <c r="AG34" s="440"/>
      <c r="AH34" s="440"/>
      <c r="AI34" s="440"/>
    </row>
    <row r="35" spans="1:35" ht="10.5" customHeight="1" x14ac:dyDescent="0.25">
      <c r="A35" s="510" t="s">
        <v>345</v>
      </c>
      <c r="B35" s="510"/>
      <c r="C35" s="510"/>
      <c r="D35" s="510"/>
      <c r="E35" s="510"/>
      <c r="F35" s="510"/>
      <c r="G35" s="510"/>
      <c r="H35" s="510"/>
      <c r="I35" s="510"/>
      <c r="J35" s="440">
        <v>-1.7344227544723727</v>
      </c>
      <c r="K35" s="440"/>
      <c r="L35" s="440">
        <v>4.3373265417186904</v>
      </c>
      <c r="M35" s="440"/>
      <c r="N35" s="440" t="s">
        <v>294</v>
      </c>
      <c r="O35" s="440"/>
      <c r="P35" s="440" t="s">
        <v>294</v>
      </c>
      <c r="Q35" s="440"/>
      <c r="R35" s="440" t="s">
        <v>294</v>
      </c>
      <c r="S35" s="440"/>
      <c r="T35" s="440">
        <v>-2.6515633345760166</v>
      </c>
      <c r="U35" s="440"/>
      <c r="V35" s="440" t="s">
        <v>294</v>
      </c>
      <c r="W35" s="440"/>
      <c r="X35" s="440"/>
      <c r="Y35" s="440"/>
      <c r="Z35" s="440"/>
      <c r="AA35" s="440"/>
      <c r="AB35" s="440"/>
      <c r="AC35" s="440"/>
      <c r="AD35" s="440"/>
      <c r="AE35" s="440"/>
      <c r="AF35" s="440"/>
      <c r="AG35" s="440"/>
      <c r="AH35" s="440"/>
      <c r="AI35" s="440"/>
    </row>
    <row r="36" spans="1:35" ht="10.5" customHeight="1" x14ac:dyDescent="0.25">
      <c r="A36" s="449" t="s">
        <v>315</v>
      </c>
      <c r="B36" s="510"/>
      <c r="C36" s="510"/>
      <c r="D36" s="510"/>
      <c r="E36" s="510"/>
      <c r="F36" s="510"/>
      <c r="G36" s="510"/>
      <c r="H36" s="510"/>
      <c r="I36" s="510"/>
      <c r="J36" s="448" t="s">
        <v>294</v>
      </c>
      <c r="K36" s="440"/>
      <c r="L36" s="448">
        <v>2.9387985275412372</v>
      </c>
      <c r="M36" s="440"/>
      <c r="N36" s="448">
        <v>0.65774552739276915</v>
      </c>
      <c r="O36" s="440"/>
      <c r="P36" s="448" t="s">
        <v>294</v>
      </c>
      <c r="Q36" s="440"/>
      <c r="R36" s="448" t="s">
        <v>294</v>
      </c>
      <c r="S36" s="440"/>
      <c r="T36" s="448">
        <v>-2.3933404676580716</v>
      </c>
      <c r="U36" s="440"/>
      <c r="V36" s="448">
        <v>-0.24696051268409666</v>
      </c>
      <c r="W36" s="440"/>
      <c r="X36" s="440"/>
      <c r="Y36" s="440"/>
      <c r="Z36" s="440"/>
      <c r="AA36" s="440"/>
      <c r="AB36" s="440"/>
      <c r="AC36" s="440"/>
      <c r="AD36" s="440"/>
      <c r="AE36" s="440"/>
      <c r="AF36" s="440"/>
      <c r="AG36" s="440"/>
      <c r="AH36" s="440"/>
      <c r="AI36" s="440"/>
    </row>
    <row r="37" spans="1:35" ht="10.5" customHeight="1" x14ac:dyDescent="0.25">
      <c r="A37" s="510" t="s">
        <v>328</v>
      </c>
      <c r="B37" s="510"/>
      <c r="C37" s="510"/>
      <c r="D37" s="510"/>
      <c r="E37" s="510"/>
      <c r="F37" s="510"/>
      <c r="G37" s="510"/>
      <c r="H37" s="510"/>
      <c r="I37" s="510"/>
      <c r="J37" s="440" t="s">
        <v>294</v>
      </c>
      <c r="K37" s="440"/>
      <c r="L37" s="440" t="s">
        <v>294</v>
      </c>
      <c r="M37" s="440"/>
      <c r="N37" s="440" t="s">
        <v>294</v>
      </c>
      <c r="O37" s="440"/>
      <c r="P37" s="440" t="s">
        <v>294</v>
      </c>
      <c r="Q37" s="440"/>
      <c r="R37" s="440" t="s">
        <v>294</v>
      </c>
      <c r="S37" s="440"/>
      <c r="T37" s="440">
        <v>-0.485556631627869</v>
      </c>
      <c r="U37" s="440"/>
      <c r="V37" s="440">
        <v>-0.24499346028017205</v>
      </c>
      <c r="W37" s="440"/>
      <c r="X37" s="440"/>
      <c r="Y37" s="440"/>
      <c r="Z37" s="440"/>
      <c r="AA37" s="440"/>
      <c r="AB37" s="440"/>
      <c r="AC37" s="440"/>
      <c r="AD37" s="440"/>
      <c r="AE37" s="440"/>
      <c r="AF37" s="440"/>
      <c r="AG37" s="440"/>
      <c r="AH37" s="440"/>
      <c r="AI37" s="440"/>
    </row>
    <row r="38" spans="1:35" ht="10.5" customHeight="1" x14ac:dyDescent="0.25">
      <c r="A38" s="510" t="s">
        <v>331</v>
      </c>
      <c r="B38" s="510"/>
      <c r="C38" s="510"/>
      <c r="D38" s="510"/>
      <c r="E38" s="510"/>
      <c r="F38" s="510"/>
      <c r="G38" s="510"/>
      <c r="H38" s="510"/>
      <c r="I38" s="510"/>
      <c r="J38" s="440" t="s">
        <v>294</v>
      </c>
      <c r="K38" s="440"/>
      <c r="L38" s="440">
        <v>1.0726188541362374</v>
      </c>
      <c r="M38" s="440"/>
      <c r="N38" s="440">
        <v>-0.13602128647869413</v>
      </c>
      <c r="O38" s="440"/>
      <c r="P38" s="440" t="s">
        <v>294</v>
      </c>
      <c r="Q38" s="440"/>
      <c r="R38" s="440" t="s">
        <v>294</v>
      </c>
      <c r="S38" s="440"/>
      <c r="T38" s="440" t="s">
        <v>294</v>
      </c>
      <c r="U38" s="440"/>
      <c r="V38" s="440">
        <v>0.20644299401287408</v>
      </c>
      <c r="W38" s="440"/>
      <c r="X38" s="440"/>
      <c r="Y38" s="440"/>
      <c r="Z38" s="440"/>
      <c r="AA38" s="440"/>
      <c r="AB38" s="440"/>
      <c r="AC38" s="440"/>
      <c r="AD38" s="440"/>
      <c r="AE38" s="440"/>
      <c r="AF38" s="440"/>
      <c r="AG38" s="440"/>
      <c r="AH38" s="440"/>
      <c r="AI38" s="440"/>
    </row>
    <row r="39" spans="1:35" ht="10.5" customHeight="1" x14ac:dyDescent="0.25">
      <c r="A39" s="510" t="s">
        <v>311</v>
      </c>
      <c r="B39" s="510"/>
      <c r="C39" s="510"/>
      <c r="D39" s="510"/>
      <c r="E39" s="510"/>
      <c r="F39" s="510"/>
      <c r="G39" s="510"/>
      <c r="H39" s="510"/>
      <c r="I39" s="510"/>
      <c r="J39" s="440" t="s">
        <v>294</v>
      </c>
      <c r="K39" s="440"/>
      <c r="L39" s="440" t="s">
        <v>294</v>
      </c>
      <c r="M39" s="440"/>
      <c r="N39" s="440" t="s">
        <v>294</v>
      </c>
      <c r="O39" s="440"/>
      <c r="P39" s="440" t="s">
        <v>294</v>
      </c>
      <c r="Q39" s="440"/>
      <c r="R39" s="440" t="s">
        <v>294</v>
      </c>
      <c r="S39" s="440"/>
      <c r="T39" s="440">
        <v>-1.7315241056025295</v>
      </c>
      <c r="U39" s="440"/>
      <c r="V39" s="440">
        <v>-0.41826439513799679</v>
      </c>
      <c r="W39" s="440"/>
      <c r="X39" s="440"/>
      <c r="Y39" s="440"/>
      <c r="Z39" s="440"/>
      <c r="AA39" s="440"/>
      <c r="AB39" s="440"/>
      <c r="AC39" s="440"/>
      <c r="AD39" s="440"/>
      <c r="AE39" s="440"/>
      <c r="AF39" s="440"/>
      <c r="AG39" s="440"/>
      <c r="AH39" s="440"/>
      <c r="AI39" s="440"/>
    </row>
    <row r="40" spans="1:35" ht="10.5" customHeight="1" x14ac:dyDescent="0.25">
      <c r="A40" s="510" t="s">
        <v>309</v>
      </c>
      <c r="B40" s="510"/>
      <c r="C40" s="510"/>
      <c r="D40" s="510"/>
      <c r="E40" s="510"/>
      <c r="F40" s="510"/>
      <c r="G40" s="510"/>
      <c r="H40" s="510"/>
      <c r="I40" s="510"/>
      <c r="J40" s="440" t="s">
        <v>294</v>
      </c>
      <c r="K40" s="440"/>
      <c r="L40" s="440">
        <v>-0.66184743723605022</v>
      </c>
      <c r="M40" s="440"/>
      <c r="N40" s="440" t="s">
        <v>294</v>
      </c>
      <c r="O40" s="440"/>
      <c r="P40" s="440" t="s">
        <v>294</v>
      </c>
      <c r="Q40" s="440"/>
      <c r="R40" s="440" t="s">
        <v>294</v>
      </c>
      <c r="S40" s="440"/>
      <c r="T40" s="440">
        <v>-0.88819913720960175</v>
      </c>
      <c r="U40" s="440"/>
      <c r="V40" s="440" t="s">
        <v>294</v>
      </c>
      <c r="W40" s="440"/>
      <c r="X40" s="440"/>
      <c r="Y40" s="440"/>
      <c r="Z40" s="440"/>
      <c r="AA40" s="440"/>
      <c r="AB40" s="440"/>
      <c r="AC40" s="440"/>
      <c r="AD40" s="440"/>
      <c r="AE40" s="440"/>
      <c r="AF40" s="440"/>
      <c r="AG40" s="440"/>
      <c r="AH40" s="440"/>
      <c r="AI40" s="440"/>
    </row>
    <row r="41" spans="1:35" ht="10.5" customHeight="1" x14ac:dyDescent="0.25">
      <c r="A41" s="510" t="s">
        <v>334</v>
      </c>
      <c r="B41" s="510"/>
      <c r="C41" s="510"/>
      <c r="D41" s="510"/>
      <c r="E41" s="510"/>
      <c r="F41" s="510"/>
      <c r="G41" s="510"/>
      <c r="H41" s="510"/>
      <c r="I41" s="510"/>
      <c r="J41" s="440" t="s">
        <v>294</v>
      </c>
      <c r="K41" s="440"/>
      <c r="L41" s="440">
        <v>1.0823222209570214</v>
      </c>
      <c r="M41" s="440"/>
      <c r="N41" s="440">
        <v>0.27256864475013265</v>
      </c>
      <c r="O41" s="440"/>
      <c r="P41" s="440" t="s">
        <v>294</v>
      </c>
      <c r="Q41" s="440"/>
      <c r="R41" s="440" t="s">
        <v>294</v>
      </c>
      <c r="S41" s="440"/>
      <c r="T41" s="440">
        <v>0.71193940678192869</v>
      </c>
      <c r="U41" s="440"/>
      <c r="V41" s="440">
        <v>0.20985434872119807</v>
      </c>
      <c r="W41" s="440"/>
      <c r="X41" s="440"/>
      <c r="Y41" s="440"/>
      <c r="Z41" s="440"/>
      <c r="AA41" s="440"/>
      <c r="AB41" s="440"/>
      <c r="AC41" s="440"/>
      <c r="AD41" s="440"/>
      <c r="AE41" s="440"/>
      <c r="AF41" s="440"/>
      <c r="AG41" s="440"/>
      <c r="AH41" s="440"/>
      <c r="AI41" s="440"/>
    </row>
    <row r="42" spans="1:35" ht="10.5" customHeight="1" x14ac:dyDescent="0.25">
      <c r="A42" s="510" t="s">
        <v>349</v>
      </c>
      <c r="B42" s="510"/>
      <c r="C42" s="510"/>
      <c r="D42" s="510"/>
      <c r="E42" s="510"/>
      <c r="F42" s="510"/>
      <c r="G42" s="510"/>
      <c r="H42" s="510"/>
      <c r="I42" s="510"/>
      <c r="J42" s="440" t="s">
        <v>294</v>
      </c>
      <c r="K42" s="440"/>
      <c r="L42" s="440">
        <v>1.4457048896840285</v>
      </c>
      <c r="M42" s="440"/>
      <c r="N42" s="440">
        <v>0.52119816912133043</v>
      </c>
      <c r="O42" s="440"/>
      <c r="P42" s="440" t="s">
        <v>294</v>
      </c>
      <c r="Q42" s="440"/>
      <c r="R42" s="440" t="s">
        <v>294</v>
      </c>
      <c r="S42" s="440"/>
      <c r="T42" s="440" t="s">
        <v>294</v>
      </c>
      <c r="U42" s="440"/>
      <c r="V42" s="440" t="s">
        <v>294</v>
      </c>
      <c r="W42" s="440"/>
      <c r="X42" s="440"/>
      <c r="Y42" s="440"/>
      <c r="Z42" s="440"/>
      <c r="AA42" s="440"/>
      <c r="AB42" s="440"/>
      <c r="AC42" s="440"/>
      <c r="AD42" s="440"/>
      <c r="AE42" s="440"/>
      <c r="AF42" s="440"/>
      <c r="AG42" s="440"/>
      <c r="AH42" s="440"/>
      <c r="AI42" s="440"/>
    </row>
    <row r="43" spans="1:35" ht="10.5" customHeight="1" x14ac:dyDescent="0.25">
      <c r="A43" s="449" t="s">
        <v>316</v>
      </c>
      <c r="B43" s="510"/>
      <c r="C43" s="510"/>
      <c r="D43" s="510"/>
      <c r="E43" s="510"/>
      <c r="F43" s="510"/>
      <c r="G43" s="510"/>
      <c r="H43" s="510"/>
      <c r="I43" s="510"/>
      <c r="J43" s="448">
        <v>-0.14953565218718753</v>
      </c>
      <c r="K43" s="440"/>
      <c r="L43" s="448">
        <v>2.1389257505265764</v>
      </c>
      <c r="M43" s="440"/>
      <c r="N43" s="448">
        <v>0.1625189204249172</v>
      </c>
      <c r="O43" s="440"/>
      <c r="P43" s="448">
        <v>-1.4759463566471493</v>
      </c>
      <c r="Q43" s="440"/>
      <c r="R43" s="448" t="s">
        <v>294</v>
      </c>
      <c r="S43" s="440"/>
      <c r="T43" s="448">
        <v>-0.78827428204734684</v>
      </c>
      <c r="U43" s="440"/>
      <c r="V43" s="448">
        <v>0.20518577098636859</v>
      </c>
      <c r="W43" s="440"/>
      <c r="X43" s="440"/>
      <c r="Y43" s="440"/>
      <c r="Z43" s="440"/>
      <c r="AA43" s="440"/>
      <c r="AB43" s="440"/>
      <c r="AC43" s="440"/>
      <c r="AD43" s="440"/>
      <c r="AE43" s="440"/>
      <c r="AF43" s="440"/>
      <c r="AG43" s="440"/>
      <c r="AH43" s="440"/>
      <c r="AI43" s="440"/>
    </row>
    <row r="44" spans="1:35" ht="10.5" customHeight="1" x14ac:dyDescent="0.25">
      <c r="A44" s="510" t="s">
        <v>324</v>
      </c>
      <c r="B44" s="510"/>
      <c r="C44" s="510"/>
      <c r="D44" s="510"/>
      <c r="E44" s="510"/>
      <c r="F44" s="510"/>
      <c r="G44" s="510"/>
      <c r="H44" s="510"/>
      <c r="I44" s="510"/>
      <c r="J44" s="440" t="s">
        <v>294</v>
      </c>
      <c r="K44" s="440"/>
      <c r="L44" s="440" t="s">
        <v>294</v>
      </c>
      <c r="M44" s="440"/>
      <c r="N44" s="440" t="s">
        <v>294</v>
      </c>
      <c r="O44" s="440"/>
      <c r="P44" s="440" t="s">
        <v>294</v>
      </c>
      <c r="Q44" s="440"/>
      <c r="R44" s="440" t="s">
        <v>294</v>
      </c>
      <c r="S44" s="440"/>
      <c r="T44" s="440" t="s">
        <v>294</v>
      </c>
      <c r="U44" s="440"/>
      <c r="V44" s="440">
        <v>-4.2169033510812269E-2</v>
      </c>
      <c r="W44" s="440"/>
      <c r="X44" s="440"/>
      <c r="Y44" s="440"/>
      <c r="Z44" s="440"/>
      <c r="AA44" s="440"/>
      <c r="AB44" s="440"/>
      <c r="AC44" s="440"/>
      <c r="AD44" s="440"/>
      <c r="AE44" s="440"/>
      <c r="AF44" s="440"/>
      <c r="AG44" s="440"/>
      <c r="AH44" s="440"/>
      <c r="AI44" s="440"/>
    </row>
    <row r="45" spans="1:35" ht="10.5" customHeight="1" x14ac:dyDescent="0.25">
      <c r="A45" s="510" t="s">
        <v>325</v>
      </c>
      <c r="B45" s="510"/>
      <c r="C45" s="510"/>
      <c r="D45" s="510"/>
      <c r="E45" s="510"/>
      <c r="F45" s="510"/>
      <c r="G45" s="510"/>
      <c r="H45" s="510"/>
      <c r="I45" s="510"/>
      <c r="J45" s="440">
        <v>9.5685633460803707E-2</v>
      </c>
      <c r="K45" s="440"/>
      <c r="L45" s="440">
        <v>0.24139410940807038</v>
      </c>
      <c r="M45" s="440"/>
      <c r="N45" s="440">
        <v>9.9985507245002256E-2</v>
      </c>
      <c r="O45" s="440"/>
      <c r="P45" s="440" t="s">
        <v>294</v>
      </c>
      <c r="Q45" s="440"/>
      <c r="R45" s="440" t="s">
        <v>294</v>
      </c>
      <c r="S45" s="440"/>
      <c r="T45" s="440" t="s">
        <v>294</v>
      </c>
      <c r="U45" s="440"/>
      <c r="V45" s="440" t="s">
        <v>294</v>
      </c>
      <c r="W45" s="440"/>
      <c r="X45" s="440"/>
      <c r="Y45" s="440"/>
      <c r="Z45" s="440"/>
      <c r="AA45" s="440"/>
      <c r="AB45" s="440"/>
      <c r="AC45" s="440"/>
      <c r="AD45" s="440"/>
      <c r="AE45" s="440"/>
      <c r="AF45" s="440"/>
      <c r="AG45" s="440"/>
      <c r="AH45" s="440"/>
      <c r="AI45" s="440"/>
    </row>
    <row r="46" spans="1:35" ht="10.5" customHeight="1" x14ac:dyDescent="0.25">
      <c r="A46" s="510" t="s">
        <v>327</v>
      </c>
      <c r="B46" s="510"/>
      <c r="C46" s="510"/>
      <c r="D46" s="510"/>
      <c r="E46" s="510"/>
      <c r="F46" s="510"/>
      <c r="G46" s="510"/>
      <c r="H46" s="510"/>
      <c r="I46" s="510"/>
      <c r="J46" s="440" t="s">
        <v>294</v>
      </c>
      <c r="K46" s="440"/>
      <c r="L46" s="440" t="s">
        <v>294</v>
      </c>
      <c r="M46" s="440"/>
      <c r="N46" s="440">
        <v>0.217381749573306</v>
      </c>
      <c r="O46" s="440"/>
      <c r="P46" s="440" t="s">
        <v>294</v>
      </c>
      <c r="Q46" s="440"/>
      <c r="R46" s="440" t="s">
        <v>294</v>
      </c>
      <c r="S46" s="440"/>
      <c r="T46" s="440" t="s">
        <v>294</v>
      </c>
      <c r="U46" s="440"/>
      <c r="V46" s="440" t="s">
        <v>294</v>
      </c>
      <c r="W46" s="440"/>
      <c r="X46" s="440"/>
      <c r="Y46" s="440"/>
      <c r="Z46" s="440"/>
      <c r="AA46" s="440"/>
      <c r="AB46" s="440"/>
      <c r="AC46" s="440"/>
      <c r="AD46" s="440"/>
      <c r="AE46" s="440"/>
      <c r="AF46" s="440"/>
      <c r="AG46" s="440"/>
      <c r="AH46" s="440"/>
      <c r="AI46" s="440"/>
    </row>
    <row r="47" spans="1:35" ht="10.5" customHeight="1" x14ac:dyDescent="0.25">
      <c r="A47" s="510" t="s">
        <v>340</v>
      </c>
      <c r="B47" s="510"/>
      <c r="C47" s="510"/>
      <c r="D47" s="510"/>
      <c r="E47" s="510"/>
      <c r="F47" s="510"/>
      <c r="G47" s="510"/>
      <c r="H47" s="510"/>
      <c r="I47" s="510"/>
      <c r="J47" s="440" t="s">
        <v>294</v>
      </c>
      <c r="K47" s="440"/>
      <c r="L47" s="440" t="s">
        <v>294</v>
      </c>
      <c r="M47" s="440"/>
      <c r="N47" s="440" t="s">
        <v>294</v>
      </c>
      <c r="O47" s="440"/>
      <c r="P47" s="440" t="s">
        <v>294</v>
      </c>
      <c r="Q47" s="440"/>
      <c r="R47" s="440" t="s">
        <v>294</v>
      </c>
      <c r="S47" s="440"/>
      <c r="T47" s="440">
        <v>0.11297134452117261</v>
      </c>
      <c r="U47" s="440"/>
      <c r="V47" s="440" t="s">
        <v>294</v>
      </c>
      <c r="W47" s="440"/>
      <c r="X47" s="440"/>
      <c r="Y47" s="440"/>
      <c r="Z47" s="440"/>
      <c r="AA47" s="440"/>
      <c r="AB47" s="440"/>
      <c r="AC47" s="440"/>
      <c r="AD47" s="440"/>
      <c r="AE47" s="440"/>
      <c r="AF47" s="440"/>
      <c r="AG47" s="440"/>
      <c r="AH47" s="440"/>
      <c r="AI47" s="440"/>
    </row>
    <row r="48" spans="1:35" ht="10.5" customHeight="1" x14ac:dyDescent="0.25">
      <c r="A48" s="510" t="s">
        <v>343</v>
      </c>
      <c r="B48" s="510"/>
      <c r="C48" s="510"/>
      <c r="D48" s="510"/>
      <c r="E48" s="510"/>
      <c r="F48" s="510"/>
      <c r="G48" s="510"/>
      <c r="H48" s="510"/>
      <c r="I48" s="510"/>
      <c r="J48" s="440">
        <v>0.32837820136530732</v>
      </c>
      <c r="K48" s="440"/>
      <c r="L48" s="440" t="s">
        <v>294</v>
      </c>
      <c r="M48" s="440"/>
      <c r="N48" s="440" t="s">
        <v>294</v>
      </c>
      <c r="O48" s="440"/>
      <c r="P48" s="440" t="s">
        <v>294</v>
      </c>
      <c r="Q48" s="440"/>
      <c r="R48" s="440" t="s">
        <v>294</v>
      </c>
      <c r="S48" s="440"/>
      <c r="T48" s="440">
        <v>-0.90124562656851959</v>
      </c>
      <c r="U48" s="440"/>
      <c r="V48" s="440">
        <v>0.48959564839561631</v>
      </c>
      <c r="W48" s="440"/>
      <c r="X48" s="440"/>
      <c r="Y48" s="440"/>
      <c r="Z48" s="440"/>
      <c r="AA48" s="440"/>
      <c r="AB48" s="440"/>
      <c r="AC48" s="440"/>
      <c r="AD48" s="440"/>
      <c r="AE48" s="440"/>
      <c r="AF48" s="440"/>
      <c r="AG48" s="440"/>
      <c r="AH48" s="440"/>
      <c r="AI48" s="440"/>
    </row>
    <row r="49" spans="1:35" ht="10.5" customHeight="1" x14ac:dyDescent="0.25">
      <c r="A49" s="510" t="s">
        <v>344</v>
      </c>
      <c r="B49" s="510"/>
      <c r="C49" s="510"/>
      <c r="D49" s="510"/>
      <c r="E49" s="510"/>
      <c r="F49" s="510"/>
      <c r="G49" s="510"/>
      <c r="H49" s="510"/>
      <c r="I49" s="510"/>
      <c r="J49" s="440" t="s">
        <v>294</v>
      </c>
      <c r="K49" s="440"/>
      <c r="L49" s="440" t="s">
        <v>294</v>
      </c>
      <c r="M49" s="440"/>
      <c r="N49" s="440" t="s">
        <v>294</v>
      </c>
      <c r="O49" s="440"/>
      <c r="P49" s="440">
        <v>-0.31941191037531125</v>
      </c>
      <c r="Q49" s="440"/>
      <c r="R49" s="440" t="s">
        <v>294</v>
      </c>
      <c r="S49" s="440"/>
      <c r="T49" s="440" t="s">
        <v>294</v>
      </c>
      <c r="U49" s="440"/>
      <c r="V49" s="440" t="s">
        <v>294</v>
      </c>
      <c r="W49" s="440"/>
      <c r="X49" s="440"/>
      <c r="Y49" s="440"/>
      <c r="Z49" s="440"/>
      <c r="AA49" s="440"/>
      <c r="AB49" s="440"/>
      <c r="AC49" s="440"/>
      <c r="AD49" s="440"/>
      <c r="AE49" s="440"/>
      <c r="AF49" s="440"/>
      <c r="AG49" s="440"/>
      <c r="AH49" s="440"/>
      <c r="AI49" s="440"/>
    </row>
    <row r="50" spans="1:35" ht="10.5" customHeight="1" x14ac:dyDescent="0.25">
      <c r="A50" s="510" t="s">
        <v>347</v>
      </c>
      <c r="B50" s="510"/>
      <c r="C50" s="510"/>
      <c r="D50" s="510"/>
      <c r="E50" s="510"/>
      <c r="F50" s="510"/>
      <c r="G50" s="510"/>
      <c r="H50" s="510"/>
      <c r="I50" s="510"/>
      <c r="J50" s="440">
        <v>-0.57359948701329844</v>
      </c>
      <c r="K50" s="440"/>
      <c r="L50" s="440">
        <v>0.93561813823805551</v>
      </c>
      <c r="M50" s="440"/>
      <c r="N50" s="440">
        <v>0.42722835720752861</v>
      </c>
      <c r="O50" s="440"/>
      <c r="P50" s="440">
        <v>-1.1565344462718381</v>
      </c>
      <c r="Q50" s="440"/>
      <c r="R50" s="440" t="s">
        <v>294</v>
      </c>
      <c r="S50" s="440"/>
      <c r="T50" s="440" t="s">
        <v>294</v>
      </c>
      <c r="U50" s="440"/>
      <c r="V50" s="440" t="s">
        <v>294</v>
      </c>
      <c r="W50" s="440"/>
      <c r="X50" s="440"/>
      <c r="Y50" s="440"/>
      <c r="Z50" s="440"/>
      <c r="AA50" s="440"/>
      <c r="AB50" s="440"/>
      <c r="AC50" s="440"/>
      <c r="AD50" s="440"/>
      <c r="AE50" s="440"/>
      <c r="AF50" s="440"/>
      <c r="AG50" s="440"/>
      <c r="AH50" s="440"/>
      <c r="AI50" s="440"/>
    </row>
    <row r="51" spans="1:35" ht="10.5" customHeight="1" x14ac:dyDescent="0.25">
      <c r="A51" s="510" t="s">
        <v>348</v>
      </c>
      <c r="B51" s="510"/>
      <c r="C51" s="510"/>
      <c r="D51" s="510"/>
      <c r="E51" s="510"/>
      <c r="F51" s="510"/>
      <c r="G51" s="510"/>
      <c r="H51" s="510"/>
      <c r="I51" s="510"/>
      <c r="J51" s="440" t="s">
        <v>294</v>
      </c>
      <c r="K51" s="440"/>
      <c r="L51" s="440">
        <v>0.96191350288045063</v>
      </c>
      <c r="M51" s="440"/>
      <c r="N51" s="440">
        <v>-0.58207669360091985</v>
      </c>
      <c r="O51" s="440"/>
      <c r="P51" s="440" t="s">
        <v>294</v>
      </c>
      <c r="Q51" s="440"/>
      <c r="R51" s="440" t="s">
        <v>294</v>
      </c>
      <c r="S51" s="440"/>
      <c r="T51" s="440" t="s">
        <v>294</v>
      </c>
      <c r="U51" s="440"/>
      <c r="V51" s="440">
        <v>-0.24224084389843539</v>
      </c>
      <c r="W51" s="440"/>
      <c r="X51" s="440"/>
      <c r="Y51" s="440"/>
      <c r="Z51" s="440"/>
      <c r="AA51" s="440"/>
      <c r="AB51" s="440"/>
      <c r="AC51" s="440"/>
      <c r="AD51" s="440"/>
      <c r="AE51" s="440"/>
      <c r="AF51" s="440"/>
      <c r="AG51" s="440"/>
      <c r="AH51" s="440"/>
      <c r="AI51" s="440"/>
    </row>
    <row r="52" spans="1:35" ht="10.5" customHeight="1" x14ac:dyDescent="0.25">
      <c r="A52" s="449" t="s">
        <v>321</v>
      </c>
      <c r="B52" s="510"/>
      <c r="C52" s="510"/>
      <c r="D52" s="510"/>
      <c r="E52" s="510"/>
      <c r="F52" s="510"/>
      <c r="G52" s="510"/>
      <c r="H52" s="510"/>
      <c r="I52" s="510"/>
      <c r="J52" s="448">
        <v>0.39586253237278557</v>
      </c>
      <c r="K52" s="440"/>
      <c r="L52" s="448">
        <v>0.70004193714310248</v>
      </c>
      <c r="M52" s="440"/>
      <c r="N52" s="448">
        <v>3.2953966177726599E-2</v>
      </c>
      <c r="O52" s="440"/>
      <c r="P52" s="448" t="s">
        <v>294</v>
      </c>
      <c r="Q52" s="440"/>
      <c r="R52" s="448" t="s">
        <v>294</v>
      </c>
      <c r="S52" s="440"/>
      <c r="T52" s="448" t="s">
        <v>294</v>
      </c>
      <c r="U52" s="440"/>
      <c r="V52" s="448" t="s">
        <v>294</v>
      </c>
      <c r="W52" s="440"/>
      <c r="X52" s="440"/>
      <c r="Y52" s="440"/>
      <c r="Z52" s="440"/>
      <c r="AA52" s="440"/>
      <c r="AB52" s="440"/>
      <c r="AC52" s="440"/>
      <c r="AD52" s="440"/>
      <c r="AE52" s="440"/>
      <c r="AF52" s="440"/>
      <c r="AG52" s="440"/>
      <c r="AH52" s="440"/>
      <c r="AI52" s="440"/>
    </row>
    <row r="53" spans="1:35" ht="10.5" customHeight="1" x14ac:dyDescent="0.25">
      <c r="A53" s="510" t="s">
        <v>313</v>
      </c>
      <c r="B53" s="510"/>
      <c r="C53" s="510"/>
      <c r="D53" s="510"/>
      <c r="E53" s="510"/>
      <c r="F53" s="510"/>
      <c r="G53" s="510"/>
      <c r="H53" s="510"/>
      <c r="I53" s="510"/>
      <c r="J53" s="440">
        <v>0.14642211702540245</v>
      </c>
      <c r="K53" s="440"/>
      <c r="L53" s="440" t="s">
        <v>294</v>
      </c>
      <c r="M53" s="440"/>
      <c r="N53" s="440">
        <v>-0.34564046853501695</v>
      </c>
      <c r="O53" s="440"/>
      <c r="P53" s="440" t="s">
        <v>294</v>
      </c>
      <c r="Q53" s="440"/>
      <c r="R53" s="440" t="s">
        <v>294</v>
      </c>
      <c r="S53" s="440"/>
      <c r="T53" s="440" t="s">
        <v>294</v>
      </c>
      <c r="U53" s="440"/>
      <c r="V53" s="440" t="s">
        <v>294</v>
      </c>
      <c r="W53" s="440"/>
      <c r="X53" s="440"/>
      <c r="Y53" s="440"/>
      <c r="Z53" s="440"/>
      <c r="AA53" s="440"/>
      <c r="AB53" s="440"/>
      <c r="AC53" s="440"/>
      <c r="AD53" s="440"/>
      <c r="AE53" s="440"/>
      <c r="AF53" s="440"/>
      <c r="AG53" s="440"/>
      <c r="AH53" s="440"/>
      <c r="AI53" s="440"/>
    </row>
    <row r="54" spans="1:35" ht="10.5" customHeight="1" x14ac:dyDescent="0.25">
      <c r="A54" s="510" t="s">
        <v>338</v>
      </c>
      <c r="B54" s="510"/>
      <c r="C54" s="510"/>
      <c r="D54" s="510"/>
      <c r="E54" s="510"/>
      <c r="F54" s="510"/>
      <c r="G54" s="510"/>
      <c r="H54" s="510"/>
      <c r="I54" s="510"/>
      <c r="J54" s="440">
        <v>0.24944041534738307</v>
      </c>
      <c r="K54" s="440"/>
      <c r="L54" s="440">
        <v>0.70004193714310237</v>
      </c>
      <c r="M54" s="440"/>
      <c r="N54" s="440">
        <v>0.37859443471274351</v>
      </c>
      <c r="O54" s="440"/>
      <c r="P54" s="440" t="s">
        <v>294</v>
      </c>
      <c r="Q54" s="440"/>
      <c r="R54" s="440" t="s">
        <v>294</v>
      </c>
      <c r="S54" s="440"/>
      <c r="T54" s="440" t="s">
        <v>294</v>
      </c>
      <c r="U54" s="440"/>
      <c r="V54" s="440" t="s">
        <v>294</v>
      </c>
      <c r="W54" s="440"/>
      <c r="X54" s="440"/>
      <c r="Y54" s="440"/>
      <c r="Z54" s="440"/>
      <c r="AA54" s="440"/>
      <c r="AB54" s="440"/>
      <c r="AC54" s="440"/>
      <c r="AD54" s="440"/>
      <c r="AE54" s="440"/>
      <c r="AF54" s="440"/>
      <c r="AG54" s="440"/>
      <c r="AH54" s="440"/>
      <c r="AI54" s="440"/>
    </row>
    <row r="55" spans="1:35" ht="10.5" customHeight="1" x14ac:dyDescent="0.25">
      <c r="A55" s="510"/>
      <c r="B55" s="510"/>
      <c r="C55" s="510"/>
      <c r="D55" s="510"/>
      <c r="E55" s="510"/>
      <c r="F55" s="510"/>
      <c r="G55" s="510"/>
      <c r="H55" s="510"/>
      <c r="I55" s="510"/>
      <c r="J55" s="440"/>
      <c r="K55" s="440"/>
      <c r="L55" s="440"/>
      <c r="M55" s="440"/>
      <c r="N55" s="440"/>
      <c r="O55" s="440"/>
      <c r="P55" s="440"/>
      <c r="Q55" s="440"/>
      <c r="R55" s="440"/>
      <c r="S55" s="440"/>
      <c r="T55" s="440"/>
      <c r="U55" s="440"/>
      <c r="V55" s="440"/>
      <c r="W55" s="440"/>
      <c r="X55" s="440"/>
      <c r="Y55" s="440"/>
      <c r="Z55" s="440"/>
      <c r="AA55" s="440"/>
      <c r="AB55" s="440"/>
      <c r="AC55" s="440"/>
      <c r="AD55" s="440"/>
      <c r="AE55" s="440"/>
      <c r="AF55" s="440"/>
      <c r="AG55" s="440"/>
      <c r="AH55" s="440"/>
      <c r="AI55" s="440"/>
    </row>
    <row r="56" spans="1:35" ht="10.5" customHeight="1" x14ac:dyDescent="0.25">
      <c r="A56" s="510"/>
      <c r="B56" s="510"/>
      <c r="C56" s="510"/>
      <c r="D56" s="510"/>
      <c r="E56" s="510"/>
      <c r="F56" s="510"/>
      <c r="G56" s="510"/>
      <c r="H56" s="510"/>
      <c r="I56" s="510"/>
      <c r="J56" s="440"/>
      <c r="K56" s="440"/>
      <c r="L56" s="440"/>
      <c r="M56" s="440"/>
      <c r="N56" s="440"/>
      <c r="O56" s="440"/>
      <c r="P56" s="440"/>
      <c r="Q56" s="440"/>
      <c r="R56" s="440"/>
      <c r="S56" s="440"/>
      <c r="T56" s="440"/>
      <c r="U56" s="440"/>
      <c r="V56" s="440"/>
      <c r="W56" s="440"/>
      <c r="X56" s="440"/>
      <c r="Y56" s="440"/>
      <c r="Z56" s="440"/>
      <c r="AA56" s="440"/>
      <c r="AB56" s="440"/>
      <c r="AC56" s="440"/>
      <c r="AD56" s="440"/>
      <c r="AE56" s="440"/>
      <c r="AF56" s="440"/>
      <c r="AG56" s="440"/>
      <c r="AH56" s="440"/>
      <c r="AI56" s="440"/>
    </row>
    <row r="57" spans="1:35" ht="10.5" customHeight="1" x14ac:dyDescent="0.25">
      <c r="A57" s="510"/>
      <c r="B57" s="510"/>
      <c r="C57" s="510"/>
      <c r="D57" s="510"/>
      <c r="E57" s="510"/>
      <c r="F57" s="510"/>
      <c r="G57" s="510"/>
      <c r="H57" s="510"/>
      <c r="I57" s="510"/>
      <c r="J57" s="440"/>
      <c r="K57" s="440"/>
      <c r="L57" s="440"/>
      <c r="M57" s="440"/>
      <c r="N57" s="440"/>
      <c r="O57" s="440"/>
      <c r="P57" s="440"/>
      <c r="Q57" s="440"/>
      <c r="R57" s="440"/>
      <c r="S57" s="440"/>
      <c r="T57" s="440"/>
      <c r="U57" s="440"/>
      <c r="V57" s="440"/>
      <c r="W57" s="440"/>
      <c r="X57" s="440"/>
      <c r="Y57" s="440"/>
      <c r="Z57" s="440"/>
      <c r="AA57" s="440"/>
      <c r="AB57" s="440"/>
      <c r="AC57" s="440"/>
      <c r="AD57" s="440"/>
      <c r="AE57" s="440"/>
      <c r="AF57" s="440"/>
      <c r="AG57" s="440"/>
      <c r="AH57" s="440"/>
      <c r="AI57" s="440"/>
    </row>
    <row r="58" spans="1:35" ht="10.5" customHeight="1" x14ac:dyDescent="0.25">
      <c r="A58" s="510"/>
      <c r="B58" s="510"/>
      <c r="C58" s="510"/>
      <c r="D58" s="510"/>
      <c r="E58" s="510"/>
      <c r="F58" s="510"/>
      <c r="G58" s="510"/>
      <c r="H58" s="510"/>
      <c r="I58" s="510"/>
      <c r="J58" s="440"/>
      <c r="K58" s="440"/>
      <c r="L58" s="440"/>
      <c r="M58" s="440"/>
      <c r="N58" s="440"/>
      <c r="O58" s="440"/>
      <c r="P58" s="440"/>
      <c r="Q58" s="440"/>
      <c r="R58" s="440"/>
      <c r="S58" s="440"/>
      <c r="T58" s="440"/>
      <c r="U58" s="440"/>
      <c r="V58" s="440"/>
      <c r="W58" s="440"/>
      <c r="X58" s="440"/>
      <c r="Y58" s="440"/>
      <c r="Z58" s="440"/>
      <c r="AA58" s="440"/>
      <c r="AB58" s="440"/>
      <c r="AC58" s="440"/>
      <c r="AD58" s="440"/>
      <c r="AE58" s="440"/>
      <c r="AF58" s="440"/>
      <c r="AG58" s="440"/>
      <c r="AH58" s="440"/>
      <c r="AI58" s="440"/>
    </row>
    <row r="59" spans="1:35" ht="10.5" customHeight="1" x14ac:dyDescent="0.25">
      <c r="A59" s="510"/>
      <c r="B59" s="510"/>
      <c r="C59" s="510"/>
      <c r="D59" s="510"/>
      <c r="E59" s="510"/>
      <c r="F59" s="510"/>
      <c r="G59" s="510"/>
      <c r="H59" s="510"/>
      <c r="I59" s="510"/>
      <c r="J59" s="440"/>
      <c r="K59" s="440"/>
      <c r="L59" s="440"/>
      <c r="M59" s="440"/>
      <c r="N59" s="440"/>
      <c r="O59" s="440"/>
      <c r="P59" s="440"/>
      <c r="Q59" s="440"/>
      <c r="R59" s="440"/>
      <c r="S59" s="440"/>
      <c r="T59" s="440"/>
      <c r="U59" s="440"/>
      <c r="V59" s="440"/>
      <c r="W59" s="440"/>
      <c r="X59" s="440"/>
      <c r="Y59" s="440"/>
      <c r="Z59" s="440"/>
      <c r="AA59" s="440"/>
      <c r="AB59" s="440"/>
      <c r="AC59" s="440"/>
      <c r="AD59" s="440"/>
      <c r="AE59" s="440"/>
      <c r="AF59" s="440"/>
      <c r="AG59" s="440"/>
      <c r="AH59" s="440"/>
      <c r="AI59" s="440"/>
    </row>
    <row r="60" spans="1:35" ht="10.5" customHeight="1" x14ac:dyDescent="0.25">
      <c r="A60" s="510"/>
      <c r="B60" s="510"/>
      <c r="C60" s="510"/>
      <c r="D60" s="510"/>
      <c r="E60" s="510"/>
      <c r="F60" s="510"/>
      <c r="G60" s="510"/>
      <c r="H60" s="510"/>
      <c r="I60" s="510"/>
      <c r="J60" s="440"/>
      <c r="K60" s="440"/>
      <c r="L60" s="440"/>
      <c r="M60" s="440"/>
      <c r="N60" s="440"/>
      <c r="O60" s="440"/>
      <c r="P60" s="440"/>
      <c r="Q60" s="440"/>
      <c r="R60" s="440"/>
      <c r="S60" s="440"/>
      <c r="T60" s="440"/>
      <c r="U60" s="440"/>
      <c r="V60" s="440"/>
      <c r="W60" s="440"/>
      <c r="X60" s="440"/>
      <c r="Y60" s="440"/>
      <c r="Z60" s="440"/>
      <c r="AA60" s="440"/>
      <c r="AB60" s="440"/>
      <c r="AC60" s="440"/>
      <c r="AD60" s="440"/>
      <c r="AE60" s="440"/>
      <c r="AF60" s="440"/>
      <c r="AG60" s="440"/>
      <c r="AH60" s="440"/>
      <c r="AI60" s="440"/>
    </row>
    <row r="61" spans="1:35" ht="10.5" customHeight="1" x14ac:dyDescent="0.25">
      <c r="A61" s="510"/>
      <c r="B61" s="510"/>
      <c r="C61" s="510"/>
      <c r="D61" s="510"/>
      <c r="E61" s="510"/>
      <c r="F61" s="510"/>
      <c r="G61" s="510"/>
      <c r="H61" s="510"/>
      <c r="I61" s="510"/>
      <c r="J61" s="440"/>
      <c r="K61" s="440"/>
      <c r="L61" s="440"/>
      <c r="M61" s="440"/>
      <c r="N61" s="440"/>
      <c r="O61" s="440"/>
      <c r="P61" s="440"/>
      <c r="Q61" s="440"/>
      <c r="R61" s="440"/>
      <c r="S61" s="440"/>
      <c r="T61" s="440"/>
      <c r="U61" s="440"/>
      <c r="V61" s="440"/>
      <c r="W61" s="440"/>
      <c r="X61" s="440"/>
      <c r="Y61" s="440"/>
      <c r="Z61" s="440"/>
      <c r="AA61" s="440"/>
      <c r="AB61" s="440"/>
      <c r="AC61" s="440"/>
      <c r="AD61" s="440"/>
      <c r="AE61" s="440"/>
      <c r="AF61" s="440"/>
      <c r="AG61" s="440"/>
      <c r="AH61" s="440"/>
      <c r="AI61" s="440"/>
    </row>
    <row r="62" spans="1:35" ht="10.5" customHeight="1" x14ac:dyDescent="0.25">
      <c r="A62" s="510"/>
      <c r="B62" s="510"/>
      <c r="C62" s="510"/>
      <c r="D62" s="510"/>
      <c r="E62" s="510"/>
      <c r="F62" s="510"/>
      <c r="G62" s="510"/>
      <c r="H62" s="510"/>
      <c r="I62" s="510"/>
      <c r="J62" s="440"/>
      <c r="K62" s="440"/>
      <c r="L62" s="440"/>
      <c r="M62" s="440"/>
      <c r="N62" s="440"/>
      <c r="O62" s="440"/>
      <c r="P62" s="440"/>
      <c r="Q62" s="440"/>
      <c r="R62" s="440"/>
      <c r="S62" s="440"/>
      <c r="T62" s="440"/>
      <c r="U62" s="440"/>
      <c r="V62" s="440"/>
      <c r="W62" s="440"/>
      <c r="X62" s="440"/>
      <c r="Y62" s="440"/>
      <c r="Z62" s="440"/>
      <c r="AA62" s="440"/>
      <c r="AB62" s="440"/>
      <c r="AC62" s="440"/>
      <c r="AD62" s="440"/>
      <c r="AE62" s="440"/>
      <c r="AF62" s="440"/>
      <c r="AG62" s="440"/>
      <c r="AH62" s="440"/>
      <c r="AI62" s="440"/>
    </row>
    <row r="63" spans="1:35" ht="10.5" customHeight="1" x14ac:dyDescent="0.25">
      <c r="A63" s="510"/>
      <c r="B63" s="510"/>
      <c r="C63" s="510"/>
      <c r="D63" s="510"/>
      <c r="E63" s="510"/>
      <c r="F63" s="510"/>
      <c r="G63" s="510"/>
      <c r="H63" s="510"/>
      <c r="I63" s="510"/>
      <c r="J63" s="440"/>
      <c r="K63" s="440"/>
      <c r="L63" s="440"/>
      <c r="M63" s="440"/>
      <c r="N63" s="440"/>
      <c r="O63" s="440"/>
      <c r="P63" s="440"/>
      <c r="Q63" s="440"/>
      <c r="R63" s="440"/>
      <c r="S63" s="440"/>
      <c r="T63" s="440"/>
      <c r="U63" s="440"/>
      <c r="V63" s="440"/>
      <c r="W63" s="440"/>
      <c r="X63" s="440"/>
      <c r="Y63" s="440"/>
      <c r="Z63" s="440"/>
      <c r="AA63" s="440"/>
      <c r="AB63" s="440"/>
      <c r="AC63" s="440"/>
      <c r="AD63" s="440"/>
      <c r="AE63" s="440"/>
      <c r="AF63" s="440"/>
      <c r="AG63" s="440"/>
      <c r="AH63" s="440"/>
      <c r="AI63" s="440"/>
    </row>
    <row r="64" spans="1:35" ht="10.5" customHeight="1" x14ac:dyDescent="0.25">
      <c r="A64" s="510"/>
      <c r="B64" s="510"/>
      <c r="C64" s="510"/>
      <c r="D64" s="510"/>
      <c r="E64" s="510"/>
      <c r="F64" s="510"/>
      <c r="G64" s="510"/>
      <c r="H64" s="510"/>
      <c r="I64" s="510"/>
      <c r="J64" s="440"/>
      <c r="K64" s="440"/>
      <c r="L64" s="440"/>
      <c r="M64" s="440"/>
      <c r="N64" s="440"/>
      <c r="O64" s="440"/>
      <c r="P64" s="440"/>
      <c r="Q64" s="440"/>
      <c r="R64" s="440"/>
      <c r="S64" s="440"/>
      <c r="T64" s="440"/>
      <c r="U64" s="440"/>
      <c r="V64" s="440"/>
      <c r="W64" s="440"/>
      <c r="X64" s="440"/>
      <c r="Y64" s="440"/>
      <c r="Z64" s="440"/>
      <c r="AA64" s="440"/>
      <c r="AB64" s="440"/>
      <c r="AC64" s="440"/>
      <c r="AD64" s="440"/>
      <c r="AE64" s="440"/>
      <c r="AF64" s="440"/>
      <c r="AG64" s="440"/>
      <c r="AH64" s="440"/>
      <c r="AI64" s="440"/>
    </row>
    <row r="65" spans="1:35" ht="10.5" customHeight="1" x14ac:dyDescent="0.25">
      <c r="A65" s="510"/>
      <c r="B65" s="510"/>
      <c r="C65" s="510"/>
      <c r="D65" s="510"/>
      <c r="E65" s="510"/>
      <c r="F65" s="510"/>
      <c r="G65" s="510"/>
      <c r="H65" s="510"/>
      <c r="I65" s="510"/>
      <c r="J65" s="440"/>
      <c r="K65" s="440"/>
      <c r="L65" s="440"/>
      <c r="M65" s="440"/>
      <c r="N65" s="440"/>
      <c r="O65" s="440"/>
      <c r="P65" s="440"/>
      <c r="Q65" s="440"/>
      <c r="R65" s="440"/>
      <c r="S65" s="440"/>
      <c r="T65" s="440"/>
      <c r="U65" s="440"/>
      <c r="V65" s="440"/>
      <c r="W65" s="440"/>
      <c r="X65" s="440"/>
      <c r="Y65" s="440"/>
      <c r="Z65" s="440"/>
      <c r="AA65" s="440"/>
      <c r="AB65" s="440"/>
      <c r="AC65" s="440"/>
      <c r="AD65" s="440"/>
      <c r="AE65" s="440"/>
      <c r="AF65" s="440"/>
      <c r="AG65" s="440"/>
      <c r="AH65" s="440"/>
      <c r="AI65" s="440"/>
    </row>
    <row r="66" spans="1:35" ht="10.5" customHeight="1" x14ac:dyDescent="0.25">
      <c r="A66" s="510"/>
      <c r="B66" s="510"/>
      <c r="C66" s="510"/>
      <c r="D66" s="510"/>
      <c r="E66" s="510"/>
      <c r="F66" s="510"/>
      <c r="G66" s="510"/>
      <c r="H66" s="510"/>
      <c r="I66" s="510"/>
      <c r="J66" s="440"/>
      <c r="K66" s="440"/>
      <c r="L66" s="440"/>
      <c r="M66" s="440"/>
      <c r="N66" s="440"/>
      <c r="O66" s="440"/>
      <c r="P66" s="440"/>
      <c r="Q66" s="440"/>
      <c r="R66" s="440"/>
      <c r="S66" s="440"/>
      <c r="T66" s="440"/>
      <c r="U66" s="440"/>
      <c r="V66" s="440"/>
      <c r="W66" s="440"/>
      <c r="X66" s="440"/>
      <c r="Y66" s="440"/>
      <c r="Z66" s="440"/>
      <c r="AA66" s="440"/>
      <c r="AB66" s="440"/>
      <c r="AC66" s="440"/>
      <c r="AD66" s="440"/>
      <c r="AE66" s="440"/>
      <c r="AF66" s="440"/>
      <c r="AG66" s="440"/>
      <c r="AH66" s="440"/>
      <c r="AI66" s="440"/>
    </row>
    <row r="67" spans="1:35" ht="10.5" customHeight="1" x14ac:dyDescent="0.25">
      <c r="A67" s="510"/>
      <c r="B67" s="510"/>
      <c r="C67" s="510"/>
      <c r="D67" s="510"/>
      <c r="E67" s="510"/>
      <c r="F67" s="510"/>
      <c r="G67" s="510"/>
      <c r="H67" s="510"/>
      <c r="I67" s="510"/>
      <c r="J67" s="440"/>
      <c r="K67" s="440"/>
      <c r="L67" s="440"/>
      <c r="M67" s="440"/>
      <c r="N67" s="440"/>
      <c r="O67" s="440"/>
      <c r="P67" s="440"/>
      <c r="Q67" s="440"/>
      <c r="R67" s="440"/>
      <c r="S67" s="440"/>
      <c r="T67" s="440"/>
      <c r="U67" s="440"/>
      <c r="V67" s="440"/>
      <c r="W67" s="440"/>
      <c r="X67" s="440"/>
      <c r="Y67" s="440"/>
      <c r="Z67" s="440"/>
      <c r="AA67" s="440"/>
      <c r="AB67" s="440"/>
      <c r="AC67" s="440"/>
      <c r="AD67" s="440"/>
      <c r="AE67" s="440"/>
      <c r="AF67" s="440"/>
      <c r="AG67" s="440"/>
      <c r="AH67" s="440"/>
      <c r="AI67" s="440"/>
    </row>
    <row r="68" spans="1:35" ht="10.5" customHeight="1" x14ac:dyDescent="0.25">
      <c r="A68" s="510"/>
      <c r="B68" s="510"/>
      <c r="C68" s="510"/>
      <c r="D68" s="510"/>
      <c r="E68" s="510"/>
      <c r="F68" s="510"/>
      <c r="G68" s="510"/>
      <c r="H68" s="510"/>
      <c r="I68" s="510"/>
      <c r="J68" s="440"/>
      <c r="K68" s="440"/>
      <c r="L68" s="440"/>
      <c r="M68" s="440"/>
      <c r="N68" s="440"/>
      <c r="O68" s="440"/>
      <c r="P68" s="440"/>
      <c r="Q68" s="440"/>
      <c r="R68" s="440"/>
      <c r="S68" s="440"/>
      <c r="T68" s="440"/>
      <c r="U68" s="440"/>
      <c r="V68" s="440"/>
      <c r="W68" s="440"/>
      <c r="X68" s="440"/>
      <c r="Y68" s="440"/>
      <c r="Z68" s="440"/>
      <c r="AA68" s="440"/>
      <c r="AB68" s="440"/>
      <c r="AC68" s="440"/>
      <c r="AD68" s="440"/>
      <c r="AE68" s="440"/>
      <c r="AF68" s="440"/>
      <c r="AG68" s="440"/>
      <c r="AH68" s="440"/>
      <c r="AI68" s="440"/>
    </row>
    <row r="69" spans="1:35" ht="10.5" customHeight="1" x14ac:dyDescent="0.25">
      <c r="A69" s="510"/>
      <c r="B69" s="510"/>
      <c r="C69" s="510"/>
      <c r="D69" s="510"/>
      <c r="E69" s="510"/>
      <c r="F69" s="510"/>
      <c r="G69" s="510"/>
      <c r="H69" s="510"/>
      <c r="I69" s="510"/>
      <c r="J69" s="440"/>
      <c r="K69" s="440"/>
      <c r="L69" s="440"/>
      <c r="M69" s="440"/>
      <c r="N69" s="440"/>
      <c r="O69" s="440"/>
      <c r="P69" s="440"/>
      <c r="Q69" s="440"/>
      <c r="R69" s="440"/>
      <c r="S69" s="440"/>
      <c r="T69" s="440"/>
      <c r="U69" s="440"/>
      <c r="V69" s="440"/>
      <c r="W69" s="440"/>
      <c r="X69" s="440"/>
      <c r="Y69" s="440"/>
      <c r="Z69" s="440"/>
      <c r="AA69" s="440"/>
      <c r="AB69" s="440"/>
      <c r="AC69" s="440"/>
      <c r="AD69" s="440"/>
      <c r="AE69" s="440"/>
      <c r="AF69" s="440"/>
      <c r="AG69" s="440"/>
      <c r="AH69" s="440"/>
      <c r="AI69" s="440"/>
    </row>
    <row r="70" spans="1:35" ht="10.5" customHeight="1" x14ac:dyDescent="0.25">
      <c r="A70" s="510"/>
      <c r="B70" s="510"/>
      <c r="C70" s="510"/>
      <c r="D70" s="510"/>
      <c r="E70" s="510"/>
      <c r="F70" s="510"/>
      <c r="G70" s="510"/>
      <c r="H70" s="510"/>
      <c r="I70" s="510"/>
      <c r="J70" s="440"/>
      <c r="K70" s="440"/>
      <c r="L70" s="440"/>
      <c r="M70" s="440"/>
      <c r="N70" s="440"/>
      <c r="O70" s="440"/>
      <c r="P70" s="440"/>
      <c r="Q70" s="440"/>
      <c r="R70" s="440"/>
      <c r="S70" s="440"/>
      <c r="T70" s="440"/>
      <c r="U70" s="440"/>
      <c r="V70" s="440"/>
      <c r="W70" s="440"/>
      <c r="X70" s="440"/>
      <c r="Y70" s="440"/>
      <c r="Z70" s="440"/>
      <c r="AA70" s="440"/>
      <c r="AB70" s="440"/>
      <c r="AC70" s="440"/>
      <c r="AD70" s="440"/>
      <c r="AE70" s="440"/>
      <c r="AF70" s="440"/>
      <c r="AG70" s="440"/>
      <c r="AH70" s="440"/>
      <c r="AI70" s="440"/>
    </row>
    <row r="71" spans="1:35" ht="10.5" customHeight="1" x14ac:dyDescent="0.25">
      <c r="A71" s="510"/>
      <c r="B71" s="510"/>
      <c r="C71" s="510"/>
      <c r="D71" s="510"/>
      <c r="E71" s="510"/>
      <c r="F71" s="510"/>
      <c r="G71" s="510"/>
      <c r="H71" s="510"/>
      <c r="I71" s="510"/>
      <c r="J71" s="440"/>
      <c r="K71" s="440"/>
      <c r="L71" s="440"/>
      <c r="M71" s="440"/>
      <c r="N71" s="440"/>
      <c r="O71" s="440"/>
      <c r="P71" s="440"/>
      <c r="Q71" s="440"/>
      <c r="R71" s="440"/>
      <c r="S71" s="440"/>
      <c r="T71" s="440"/>
      <c r="U71" s="440"/>
      <c r="V71" s="440"/>
      <c r="W71" s="440"/>
      <c r="X71" s="440"/>
      <c r="Y71" s="440"/>
      <c r="Z71" s="440"/>
      <c r="AA71" s="440"/>
      <c r="AB71" s="440"/>
      <c r="AC71" s="440"/>
      <c r="AD71" s="440"/>
      <c r="AE71" s="440"/>
      <c r="AF71" s="440"/>
      <c r="AG71" s="440"/>
      <c r="AH71" s="440"/>
      <c r="AI71" s="440"/>
    </row>
    <row r="72" spans="1:35" ht="10.5" customHeight="1" x14ac:dyDescent="0.25">
      <c r="A72" s="510"/>
      <c r="B72" s="510"/>
      <c r="C72" s="510"/>
      <c r="D72" s="510"/>
      <c r="E72" s="510"/>
      <c r="F72" s="510"/>
      <c r="G72" s="510"/>
      <c r="H72" s="510"/>
      <c r="I72" s="510"/>
      <c r="J72" s="440"/>
      <c r="K72" s="440"/>
      <c r="L72" s="440"/>
      <c r="M72" s="440"/>
      <c r="N72" s="440"/>
      <c r="O72" s="440"/>
      <c r="P72" s="440"/>
      <c r="Q72" s="440"/>
      <c r="R72" s="440"/>
      <c r="S72" s="440"/>
      <c r="T72" s="440"/>
      <c r="U72" s="440"/>
      <c r="V72" s="440"/>
      <c r="W72" s="440"/>
      <c r="X72" s="440"/>
      <c r="Y72" s="440"/>
      <c r="Z72" s="440"/>
      <c r="AA72" s="440"/>
      <c r="AB72" s="440"/>
      <c r="AC72" s="440"/>
      <c r="AD72" s="440"/>
      <c r="AE72" s="440"/>
      <c r="AF72" s="440"/>
      <c r="AG72" s="440"/>
      <c r="AH72" s="440"/>
      <c r="AI72" s="440"/>
    </row>
    <row r="73" spans="1:35" ht="10.5" customHeight="1" x14ac:dyDescent="0.25">
      <c r="A73" s="510"/>
      <c r="B73" s="510"/>
      <c r="C73" s="510"/>
      <c r="D73" s="510"/>
      <c r="E73" s="510"/>
      <c r="F73" s="510"/>
      <c r="G73" s="510"/>
      <c r="H73" s="510"/>
      <c r="I73" s="510"/>
      <c r="J73" s="440"/>
      <c r="K73" s="440"/>
      <c r="L73" s="440"/>
      <c r="M73" s="440"/>
      <c r="N73" s="440"/>
      <c r="O73" s="440"/>
      <c r="P73" s="440"/>
      <c r="Q73" s="440"/>
      <c r="R73" s="440"/>
      <c r="S73" s="440"/>
      <c r="T73" s="440"/>
      <c r="U73" s="440"/>
      <c r="V73" s="440"/>
      <c r="W73" s="440"/>
      <c r="X73" s="440"/>
      <c r="Y73" s="440"/>
      <c r="Z73" s="440"/>
      <c r="AA73" s="440"/>
      <c r="AB73" s="440"/>
      <c r="AC73" s="440"/>
      <c r="AD73" s="440"/>
      <c r="AE73" s="440"/>
      <c r="AF73" s="440"/>
      <c r="AG73" s="440"/>
      <c r="AH73" s="440"/>
      <c r="AI73" s="440"/>
    </row>
    <row r="74" spans="1:35" ht="10.5" customHeight="1" x14ac:dyDescent="0.25">
      <c r="A74" s="510"/>
      <c r="B74" s="510"/>
      <c r="C74" s="510"/>
      <c r="D74" s="510"/>
      <c r="E74" s="510"/>
      <c r="F74" s="510"/>
      <c r="G74" s="510"/>
      <c r="H74" s="510"/>
      <c r="I74" s="510"/>
      <c r="J74" s="440"/>
      <c r="K74" s="440"/>
      <c r="L74" s="440"/>
      <c r="M74" s="440"/>
      <c r="N74" s="440"/>
      <c r="O74" s="440"/>
      <c r="P74" s="440"/>
      <c r="Q74" s="440"/>
      <c r="R74" s="440"/>
      <c r="S74" s="440"/>
      <c r="T74" s="440"/>
      <c r="U74" s="440"/>
      <c r="V74" s="440"/>
      <c r="W74" s="440"/>
      <c r="X74" s="440"/>
      <c r="Y74" s="440"/>
      <c r="Z74" s="440"/>
      <c r="AA74" s="440"/>
      <c r="AB74" s="440"/>
      <c r="AC74" s="440"/>
      <c r="AD74" s="440"/>
      <c r="AE74" s="440"/>
      <c r="AF74" s="440"/>
      <c r="AG74" s="440"/>
      <c r="AH74" s="440"/>
      <c r="AI74" s="440"/>
    </row>
    <row r="75" spans="1:35" ht="10.5" customHeight="1" x14ac:dyDescent="0.25">
      <c r="A75" s="510"/>
      <c r="B75" s="510"/>
      <c r="C75" s="510"/>
      <c r="D75" s="510"/>
      <c r="E75" s="510"/>
      <c r="F75" s="510"/>
      <c r="G75" s="510"/>
      <c r="H75" s="510"/>
      <c r="I75" s="510"/>
      <c r="J75" s="440"/>
      <c r="K75" s="440"/>
      <c r="L75" s="440"/>
      <c r="M75" s="440"/>
      <c r="N75" s="440"/>
      <c r="O75" s="440"/>
      <c r="P75" s="440"/>
      <c r="Q75" s="440"/>
      <c r="R75" s="440"/>
      <c r="S75" s="440"/>
      <c r="T75" s="440"/>
      <c r="U75" s="440"/>
      <c r="V75" s="440"/>
      <c r="W75" s="440"/>
      <c r="X75" s="440"/>
      <c r="Y75" s="440"/>
      <c r="Z75" s="440"/>
      <c r="AA75" s="440"/>
      <c r="AB75" s="440"/>
      <c r="AC75" s="440"/>
      <c r="AD75" s="440"/>
      <c r="AE75" s="440"/>
      <c r="AF75" s="440"/>
      <c r="AG75" s="440"/>
      <c r="AH75" s="440"/>
      <c r="AI75" s="440"/>
    </row>
    <row r="76" spans="1:35" ht="10.5" customHeight="1" x14ac:dyDescent="0.25">
      <c r="A76" s="510"/>
      <c r="B76" s="510"/>
      <c r="C76" s="510"/>
      <c r="D76" s="510"/>
      <c r="E76" s="510"/>
      <c r="F76" s="510"/>
      <c r="G76" s="510"/>
      <c r="H76" s="510"/>
      <c r="I76" s="510"/>
      <c r="J76" s="440"/>
      <c r="K76" s="440"/>
      <c r="L76" s="440"/>
      <c r="M76" s="440"/>
      <c r="N76" s="440"/>
      <c r="O76" s="440"/>
      <c r="P76" s="440"/>
      <c r="Q76" s="440"/>
      <c r="R76" s="440"/>
      <c r="S76" s="440"/>
      <c r="T76" s="440"/>
      <c r="U76" s="440"/>
      <c r="V76" s="440"/>
      <c r="W76" s="440"/>
      <c r="X76" s="440"/>
      <c r="Y76" s="440"/>
      <c r="Z76" s="440"/>
      <c r="AA76" s="440"/>
      <c r="AB76" s="440"/>
      <c r="AC76" s="440"/>
      <c r="AD76" s="440"/>
      <c r="AE76" s="440"/>
      <c r="AF76" s="440"/>
      <c r="AG76" s="440"/>
      <c r="AH76" s="440"/>
      <c r="AI76" s="440"/>
    </row>
    <row r="77" spans="1:35" ht="10.5" customHeight="1" x14ac:dyDescent="0.25">
      <c r="A77" s="510"/>
      <c r="B77" s="510"/>
      <c r="C77" s="510"/>
      <c r="D77" s="510"/>
      <c r="E77" s="510"/>
      <c r="F77" s="510"/>
      <c r="G77" s="510"/>
      <c r="H77" s="510"/>
      <c r="I77" s="510"/>
      <c r="J77" s="440"/>
      <c r="K77" s="440"/>
      <c r="L77" s="440"/>
      <c r="M77" s="440"/>
      <c r="N77" s="440"/>
      <c r="O77" s="440"/>
      <c r="P77" s="440"/>
      <c r="Q77" s="440"/>
      <c r="R77" s="440"/>
      <c r="S77" s="440"/>
      <c r="T77" s="440"/>
      <c r="U77" s="440"/>
      <c r="V77" s="440"/>
      <c r="W77" s="440"/>
      <c r="X77" s="440"/>
      <c r="Y77" s="440"/>
      <c r="Z77" s="440"/>
      <c r="AA77" s="440"/>
      <c r="AB77" s="440"/>
      <c r="AC77" s="440"/>
      <c r="AD77" s="440"/>
      <c r="AE77" s="440"/>
      <c r="AF77" s="440"/>
      <c r="AG77" s="440"/>
      <c r="AH77" s="440"/>
      <c r="AI77" s="440"/>
    </row>
    <row r="78" spans="1:35" ht="10.5" customHeight="1" x14ac:dyDescent="0.25">
      <c r="A78" s="510"/>
      <c r="B78" s="510"/>
      <c r="C78" s="510"/>
      <c r="D78" s="510"/>
      <c r="E78" s="510"/>
      <c r="F78" s="510"/>
      <c r="G78" s="510"/>
      <c r="H78" s="510"/>
      <c r="I78" s="510"/>
      <c r="J78" s="440"/>
      <c r="K78" s="440"/>
      <c r="L78" s="440"/>
      <c r="M78" s="440"/>
      <c r="N78" s="440"/>
      <c r="O78" s="440"/>
      <c r="P78" s="440"/>
      <c r="Q78" s="440"/>
      <c r="R78" s="440"/>
      <c r="S78" s="440"/>
      <c r="T78" s="440"/>
      <c r="U78" s="440"/>
      <c r="V78" s="440"/>
      <c r="W78" s="440"/>
      <c r="X78" s="440"/>
      <c r="Y78" s="440"/>
      <c r="Z78" s="440"/>
      <c r="AA78" s="440"/>
      <c r="AB78" s="440"/>
      <c r="AC78" s="440"/>
      <c r="AD78" s="440"/>
      <c r="AE78" s="440"/>
      <c r="AF78" s="440"/>
      <c r="AG78" s="440"/>
      <c r="AH78" s="440"/>
      <c r="AI78" s="440"/>
    </row>
    <row r="79" spans="1:35" ht="10.5" customHeight="1" x14ac:dyDescent="0.25">
      <c r="A79" s="510"/>
      <c r="B79" s="510"/>
      <c r="C79" s="510"/>
      <c r="D79" s="510"/>
      <c r="E79" s="510"/>
      <c r="F79" s="510"/>
      <c r="G79" s="510"/>
      <c r="H79" s="510"/>
      <c r="I79" s="510"/>
      <c r="J79" s="440"/>
      <c r="K79" s="440"/>
      <c r="L79" s="440"/>
      <c r="M79" s="440"/>
      <c r="N79" s="440"/>
      <c r="O79" s="440"/>
      <c r="P79" s="440"/>
      <c r="Q79" s="440"/>
      <c r="R79" s="440"/>
      <c r="S79" s="440"/>
      <c r="T79" s="440"/>
      <c r="U79" s="440"/>
      <c r="V79" s="440"/>
      <c r="W79" s="440"/>
      <c r="X79" s="440"/>
      <c r="Y79" s="440"/>
      <c r="Z79" s="440"/>
      <c r="AA79" s="440"/>
      <c r="AB79" s="440"/>
      <c r="AC79" s="440"/>
      <c r="AD79" s="440"/>
      <c r="AE79" s="440"/>
      <c r="AF79" s="440"/>
      <c r="AG79" s="440"/>
      <c r="AH79" s="440"/>
      <c r="AI79" s="440"/>
    </row>
    <row r="80" spans="1:35" ht="10.5" customHeight="1" x14ac:dyDescent="0.25">
      <c r="A80" s="510"/>
      <c r="B80" s="510"/>
      <c r="C80" s="510"/>
      <c r="D80" s="510"/>
      <c r="E80" s="510"/>
      <c r="F80" s="510"/>
      <c r="G80" s="510"/>
      <c r="H80" s="510"/>
      <c r="I80" s="510"/>
      <c r="J80" s="440"/>
      <c r="K80" s="440"/>
      <c r="L80" s="440"/>
      <c r="M80" s="440"/>
      <c r="N80" s="440"/>
      <c r="O80" s="440"/>
      <c r="P80" s="440"/>
      <c r="Q80" s="440"/>
      <c r="R80" s="440"/>
      <c r="S80" s="440"/>
      <c r="T80" s="440"/>
      <c r="U80" s="440"/>
      <c r="V80" s="440"/>
      <c r="W80" s="440"/>
      <c r="X80" s="440"/>
      <c r="Y80" s="440"/>
      <c r="Z80" s="440"/>
      <c r="AA80" s="440"/>
      <c r="AB80" s="440"/>
      <c r="AC80" s="440"/>
      <c r="AD80" s="440"/>
      <c r="AE80" s="440"/>
      <c r="AF80" s="440"/>
      <c r="AG80" s="440"/>
      <c r="AH80" s="440"/>
      <c r="AI80" s="440"/>
    </row>
    <row r="81" spans="1:35" ht="10.5" customHeight="1" x14ac:dyDescent="0.25">
      <c r="A81" s="510"/>
      <c r="B81" s="510"/>
      <c r="C81" s="510"/>
      <c r="D81" s="510"/>
      <c r="E81" s="510"/>
      <c r="F81" s="510"/>
      <c r="G81" s="510"/>
      <c r="H81" s="510"/>
      <c r="I81" s="510"/>
      <c r="J81" s="440"/>
      <c r="K81" s="440"/>
      <c r="L81" s="440"/>
      <c r="M81" s="440"/>
      <c r="N81" s="440"/>
      <c r="O81" s="440"/>
      <c r="P81" s="440"/>
      <c r="Q81" s="440"/>
      <c r="R81" s="440"/>
      <c r="S81" s="440"/>
      <c r="T81" s="440"/>
      <c r="U81" s="440"/>
      <c r="V81" s="440"/>
      <c r="W81" s="440"/>
      <c r="X81" s="440"/>
      <c r="Y81" s="440"/>
      <c r="Z81" s="440"/>
      <c r="AA81" s="440"/>
      <c r="AB81" s="440"/>
      <c r="AC81" s="440"/>
      <c r="AD81" s="440"/>
      <c r="AE81" s="440"/>
      <c r="AF81" s="440"/>
      <c r="AG81" s="440"/>
      <c r="AH81" s="440"/>
      <c r="AI81" s="440"/>
    </row>
    <row r="82" spans="1:35" ht="10.5" customHeight="1" x14ac:dyDescent="0.25">
      <c r="A82" s="510"/>
      <c r="B82" s="510"/>
      <c r="C82" s="510"/>
      <c r="D82" s="510"/>
      <c r="E82" s="510"/>
      <c r="F82" s="510"/>
      <c r="G82" s="510"/>
      <c r="H82" s="510"/>
      <c r="I82" s="510"/>
      <c r="J82" s="440"/>
      <c r="K82" s="440"/>
      <c r="L82" s="440"/>
      <c r="M82" s="440"/>
      <c r="N82" s="440"/>
      <c r="O82" s="440"/>
      <c r="P82" s="440"/>
      <c r="Q82" s="440"/>
      <c r="R82" s="440"/>
      <c r="S82" s="440"/>
      <c r="T82" s="440"/>
      <c r="U82" s="440"/>
      <c r="V82" s="440"/>
      <c r="W82" s="440"/>
      <c r="X82" s="440"/>
      <c r="Y82" s="440"/>
      <c r="Z82" s="440"/>
      <c r="AA82" s="440"/>
      <c r="AB82" s="440"/>
      <c r="AC82" s="440"/>
      <c r="AD82" s="440"/>
      <c r="AE82" s="440"/>
      <c r="AF82" s="440"/>
      <c r="AG82" s="440"/>
      <c r="AH82" s="440"/>
      <c r="AI82" s="440"/>
    </row>
    <row r="83" spans="1:35" ht="10.5" customHeight="1" x14ac:dyDescent="0.25">
      <c r="A83" s="510"/>
      <c r="B83" s="510"/>
      <c r="C83" s="510"/>
      <c r="D83" s="510"/>
      <c r="E83" s="510"/>
      <c r="F83" s="510"/>
      <c r="G83" s="510"/>
      <c r="H83" s="510"/>
      <c r="I83" s="510"/>
      <c r="J83" s="440"/>
      <c r="K83" s="440"/>
      <c r="L83" s="440"/>
      <c r="M83" s="440"/>
      <c r="N83" s="440"/>
      <c r="O83" s="440"/>
      <c r="P83" s="440"/>
      <c r="Q83" s="440"/>
      <c r="R83" s="440"/>
      <c r="S83" s="440"/>
      <c r="T83" s="440"/>
      <c r="U83" s="440"/>
      <c r="V83" s="440"/>
      <c r="W83" s="440"/>
      <c r="X83" s="440"/>
      <c r="Y83" s="440"/>
      <c r="Z83" s="440"/>
      <c r="AA83" s="440"/>
      <c r="AB83" s="440"/>
      <c r="AC83" s="440"/>
      <c r="AD83" s="440"/>
      <c r="AE83" s="440"/>
      <c r="AF83" s="440"/>
      <c r="AG83" s="440"/>
      <c r="AH83" s="440"/>
      <c r="AI83" s="440"/>
    </row>
  </sheetData>
  <mergeCells count="1066">
    <mergeCell ref="A63:I63"/>
    <mergeCell ref="A64:I64"/>
    <mergeCell ref="A65:I65"/>
    <mergeCell ref="A54:I54"/>
    <mergeCell ref="A55:I55"/>
    <mergeCell ref="A56:I56"/>
    <mergeCell ref="A57:I57"/>
    <mergeCell ref="A58:I58"/>
    <mergeCell ref="A46:I46"/>
    <mergeCell ref="A47:I47"/>
    <mergeCell ref="A36:I36"/>
    <mergeCell ref="A37:I37"/>
    <mergeCell ref="A38:I38"/>
    <mergeCell ref="A39:I39"/>
    <mergeCell ref="A40:I40"/>
    <mergeCell ref="A41:I41"/>
    <mergeCell ref="A51:I51"/>
    <mergeCell ref="A52:I52"/>
    <mergeCell ref="A53:I53"/>
    <mergeCell ref="A60:I60"/>
    <mergeCell ref="A61:I61"/>
    <mergeCell ref="A62:I62"/>
    <mergeCell ref="A59:I59"/>
    <mergeCell ref="A48:I48"/>
    <mergeCell ref="A49:I49"/>
    <mergeCell ref="A50:I50"/>
    <mergeCell ref="A79:I79"/>
    <mergeCell ref="A80:I80"/>
    <mergeCell ref="A81:I81"/>
    <mergeCell ref="A82:I82"/>
    <mergeCell ref="A83:I83"/>
    <mergeCell ref="A72:I72"/>
    <mergeCell ref="A73:I73"/>
    <mergeCell ref="A74:I74"/>
    <mergeCell ref="A75:I75"/>
    <mergeCell ref="A76:I76"/>
    <mergeCell ref="A77:I77"/>
    <mergeCell ref="A78:I78"/>
    <mergeCell ref="A66:I66"/>
    <mergeCell ref="A67:I67"/>
    <mergeCell ref="A68:I68"/>
    <mergeCell ref="A69:I69"/>
    <mergeCell ref="A70:I70"/>
    <mergeCell ref="A71:I71"/>
    <mergeCell ref="A18:I18"/>
    <mergeCell ref="A19:I19"/>
    <mergeCell ref="A20:I20"/>
    <mergeCell ref="A21:I21"/>
    <mergeCell ref="A22:I22"/>
    <mergeCell ref="A23:I23"/>
    <mergeCell ref="A12:I12"/>
    <mergeCell ref="A13:I13"/>
    <mergeCell ref="A14:I14"/>
    <mergeCell ref="A15:I15"/>
    <mergeCell ref="A16:I16"/>
    <mergeCell ref="A17:I17"/>
    <mergeCell ref="A30:I30"/>
    <mergeCell ref="A31:I31"/>
    <mergeCell ref="A32:I32"/>
    <mergeCell ref="A33:I33"/>
    <mergeCell ref="A34:I34"/>
    <mergeCell ref="A35:I35"/>
    <mergeCell ref="A24:I24"/>
    <mergeCell ref="A25:I25"/>
    <mergeCell ref="A26:I26"/>
    <mergeCell ref="A27:I27"/>
    <mergeCell ref="A28:I28"/>
    <mergeCell ref="A29:I29"/>
    <mergeCell ref="A42:I42"/>
    <mergeCell ref="A43:I43"/>
    <mergeCell ref="A44:I44"/>
    <mergeCell ref="A45:I45"/>
    <mergeCell ref="A4:AI4"/>
    <mergeCell ref="A5:AI5"/>
    <mergeCell ref="A8:I8"/>
    <mergeCell ref="A9:I9"/>
    <mergeCell ref="A10:I10"/>
    <mergeCell ref="A11:I11"/>
    <mergeCell ref="J8:K8"/>
    <mergeCell ref="L8:M8"/>
    <mergeCell ref="N8:O8"/>
    <mergeCell ref="P8:Q8"/>
    <mergeCell ref="J9:K9"/>
    <mergeCell ref="L9:M9"/>
    <mergeCell ref="N9:O9"/>
    <mergeCell ref="P9:Q9"/>
    <mergeCell ref="R9:S9"/>
    <mergeCell ref="T9:U9"/>
    <mergeCell ref="V9:W9"/>
    <mergeCell ref="R8:S8"/>
    <mergeCell ref="T8:U8"/>
    <mergeCell ref="V8:W8"/>
    <mergeCell ref="X9:Y9"/>
    <mergeCell ref="Z9:AA9"/>
    <mergeCell ref="AB9:AC9"/>
    <mergeCell ref="AD9:AE9"/>
    <mergeCell ref="AF9:AG9"/>
    <mergeCell ref="AH9:AI9"/>
    <mergeCell ref="AD8:AE8"/>
    <mergeCell ref="AF8:AG8"/>
    <mergeCell ref="AH8:AI8"/>
    <mergeCell ref="X8:Y8"/>
    <mergeCell ref="Z8:AA8"/>
    <mergeCell ref="AB8:AC8"/>
    <mergeCell ref="AB10:AC10"/>
    <mergeCell ref="AD10:AE10"/>
    <mergeCell ref="AF10:AG10"/>
    <mergeCell ref="AH10:AI10"/>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J10:K10"/>
    <mergeCell ref="L10:M10"/>
    <mergeCell ref="N10:O10"/>
    <mergeCell ref="P10:Q10"/>
    <mergeCell ref="R10:S10"/>
    <mergeCell ref="T10:U10"/>
    <mergeCell ref="V10:W10"/>
    <mergeCell ref="X10:Y10"/>
    <mergeCell ref="Z10:AA10"/>
    <mergeCell ref="AB12:AC12"/>
    <mergeCell ref="AD12:AE12"/>
    <mergeCell ref="AF12:AG12"/>
    <mergeCell ref="AH12:AI12"/>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J12:K12"/>
    <mergeCell ref="L12:M12"/>
    <mergeCell ref="N12:O12"/>
    <mergeCell ref="P12:Q12"/>
    <mergeCell ref="R12:S12"/>
    <mergeCell ref="T12:U12"/>
    <mergeCell ref="V12:W12"/>
    <mergeCell ref="X12:Y12"/>
    <mergeCell ref="Z12:AA12"/>
    <mergeCell ref="AB14:AC14"/>
    <mergeCell ref="AD14:AE14"/>
    <mergeCell ref="AF14:AG14"/>
    <mergeCell ref="AH14:AI14"/>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J14:K14"/>
    <mergeCell ref="L14:M14"/>
    <mergeCell ref="N14:O14"/>
    <mergeCell ref="P14:Q14"/>
    <mergeCell ref="R14:S14"/>
    <mergeCell ref="T14:U14"/>
    <mergeCell ref="V14:W14"/>
    <mergeCell ref="X14:Y14"/>
    <mergeCell ref="Z14:AA14"/>
    <mergeCell ref="AB16:AC16"/>
    <mergeCell ref="AD16:AE16"/>
    <mergeCell ref="AF16:AG16"/>
    <mergeCell ref="AH16:AI16"/>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J16:K16"/>
    <mergeCell ref="L16:M16"/>
    <mergeCell ref="N16:O16"/>
    <mergeCell ref="P16:Q16"/>
    <mergeCell ref="R16:S16"/>
    <mergeCell ref="T16:U16"/>
    <mergeCell ref="V16:W16"/>
    <mergeCell ref="X16:Y16"/>
    <mergeCell ref="Z16:AA16"/>
    <mergeCell ref="AB18:AC18"/>
    <mergeCell ref="AD18:AE18"/>
    <mergeCell ref="AF18:AG18"/>
    <mergeCell ref="AH18:AI18"/>
    <mergeCell ref="J19:K19"/>
    <mergeCell ref="L19:M19"/>
    <mergeCell ref="N19:O19"/>
    <mergeCell ref="P19:Q19"/>
    <mergeCell ref="R19:S19"/>
    <mergeCell ref="T19:U19"/>
    <mergeCell ref="V19:W19"/>
    <mergeCell ref="X19:Y19"/>
    <mergeCell ref="Z19:AA19"/>
    <mergeCell ref="AB19:AC19"/>
    <mergeCell ref="AD19:AE19"/>
    <mergeCell ref="AF19:AG19"/>
    <mergeCell ref="AH19:AI19"/>
    <mergeCell ref="J18:K18"/>
    <mergeCell ref="L18:M18"/>
    <mergeCell ref="N18:O18"/>
    <mergeCell ref="P18:Q18"/>
    <mergeCell ref="R18:S18"/>
    <mergeCell ref="T18:U18"/>
    <mergeCell ref="V18:W18"/>
    <mergeCell ref="X18:Y18"/>
    <mergeCell ref="Z18:AA18"/>
    <mergeCell ref="AB20:AC20"/>
    <mergeCell ref="AD20:AE20"/>
    <mergeCell ref="AF20:AG20"/>
    <mergeCell ref="AH20:AI20"/>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J20:K20"/>
    <mergeCell ref="L20:M20"/>
    <mergeCell ref="N20:O20"/>
    <mergeCell ref="P20:Q20"/>
    <mergeCell ref="R20:S20"/>
    <mergeCell ref="T20:U20"/>
    <mergeCell ref="V20:W20"/>
    <mergeCell ref="X20:Y20"/>
    <mergeCell ref="Z20:AA20"/>
    <mergeCell ref="AB22:AC22"/>
    <mergeCell ref="AD22:AE22"/>
    <mergeCell ref="AF22:AG22"/>
    <mergeCell ref="AH22:AI22"/>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J22:K22"/>
    <mergeCell ref="L22:M22"/>
    <mergeCell ref="N22:O22"/>
    <mergeCell ref="P22:Q22"/>
    <mergeCell ref="R22:S22"/>
    <mergeCell ref="T22:U22"/>
    <mergeCell ref="V22:W22"/>
    <mergeCell ref="X22:Y22"/>
    <mergeCell ref="Z22:AA22"/>
    <mergeCell ref="AB24:AC24"/>
    <mergeCell ref="AD24:AE24"/>
    <mergeCell ref="AF24:AG24"/>
    <mergeCell ref="AH24:AI24"/>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J24:K24"/>
    <mergeCell ref="L24:M24"/>
    <mergeCell ref="N24:O24"/>
    <mergeCell ref="P24:Q24"/>
    <mergeCell ref="R24:S24"/>
    <mergeCell ref="T24:U24"/>
    <mergeCell ref="V24:W24"/>
    <mergeCell ref="X24:Y24"/>
    <mergeCell ref="Z24:AA24"/>
    <mergeCell ref="AB26:AC26"/>
    <mergeCell ref="AD26:AE26"/>
    <mergeCell ref="AF26:AG26"/>
    <mergeCell ref="AH26:AI26"/>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J26:K26"/>
    <mergeCell ref="L26:M26"/>
    <mergeCell ref="N26:O26"/>
    <mergeCell ref="P26:Q26"/>
    <mergeCell ref="R26:S26"/>
    <mergeCell ref="T26:U26"/>
    <mergeCell ref="V26:W26"/>
    <mergeCell ref="X26:Y26"/>
    <mergeCell ref="Z26:AA26"/>
    <mergeCell ref="AB28:AC28"/>
    <mergeCell ref="AD28:AE28"/>
    <mergeCell ref="AF28:AG28"/>
    <mergeCell ref="AH28:AI28"/>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J28:K28"/>
    <mergeCell ref="L28:M28"/>
    <mergeCell ref="N28:O28"/>
    <mergeCell ref="P28:Q28"/>
    <mergeCell ref="R28:S28"/>
    <mergeCell ref="T28:U28"/>
    <mergeCell ref="V28:W28"/>
    <mergeCell ref="X28:Y28"/>
    <mergeCell ref="Z28:AA28"/>
    <mergeCell ref="AB30:AC30"/>
    <mergeCell ref="AD30:AE30"/>
    <mergeCell ref="AF30:AG30"/>
    <mergeCell ref="AH30:AI30"/>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J30:K30"/>
    <mergeCell ref="L30:M30"/>
    <mergeCell ref="N30:O30"/>
    <mergeCell ref="P30:Q30"/>
    <mergeCell ref="R30:S30"/>
    <mergeCell ref="T30:U30"/>
    <mergeCell ref="V30:W30"/>
    <mergeCell ref="X30:Y30"/>
    <mergeCell ref="Z30:AA30"/>
    <mergeCell ref="AB32:AC32"/>
    <mergeCell ref="AD32:AE32"/>
    <mergeCell ref="AF32:AG32"/>
    <mergeCell ref="AH32:AI32"/>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J32:K32"/>
    <mergeCell ref="L32:M32"/>
    <mergeCell ref="N32:O32"/>
    <mergeCell ref="P32:Q32"/>
    <mergeCell ref="R32:S32"/>
    <mergeCell ref="T32:U32"/>
    <mergeCell ref="V32:W32"/>
    <mergeCell ref="X32:Y32"/>
    <mergeCell ref="Z32:AA32"/>
    <mergeCell ref="AB34:AC34"/>
    <mergeCell ref="AD34:AE34"/>
    <mergeCell ref="AF34:AG34"/>
    <mergeCell ref="AH34:AI34"/>
    <mergeCell ref="J35:K35"/>
    <mergeCell ref="L35:M35"/>
    <mergeCell ref="N35:O35"/>
    <mergeCell ref="P35:Q35"/>
    <mergeCell ref="R35:S35"/>
    <mergeCell ref="T35:U35"/>
    <mergeCell ref="V35:W35"/>
    <mergeCell ref="X35:Y35"/>
    <mergeCell ref="Z35:AA35"/>
    <mergeCell ref="AB35:AC35"/>
    <mergeCell ref="AD35:AE35"/>
    <mergeCell ref="AF35:AG35"/>
    <mergeCell ref="AH35:AI35"/>
    <mergeCell ref="J34:K34"/>
    <mergeCell ref="L34:M34"/>
    <mergeCell ref="N34:O34"/>
    <mergeCell ref="P34:Q34"/>
    <mergeCell ref="R34:S34"/>
    <mergeCell ref="T34:U34"/>
    <mergeCell ref="V34:W34"/>
    <mergeCell ref="X34:Y34"/>
    <mergeCell ref="Z34:AA34"/>
    <mergeCell ref="AB36:AC36"/>
    <mergeCell ref="AD36:AE36"/>
    <mergeCell ref="AF36:AG36"/>
    <mergeCell ref="AH36:AI36"/>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J36:K36"/>
    <mergeCell ref="L36:M36"/>
    <mergeCell ref="N36:O36"/>
    <mergeCell ref="P36:Q36"/>
    <mergeCell ref="R36:S36"/>
    <mergeCell ref="T36:U36"/>
    <mergeCell ref="V36:W36"/>
    <mergeCell ref="X36:Y36"/>
    <mergeCell ref="Z36:AA36"/>
    <mergeCell ref="AB38:AC38"/>
    <mergeCell ref="AD38:AE38"/>
    <mergeCell ref="AF38:AG38"/>
    <mergeCell ref="AH38:AI38"/>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J38:K38"/>
    <mergeCell ref="L38:M38"/>
    <mergeCell ref="N38:O38"/>
    <mergeCell ref="P38:Q38"/>
    <mergeCell ref="R38:S38"/>
    <mergeCell ref="T38:U38"/>
    <mergeCell ref="V38:W38"/>
    <mergeCell ref="X38:Y38"/>
    <mergeCell ref="Z38:AA38"/>
    <mergeCell ref="AB40:AC40"/>
    <mergeCell ref="AD40:AE40"/>
    <mergeCell ref="AF40:AG40"/>
    <mergeCell ref="AH40:AI40"/>
    <mergeCell ref="J41:K41"/>
    <mergeCell ref="L41:M41"/>
    <mergeCell ref="N41:O41"/>
    <mergeCell ref="P41:Q41"/>
    <mergeCell ref="R41:S41"/>
    <mergeCell ref="T41:U41"/>
    <mergeCell ref="V41:W41"/>
    <mergeCell ref="X41:Y41"/>
    <mergeCell ref="Z41:AA41"/>
    <mergeCell ref="AB41:AC41"/>
    <mergeCell ref="AD41:AE41"/>
    <mergeCell ref="AF41:AG41"/>
    <mergeCell ref="AH41:AI41"/>
    <mergeCell ref="J40:K40"/>
    <mergeCell ref="L40:M40"/>
    <mergeCell ref="N40:O40"/>
    <mergeCell ref="P40:Q40"/>
    <mergeCell ref="R40:S40"/>
    <mergeCell ref="T40:U40"/>
    <mergeCell ref="V40:W40"/>
    <mergeCell ref="X40:Y40"/>
    <mergeCell ref="Z40:AA40"/>
    <mergeCell ref="AB42:AC42"/>
    <mergeCell ref="AD42:AE42"/>
    <mergeCell ref="AF42:AG42"/>
    <mergeCell ref="AH42:AI42"/>
    <mergeCell ref="J43:K43"/>
    <mergeCell ref="L43:M43"/>
    <mergeCell ref="N43:O43"/>
    <mergeCell ref="P43:Q43"/>
    <mergeCell ref="R43:S43"/>
    <mergeCell ref="T43:U43"/>
    <mergeCell ref="V43:W43"/>
    <mergeCell ref="X43:Y43"/>
    <mergeCell ref="Z43:AA43"/>
    <mergeCell ref="AB43:AC43"/>
    <mergeCell ref="AD43:AE43"/>
    <mergeCell ref="AF43:AG43"/>
    <mergeCell ref="AH43:AI43"/>
    <mergeCell ref="J42:K42"/>
    <mergeCell ref="L42:M42"/>
    <mergeCell ref="N42:O42"/>
    <mergeCell ref="P42:Q42"/>
    <mergeCell ref="R42:S42"/>
    <mergeCell ref="T42:U42"/>
    <mergeCell ref="V42:W42"/>
    <mergeCell ref="X42:Y42"/>
    <mergeCell ref="Z42:AA42"/>
    <mergeCell ref="AB44:AC44"/>
    <mergeCell ref="AD44:AE44"/>
    <mergeCell ref="AF44:AG44"/>
    <mergeCell ref="AH44:AI44"/>
    <mergeCell ref="J45:K45"/>
    <mergeCell ref="L45:M45"/>
    <mergeCell ref="N45:O45"/>
    <mergeCell ref="P45:Q45"/>
    <mergeCell ref="R45:S45"/>
    <mergeCell ref="T45:U45"/>
    <mergeCell ref="V45:W45"/>
    <mergeCell ref="X45:Y45"/>
    <mergeCell ref="Z45:AA45"/>
    <mergeCell ref="AB45:AC45"/>
    <mergeCell ref="AD45:AE45"/>
    <mergeCell ref="AF45:AG45"/>
    <mergeCell ref="AH45:AI45"/>
    <mergeCell ref="J44:K44"/>
    <mergeCell ref="L44:M44"/>
    <mergeCell ref="N44:O44"/>
    <mergeCell ref="P44:Q44"/>
    <mergeCell ref="R44:S44"/>
    <mergeCell ref="T44:U44"/>
    <mergeCell ref="V44:W44"/>
    <mergeCell ref="X44:Y44"/>
    <mergeCell ref="Z44:AA44"/>
    <mergeCell ref="AB46:AC46"/>
    <mergeCell ref="AD46:AE46"/>
    <mergeCell ref="AF46:AG46"/>
    <mergeCell ref="AH46:AI46"/>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J46:K46"/>
    <mergeCell ref="L46:M46"/>
    <mergeCell ref="N46:O46"/>
    <mergeCell ref="P46:Q46"/>
    <mergeCell ref="R46:S46"/>
    <mergeCell ref="T46:U46"/>
    <mergeCell ref="V46:W46"/>
    <mergeCell ref="X46:Y46"/>
    <mergeCell ref="Z46:AA46"/>
    <mergeCell ref="AB48:AC48"/>
    <mergeCell ref="AD48:AE48"/>
    <mergeCell ref="AF48:AG48"/>
    <mergeCell ref="AH48:AI48"/>
    <mergeCell ref="J49:K49"/>
    <mergeCell ref="L49:M49"/>
    <mergeCell ref="N49:O49"/>
    <mergeCell ref="P49:Q49"/>
    <mergeCell ref="R49:S49"/>
    <mergeCell ref="T49:U49"/>
    <mergeCell ref="V49:W49"/>
    <mergeCell ref="X49:Y49"/>
    <mergeCell ref="Z49:AA49"/>
    <mergeCell ref="AB49:AC49"/>
    <mergeCell ref="AD49:AE49"/>
    <mergeCell ref="AF49:AG49"/>
    <mergeCell ref="AH49:AI49"/>
    <mergeCell ref="J48:K48"/>
    <mergeCell ref="L48:M48"/>
    <mergeCell ref="N48:O48"/>
    <mergeCell ref="P48:Q48"/>
    <mergeCell ref="R48:S48"/>
    <mergeCell ref="T48:U48"/>
    <mergeCell ref="V48:W48"/>
    <mergeCell ref="X48:Y48"/>
    <mergeCell ref="Z48:AA48"/>
    <mergeCell ref="AB50:AC50"/>
    <mergeCell ref="AD50:AE50"/>
    <mergeCell ref="AF50:AG50"/>
    <mergeCell ref="AH50:AI50"/>
    <mergeCell ref="J51:K51"/>
    <mergeCell ref="L51:M51"/>
    <mergeCell ref="N51:O51"/>
    <mergeCell ref="P51:Q51"/>
    <mergeCell ref="R51:S51"/>
    <mergeCell ref="T51:U51"/>
    <mergeCell ref="V51:W51"/>
    <mergeCell ref="X51:Y51"/>
    <mergeCell ref="Z51:AA51"/>
    <mergeCell ref="AB51:AC51"/>
    <mergeCell ref="AD51:AE51"/>
    <mergeCell ref="AF51:AG51"/>
    <mergeCell ref="AH51:AI51"/>
    <mergeCell ref="J50:K50"/>
    <mergeCell ref="L50:M50"/>
    <mergeCell ref="N50:O50"/>
    <mergeCell ref="P50:Q50"/>
    <mergeCell ref="R50:S50"/>
    <mergeCell ref="T50:U50"/>
    <mergeCell ref="V50:W50"/>
    <mergeCell ref="X50:Y50"/>
    <mergeCell ref="Z50:AA50"/>
    <mergeCell ref="AB52:AC52"/>
    <mergeCell ref="AD52:AE52"/>
    <mergeCell ref="AF52:AG52"/>
    <mergeCell ref="AH52:AI52"/>
    <mergeCell ref="J53:K53"/>
    <mergeCell ref="L53:M53"/>
    <mergeCell ref="N53:O53"/>
    <mergeCell ref="P53:Q53"/>
    <mergeCell ref="R53:S53"/>
    <mergeCell ref="T53:U53"/>
    <mergeCell ref="V53:W53"/>
    <mergeCell ref="X53:Y53"/>
    <mergeCell ref="Z53:AA53"/>
    <mergeCell ref="AB53:AC53"/>
    <mergeCell ref="AD53:AE53"/>
    <mergeCell ref="AF53:AG53"/>
    <mergeCell ref="AH53:AI53"/>
    <mergeCell ref="J52:K52"/>
    <mergeCell ref="L52:M52"/>
    <mergeCell ref="N52:O52"/>
    <mergeCell ref="P52:Q52"/>
    <mergeCell ref="R52:S52"/>
    <mergeCell ref="T52:U52"/>
    <mergeCell ref="V52:W52"/>
    <mergeCell ref="X52:Y52"/>
    <mergeCell ref="Z52:AA52"/>
    <mergeCell ref="AB54:AC54"/>
    <mergeCell ref="AD54:AE54"/>
    <mergeCell ref="AF54:AG54"/>
    <mergeCell ref="AH54:AI54"/>
    <mergeCell ref="J55:K55"/>
    <mergeCell ref="L55:M55"/>
    <mergeCell ref="N55:O55"/>
    <mergeCell ref="P55:Q55"/>
    <mergeCell ref="R55:S55"/>
    <mergeCell ref="T55:U55"/>
    <mergeCell ref="V55:W55"/>
    <mergeCell ref="X55:Y55"/>
    <mergeCell ref="Z55:AA55"/>
    <mergeCell ref="AB55:AC55"/>
    <mergeCell ref="AD55:AE55"/>
    <mergeCell ref="AF55:AG55"/>
    <mergeCell ref="AH55:AI55"/>
    <mergeCell ref="J54:K54"/>
    <mergeCell ref="L54:M54"/>
    <mergeCell ref="N54:O54"/>
    <mergeCell ref="P54:Q54"/>
    <mergeCell ref="R54:S54"/>
    <mergeCell ref="T54:U54"/>
    <mergeCell ref="V54:W54"/>
    <mergeCell ref="X54:Y54"/>
    <mergeCell ref="Z54:AA54"/>
    <mergeCell ref="AB56:AC56"/>
    <mergeCell ref="AD56:AE56"/>
    <mergeCell ref="AF56:AG56"/>
    <mergeCell ref="AH56:AI56"/>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J56:K56"/>
    <mergeCell ref="L56:M56"/>
    <mergeCell ref="N56:O56"/>
    <mergeCell ref="P56:Q56"/>
    <mergeCell ref="R56:S56"/>
    <mergeCell ref="T56:U56"/>
    <mergeCell ref="V56:W56"/>
    <mergeCell ref="X56:Y56"/>
    <mergeCell ref="Z56:AA56"/>
    <mergeCell ref="AB58:AC58"/>
    <mergeCell ref="AD58:AE58"/>
    <mergeCell ref="AF58:AG58"/>
    <mergeCell ref="AH58:AI58"/>
    <mergeCell ref="J59:K59"/>
    <mergeCell ref="L59:M59"/>
    <mergeCell ref="N59:O59"/>
    <mergeCell ref="P59:Q59"/>
    <mergeCell ref="R59:S59"/>
    <mergeCell ref="T59:U59"/>
    <mergeCell ref="V59:W59"/>
    <mergeCell ref="X59:Y59"/>
    <mergeCell ref="Z59:AA59"/>
    <mergeCell ref="AB59:AC59"/>
    <mergeCell ref="AD59:AE59"/>
    <mergeCell ref="AF59:AG59"/>
    <mergeCell ref="AH59:AI59"/>
    <mergeCell ref="J58:K58"/>
    <mergeCell ref="L58:M58"/>
    <mergeCell ref="N58:O58"/>
    <mergeCell ref="P58:Q58"/>
    <mergeCell ref="R58:S58"/>
    <mergeCell ref="T58:U58"/>
    <mergeCell ref="V58:W58"/>
    <mergeCell ref="X58:Y58"/>
    <mergeCell ref="Z58:AA58"/>
    <mergeCell ref="AB60:AC60"/>
    <mergeCell ref="AD60:AE60"/>
    <mergeCell ref="AF60:AG60"/>
    <mergeCell ref="AH60:AI60"/>
    <mergeCell ref="J61:K61"/>
    <mergeCell ref="L61:M61"/>
    <mergeCell ref="N61:O61"/>
    <mergeCell ref="P61:Q61"/>
    <mergeCell ref="R61:S61"/>
    <mergeCell ref="T61:U61"/>
    <mergeCell ref="V61:W61"/>
    <mergeCell ref="X61:Y61"/>
    <mergeCell ref="Z61:AA61"/>
    <mergeCell ref="AB61:AC61"/>
    <mergeCell ref="AD61:AE61"/>
    <mergeCell ref="AF61:AG61"/>
    <mergeCell ref="AH61:AI61"/>
    <mergeCell ref="J60:K60"/>
    <mergeCell ref="L60:M60"/>
    <mergeCell ref="N60:O60"/>
    <mergeCell ref="P60:Q60"/>
    <mergeCell ref="R60:S60"/>
    <mergeCell ref="T60:U60"/>
    <mergeCell ref="V60:W60"/>
    <mergeCell ref="X60:Y60"/>
    <mergeCell ref="Z60:AA60"/>
    <mergeCell ref="AB62:AC62"/>
    <mergeCell ref="AD62:AE62"/>
    <mergeCell ref="AF62:AG62"/>
    <mergeCell ref="AH62:AI62"/>
    <mergeCell ref="J63:K63"/>
    <mergeCell ref="L63:M63"/>
    <mergeCell ref="N63:O63"/>
    <mergeCell ref="P63:Q63"/>
    <mergeCell ref="R63:S63"/>
    <mergeCell ref="T63:U63"/>
    <mergeCell ref="V63:W63"/>
    <mergeCell ref="X63:Y63"/>
    <mergeCell ref="Z63:AA63"/>
    <mergeCell ref="AB63:AC63"/>
    <mergeCell ref="AD63:AE63"/>
    <mergeCell ref="AF63:AG63"/>
    <mergeCell ref="AH63:AI63"/>
    <mergeCell ref="J62:K62"/>
    <mergeCell ref="L62:M62"/>
    <mergeCell ref="N62:O62"/>
    <mergeCell ref="P62:Q62"/>
    <mergeCell ref="R62:S62"/>
    <mergeCell ref="T62:U62"/>
    <mergeCell ref="V62:W62"/>
    <mergeCell ref="X62:Y62"/>
    <mergeCell ref="Z62:AA62"/>
    <mergeCell ref="AB64:AC64"/>
    <mergeCell ref="AD64:AE64"/>
    <mergeCell ref="AF64:AG64"/>
    <mergeCell ref="AH64:AI64"/>
    <mergeCell ref="J65:K65"/>
    <mergeCell ref="L65:M65"/>
    <mergeCell ref="N65:O65"/>
    <mergeCell ref="P65:Q65"/>
    <mergeCell ref="R65:S65"/>
    <mergeCell ref="T65:U65"/>
    <mergeCell ref="V65:W65"/>
    <mergeCell ref="X65:Y65"/>
    <mergeCell ref="Z65:AA65"/>
    <mergeCell ref="AB65:AC65"/>
    <mergeCell ref="AD65:AE65"/>
    <mergeCell ref="AF65:AG65"/>
    <mergeCell ref="AH65:AI65"/>
    <mergeCell ref="J64:K64"/>
    <mergeCell ref="L64:M64"/>
    <mergeCell ref="N64:O64"/>
    <mergeCell ref="P64:Q64"/>
    <mergeCell ref="R64:S64"/>
    <mergeCell ref="T64:U64"/>
    <mergeCell ref="V64:W64"/>
    <mergeCell ref="X64:Y64"/>
    <mergeCell ref="Z64:AA64"/>
    <mergeCell ref="AB66:AC66"/>
    <mergeCell ref="AD66:AE66"/>
    <mergeCell ref="AF66:AG66"/>
    <mergeCell ref="AH66:AI66"/>
    <mergeCell ref="J67:K67"/>
    <mergeCell ref="L67:M67"/>
    <mergeCell ref="N67:O67"/>
    <mergeCell ref="P67:Q67"/>
    <mergeCell ref="R67:S67"/>
    <mergeCell ref="T67:U67"/>
    <mergeCell ref="V67:W67"/>
    <mergeCell ref="X67:Y67"/>
    <mergeCell ref="Z67:AA67"/>
    <mergeCell ref="AB67:AC67"/>
    <mergeCell ref="AD67:AE67"/>
    <mergeCell ref="AF67:AG67"/>
    <mergeCell ref="AH67:AI67"/>
    <mergeCell ref="J66:K66"/>
    <mergeCell ref="L66:M66"/>
    <mergeCell ref="N66:O66"/>
    <mergeCell ref="P66:Q66"/>
    <mergeCell ref="R66:S66"/>
    <mergeCell ref="T66:U66"/>
    <mergeCell ref="V66:W66"/>
    <mergeCell ref="X66:Y66"/>
    <mergeCell ref="Z66:AA66"/>
    <mergeCell ref="AB68:AC68"/>
    <mergeCell ref="AD68:AE68"/>
    <mergeCell ref="AF68:AG68"/>
    <mergeCell ref="AH68:AI68"/>
    <mergeCell ref="J69:K69"/>
    <mergeCell ref="L69:M69"/>
    <mergeCell ref="N69:O69"/>
    <mergeCell ref="P69:Q69"/>
    <mergeCell ref="R69:S69"/>
    <mergeCell ref="T69:U69"/>
    <mergeCell ref="V69:W69"/>
    <mergeCell ref="X69:Y69"/>
    <mergeCell ref="Z69:AA69"/>
    <mergeCell ref="AB69:AC69"/>
    <mergeCell ref="AD69:AE69"/>
    <mergeCell ref="AF69:AG69"/>
    <mergeCell ref="AH69:AI69"/>
    <mergeCell ref="J68:K68"/>
    <mergeCell ref="L68:M68"/>
    <mergeCell ref="N68:O68"/>
    <mergeCell ref="P68:Q68"/>
    <mergeCell ref="R68:S68"/>
    <mergeCell ref="T68:U68"/>
    <mergeCell ref="V68:W68"/>
    <mergeCell ref="X68:Y68"/>
    <mergeCell ref="Z68:AA68"/>
    <mergeCell ref="AB70:AC70"/>
    <mergeCell ref="AD70:AE70"/>
    <mergeCell ref="AF70:AG70"/>
    <mergeCell ref="AH70:AI70"/>
    <mergeCell ref="J71:K71"/>
    <mergeCell ref="L71:M71"/>
    <mergeCell ref="N71:O71"/>
    <mergeCell ref="P71:Q71"/>
    <mergeCell ref="R71:S71"/>
    <mergeCell ref="T71:U71"/>
    <mergeCell ref="V71:W71"/>
    <mergeCell ref="X71:Y71"/>
    <mergeCell ref="Z71:AA71"/>
    <mergeCell ref="AB71:AC71"/>
    <mergeCell ref="AD71:AE71"/>
    <mergeCell ref="AF71:AG71"/>
    <mergeCell ref="AH71:AI71"/>
    <mergeCell ref="J70:K70"/>
    <mergeCell ref="L70:M70"/>
    <mergeCell ref="N70:O70"/>
    <mergeCell ref="P70:Q70"/>
    <mergeCell ref="R70:S70"/>
    <mergeCell ref="T70:U70"/>
    <mergeCell ref="V70:W70"/>
    <mergeCell ref="X70:Y70"/>
    <mergeCell ref="Z70:AA70"/>
    <mergeCell ref="AB72:AC72"/>
    <mergeCell ref="AD72:AE72"/>
    <mergeCell ref="AF72:AG72"/>
    <mergeCell ref="AH72:AI72"/>
    <mergeCell ref="J73:K73"/>
    <mergeCell ref="L73:M73"/>
    <mergeCell ref="N73:O73"/>
    <mergeCell ref="P73:Q73"/>
    <mergeCell ref="R73:S73"/>
    <mergeCell ref="T73:U73"/>
    <mergeCell ref="V73:W73"/>
    <mergeCell ref="X73:Y73"/>
    <mergeCell ref="Z73:AA73"/>
    <mergeCell ref="AB73:AC73"/>
    <mergeCell ref="AD73:AE73"/>
    <mergeCell ref="AF73:AG73"/>
    <mergeCell ref="AH73:AI73"/>
    <mergeCell ref="J72:K72"/>
    <mergeCell ref="L72:M72"/>
    <mergeCell ref="N72:O72"/>
    <mergeCell ref="P72:Q72"/>
    <mergeCell ref="R72:S72"/>
    <mergeCell ref="T72:U72"/>
    <mergeCell ref="V72:W72"/>
    <mergeCell ref="X72:Y72"/>
    <mergeCell ref="Z72:AA72"/>
    <mergeCell ref="AB74:AC74"/>
    <mergeCell ref="AD74:AE74"/>
    <mergeCell ref="AF74:AG74"/>
    <mergeCell ref="AH74:AI74"/>
    <mergeCell ref="J75:K75"/>
    <mergeCell ref="L75:M75"/>
    <mergeCell ref="N75:O75"/>
    <mergeCell ref="P75:Q75"/>
    <mergeCell ref="R75:S75"/>
    <mergeCell ref="T75:U75"/>
    <mergeCell ref="V75:W75"/>
    <mergeCell ref="X75:Y75"/>
    <mergeCell ref="Z75:AA75"/>
    <mergeCell ref="AB75:AC75"/>
    <mergeCell ref="AD75:AE75"/>
    <mergeCell ref="AF75:AG75"/>
    <mergeCell ref="AH75:AI75"/>
    <mergeCell ref="J74:K74"/>
    <mergeCell ref="L74:M74"/>
    <mergeCell ref="N74:O74"/>
    <mergeCell ref="P74:Q74"/>
    <mergeCell ref="R74:S74"/>
    <mergeCell ref="T74:U74"/>
    <mergeCell ref="V74:W74"/>
    <mergeCell ref="X74:Y74"/>
    <mergeCell ref="Z74:AA74"/>
    <mergeCell ref="AB76:AC76"/>
    <mergeCell ref="AD76:AE76"/>
    <mergeCell ref="AF76:AG76"/>
    <mergeCell ref="AH76:AI76"/>
    <mergeCell ref="J77:K77"/>
    <mergeCell ref="L77:M77"/>
    <mergeCell ref="N77:O77"/>
    <mergeCell ref="P77:Q77"/>
    <mergeCell ref="R77:S77"/>
    <mergeCell ref="T77:U77"/>
    <mergeCell ref="V77:W77"/>
    <mergeCell ref="X77:Y77"/>
    <mergeCell ref="Z77:AA77"/>
    <mergeCell ref="AB77:AC77"/>
    <mergeCell ref="AD77:AE77"/>
    <mergeCell ref="AF77:AG77"/>
    <mergeCell ref="AH77:AI77"/>
    <mergeCell ref="J76:K76"/>
    <mergeCell ref="L76:M76"/>
    <mergeCell ref="N76:O76"/>
    <mergeCell ref="P76:Q76"/>
    <mergeCell ref="R76:S76"/>
    <mergeCell ref="T76:U76"/>
    <mergeCell ref="V76:W76"/>
    <mergeCell ref="X76:Y76"/>
    <mergeCell ref="Z76:AA76"/>
    <mergeCell ref="AB78:AC78"/>
    <mergeCell ref="AD78:AE78"/>
    <mergeCell ref="AF78:AG78"/>
    <mergeCell ref="AH78:AI78"/>
    <mergeCell ref="J79:K79"/>
    <mergeCell ref="L79:M79"/>
    <mergeCell ref="N79:O79"/>
    <mergeCell ref="P79:Q79"/>
    <mergeCell ref="R79:S79"/>
    <mergeCell ref="T79:U79"/>
    <mergeCell ref="V79:W79"/>
    <mergeCell ref="X79:Y79"/>
    <mergeCell ref="Z79:AA79"/>
    <mergeCell ref="AB79:AC79"/>
    <mergeCell ref="AD79:AE79"/>
    <mergeCell ref="AF79:AG79"/>
    <mergeCell ref="AH79:AI79"/>
    <mergeCell ref="J78:K78"/>
    <mergeCell ref="L78:M78"/>
    <mergeCell ref="N78:O78"/>
    <mergeCell ref="P78:Q78"/>
    <mergeCell ref="R78:S78"/>
    <mergeCell ref="T78:U78"/>
    <mergeCell ref="V78:W78"/>
    <mergeCell ref="X78:Y78"/>
    <mergeCell ref="Z78:AA78"/>
    <mergeCell ref="AB80:AC80"/>
    <mergeCell ref="AD80:AE80"/>
    <mergeCell ref="AF80:AG80"/>
    <mergeCell ref="AH80:AI80"/>
    <mergeCell ref="J81:K81"/>
    <mergeCell ref="L81:M81"/>
    <mergeCell ref="N81:O81"/>
    <mergeCell ref="P81:Q81"/>
    <mergeCell ref="R81:S81"/>
    <mergeCell ref="T81:U81"/>
    <mergeCell ref="V81:W81"/>
    <mergeCell ref="X81:Y81"/>
    <mergeCell ref="Z81:AA81"/>
    <mergeCell ref="AB81:AC81"/>
    <mergeCell ref="AD81:AE81"/>
    <mergeCell ref="AF81:AG81"/>
    <mergeCell ref="AH81:AI81"/>
    <mergeCell ref="J80:K80"/>
    <mergeCell ref="L80:M80"/>
    <mergeCell ref="N80:O80"/>
    <mergeCell ref="P80:Q80"/>
    <mergeCell ref="R80:S80"/>
    <mergeCell ref="T80:U80"/>
    <mergeCell ref="V80:W80"/>
    <mergeCell ref="X80:Y80"/>
    <mergeCell ref="Z80:AA80"/>
    <mergeCell ref="AB82:AC82"/>
    <mergeCell ref="AD82:AE82"/>
    <mergeCell ref="AF82:AG82"/>
    <mergeCell ref="AH82:AI82"/>
    <mergeCell ref="J83:K83"/>
    <mergeCell ref="L83:M83"/>
    <mergeCell ref="N83:O83"/>
    <mergeCell ref="P83:Q83"/>
    <mergeCell ref="R83:S83"/>
    <mergeCell ref="T83:U83"/>
    <mergeCell ref="V83:W83"/>
    <mergeCell ref="X83:Y83"/>
    <mergeCell ref="Z83:AA83"/>
    <mergeCell ref="AB83:AC83"/>
    <mergeCell ref="AD83:AE83"/>
    <mergeCell ref="AF83:AG83"/>
    <mergeCell ref="AH83:AI83"/>
    <mergeCell ref="J82:K82"/>
    <mergeCell ref="L82:M82"/>
    <mergeCell ref="N82:O82"/>
    <mergeCell ref="P82:Q82"/>
    <mergeCell ref="R82:S82"/>
    <mergeCell ref="T82:U82"/>
    <mergeCell ref="V82:W82"/>
    <mergeCell ref="X82:Y82"/>
    <mergeCell ref="Z82:AA82"/>
  </mergeCells>
  <conditionalFormatting sqref="A8:I8">
    <cfRule type="cellIs" dxfId="113" priority="10" operator="equal">
      <formula>"^EXPOSURE_TO_RISK_TREE_NODE_DATA(-1)^80,81,82,83,84,85,86,87,88,89,90,91,92"</formula>
    </cfRule>
  </conditionalFormatting>
  <conditionalFormatting sqref="A9:AI83">
    <cfRule type="expression" dxfId="112" priority="8">
      <formula>ISBLANK($A9)</formula>
    </cfRule>
  </conditionalFormatting>
  <conditionalFormatting sqref="J8:AI8">
    <cfRule type="cellIs" dxfId="111" priority="11" operator="equal">
      <formula>"%rhNode"</formula>
    </cfRule>
  </conditionalFormatting>
  <conditionalFormatting sqref="J9:AI83">
    <cfRule type="expression" dxfId="110" priority="7">
      <formula>J$8="%rhNode"</formula>
    </cfRule>
  </conditionalFormatting>
  <pageMargins left="0.7" right="0.7" top="0" bottom="0" header="0" footer="0"/>
  <pageSetup scale="67" fitToHeight="0" orientation="landscape"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pageSetUpPr fitToPage="1"/>
  </sheetPr>
  <dimension ref="A1:AJ85"/>
  <sheetViews>
    <sheetView showGridLines="0" zoomScaleNormal="100" workbookViewId="0">
      <selection activeCell="A13" sqref="A13:J13"/>
    </sheetView>
  </sheetViews>
  <sheetFormatPr defaultRowHeight="15" x14ac:dyDescent="0.25"/>
  <cols>
    <col min="1" max="13" width="5" customWidth="1"/>
    <col min="14" max="14" width="6.5703125" customWidth="1"/>
    <col min="15" max="36" width="5" customWidth="1"/>
  </cols>
  <sheetData>
    <row r="1" spans="1:36" x14ac:dyDescent="0.25">
      <c r="B1" s="321"/>
      <c r="C1" s="321"/>
      <c r="D1" s="321"/>
      <c r="E1" s="321"/>
      <c r="F1" s="321"/>
      <c r="G1" s="321"/>
      <c r="H1" s="321"/>
      <c r="I1" s="321"/>
      <c r="J1" s="321"/>
    </row>
    <row r="2" spans="1:36" x14ac:dyDescent="0.25">
      <c r="B2" s="321"/>
      <c r="C2" s="321"/>
      <c r="D2" s="321"/>
      <c r="E2" s="321"/>
      <c r="F2" s="321"/>
      <c r="G2" s="321"/>
      <c r="H2" s="321"/>
      <c r="I2" s="321"/>
      <c r="J2" s="321"/>
    </row>
    <row r="3" spans="1:36" ht="6" customHeight="1" x14ac:dyDescent="0.25">
      <c r="B3" s="97"/>
      <c r="C3" s="97"/>
      <c r="D3" s="97"/>
      <c r="E3" s="97"/>
      <c r="F3" s="97"/>
      <c r="G3" s="97"/>
      <c r="H3" s="97"/>
      <c r="I3" s="97"/>
      <c r="J3" s="97"/>
    </row>
    <row r="4" spans="1:36" ht="11.25" customHeight="1" x14ac:dyDescent="0.25">
      <c r="A4" s="395" t="s">
        <v>66</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c r="AJ4" s="395"/>
    </row>
    <row r="5" spans="1:36" ht="10.5" customHeight="1" x14ac:dyDescent="0.25">
      <c r="A5" s="472" t="s">
        <v>283</v>
      </c>
      <c r="B5" s="472"/>
      <c r="C5" s="472"/>
      <c r="D5" s="472"/>
      <c r="E5" s="472"/>
      <c r="F5" s="472"/>
      <c r="G5" s="472"/>
      <c r="H5" s="472"/>
      <c r="I5" s="472"/>
      <c r="J5" s="472"/>
      <c r="K5" s="472"/>
      <c r="L5" s="472"/>
      <c r="M5" s="472"/>
      <c r="N5" s="472"/>
      <c r="O5" s="472"/>
      <c r="P5" s="472"/>
      <c r="Q5" s="472"/>
      <c r="R5" s="472"/>
      <c r="S5" s="472"/>
      <c r="T5" s="472"/>
      <c r="U5" s="472"/>
      <c r="V5" s="472"/>
      <c r="W5" s="472"/>
      <c r="X5" s="472"/>
      <c r="Y5" s="472"/>
      <c r="Z5" s="472"/>
      <c r="AA5" s="472"/>
      <c r="AB5" s="472"/>
      <c r="AC5" s="472"/>
      <c r="AD5" s="472"/>
      <c r="AE5" s="472"/>
      <c r="AF5" s="472"/>
      <c r="AG5" s="472"/>
      <c r="AH5" s="472"/>
      <c r="AI5" s="472"/>
      <c r="AJ5" s="472"/>
    </row>
    <row r="6" spans="1:36" ht="10.5" customHeight="1" x14ac:dyDescent="0.25">
      <c r="A6" s="474"/>
      <c r="B6" s="474"/>
      <c r="C6" s="474"/>
      <c r="D6" s="474"/>
      <c r="E6" s="474"/>
      <c r="F6" s="474"/>
      <c r="G6" s="474"/>
      <c r="H6" s="474"/>
      <c r="I6" s="474"/>
      <c r="J6" s="474"/>
      <c r="K6" s="474"/>
      <c r="L6" s="474"/>
      <c r="M6" s="474"/>
      <c r="N6" s="474"/>
      <c r="O6" s="474"/>
      <c r="P6" s="474"/>
      <c r="Q6" s="474"/>
      <c r="R6" s="474"/>
      <c r="S6" s="474"/>
      <c r="T6" s="474"/>
      <c r="U6" s="474"/>
      <c r="V6" s="474"/>
      <c r="W6" s="474"/>
      <c r="X6" s="474"/>
      <c r="Y6" s="474"/>
      <c r="Z6" s="474"/>
      <c r="AA6" s="474"/>
      <c r="AB6" s="474"/>
      <c r="AC6" s="474"/>
      <c r="AD6" s="474"/>
      <c r="AE6" s="474"/>
      <c r="AF6" s="474"/>
      <c r="AG6" s="474"/>
      <c r="AH6" s="474"/>
      <c r="AI6" s="474"/>
      <c r="AJ6" s="474"/>
    </row>
    <row r="7" spans="1:36" ht="11.25" customHeight="1" x14ac:dyDescent="0.25">
      <c r="A7" s="474"/>
      <c r="B7" s="474"/>
      <c r="C7" s="474"/>
      <c r="D7" s="474"/>
      <c r="E7" s="474"/>
      <c r="F7" s="474"/>
      <c r="G7" s="474"/>
      <c r="H7" s="474"/>
      <c r="I7" s="474"/>
      <c r="J7" s="474"/>
      <c r="K7" s="474"/>
      <c r="L7" s="474"/>
      <c r="M7" s="474"/>
      <c r="N7" s="474"/>
      <c r="O7" s="474"/>
      <c r="P7" s="474"/>
      <c r="Q7" s="474"/>
      <c r="R7" s="474"/>
      <c r="S7" s="474"/>
      <c r="T7" s="474"/>
      <c r="U7" s="474"/>
      <c r="V7" s="474"/>
      <c r="W7" s="474"/>
      <c r="X7" s="474"/>
      <c r="Y7" s="474"/>
      <c r="Z7" s="474"/>
      <c r="AA7" s="474"/>
      <c r="AB7" s="474"/>
      <c r="AC7" s="474"/>
      <c r="AD7" s="474"/>
      <c r="AE7" s="474"/>
      <c r="AF7" s="474"/>
      <c r="AG7" s="474"/>
      <c r="AH7" s="474"/>
      <c r="AI7" s="474"/>
      <c r="AJ7" s="474"/>
    </row>
    <row r="8" spans="1:36" ht="6.75" customHeight="1" x14ac:dyDescent="0.25">
      <c r="A8" s="121"/>
      <c r="B8" s="122"/>
      <c r="C8" s="122"/>
      <c r="D8" s="122"/>
      <c r="E8" s="122"/>
      <c r="F8" s="122"/>
      <c r="G8" s="122"/>
      <c r="H8" s="122"/>
      <c r="I8" s="122"/>
      <c r="J8" s="122"/>
      <c r="O8" s="514"/>
      <c r="P8" s="514"/>
      <c r="Q8" s="514"/>
      <c r="R8" s="514"/>
      <c r="S8" s="514"/>
      <c r="T8" s="514"/>
      <c r="U8" s="514"/>
      <c r="V8" s="514"/>
      <c r="W8" s="514"/>
      <c r="X8" s="514"/>
      <c r="Y8" s="514"/>
      <c r="Z8" s="514"/>
      <c r="AA8" s="514"/>
      <c r="AB8" s="514"/>
      <c r="AC8" s="514"/>
      <c r="AD8" s="514"/>
      <c r="AE8" s="514"/>
      <c r="AF8" s="514"/>
      <c r="AG8" s="514"/>
      <c r="AH8" s="514"/>
      <c r="AI8" s="514"/>
      <c r="AJ8" s="514"/>
    </row>
    <row r="9" spans="1:36" ht="10.5" customHeight="1" x14ac:dyDescent="0.25">
      <c r="A9" s="517" t="s">
        <v>67</v>
      </c>
      <c r="B9" s="518"/>
      <c r="C9" s="518"/>
      <c r="D9" s="518"/>
      <c r="E9" s="518"/>
      <c r="F9" s="173"/>
      <c r="G9" s="517" t="s">
        <v>204</v>
      </c>
      <c r="H9" s="518"/>
      <c r="I9" s="518"/>
      <c r="J9" s="518"/>
      <c r="O9" s="514"/>
      <c r="P9" s="514"/>
      <c r="Q9" s="514"/>
      <c r="R9" s="514"/>
      <c r="S9" s="514"/>
      <c r="T9" s="514"/>
      <c r="U9" s="514"/>
      <c r="V9" s="514"/>
      <c r="W9" s="514"/>
      <c r="X9" s="514"/>
      <c r="Y9" s="514"/>
      <c r="Z9" s="514"/>
      <c r="AA9" s="514"/>
      <c r="AB9" s="514"/>
      <c r="AC9" s="514"/>
      <c r="AD9" s="514"/>
      <c r="AE9" s="514"/>
      <c r="AF9" s="514"/>
      <c r="AG9" s="514"/>
      <c r="AH9" s="514"/>
      <c r="AI9" s="514"/>
      <c r="AJ9" s="514"/>
    </row>
    <row r="10" spans="1:36" ht="11.25" customHeight="1" x14ac:dyDescent="0.25">
      <c r="A10" s="519">
        <f>PORTFOLIO_STRESS_TEST_LOSS_GAIN!Q6</f>
        <v>1.1043835732221835E-2</v>
      </c>
      <c r="B10" s="519"/>
      <c r="C10" s="519"/>
      <c r="D10" s="519"/>
      <c r="E10" s="519"/>
      <c r="F10" s="174"/>
      <c r="G10" s="520">
        <f>PORTFOLIO_STRESS_TEST_LOSS_GAIN!A6</f>
        <v>-3.5256818272930805E-2</v>
      </c>
      <c r="H10" s="520"/>
      <c r="I10" s="520"/>
      <c r="J10" s="520"/>
      <c r="O10" s="514"/>
      <c r="P10" s="514"/>
      <c r="Q10" s="514"/>
      <c r="R10" s="514"/>
      <c r="S10" s="514"/>
      <c r="T10" s="514"/>
      <c r="U10" s="514"/>
      <c r="V10" s="514"/>
      <c r="W10" s="514"/>
      <c r="X10" s="514"/>
      <c r="Y10" s="514"/>
      <c r="Z10" s="514"/>
      <c r="AA10" s="514"/>
      <c r="AB10" s="514"/>
      <c r="AC10" s="514"/>
      <c r="AD10" s="514"/>
      <c r="AE10" s="514"/>
      <c r="AF10" s="514"/>
      <c r="AG10" s="514"/>
      <c r="AH10" s="514"/>
      <c r="AI10" s="514"/>
      <c r="AJ10" s="514"/>
    </row>
    <row r="11" spans="1:36" ht="10.5" customHeight="1" x14ac:dyDescent="0.25">
      <c r="A11" s="513" t="str">
        <f>PORTFOLIO_STRESS_TEST_LOSS_GAIN!X8</f>
        <v>2005 Katrina</v>
      </c>
      <c r="B11" s="513"/>
      <c r="C11" s="513"/>
      <c r="D11" s="513"/>
      <c r="E11" s="513"/>
      <c r="F11" s="513" t="str">
        <f>PORTFOLIO_STRESS_TEST_LOSS_GAIN!I8</f>
        <v>2008 Lehman Blow-Up</v>
      </c>
      <c r="G11" s="513"/>
      <c r="H11" s="513"/>
      <c r="I11" s="513"/>
      <c r="J11" s="513"/>
      <c r="O11" s="514"/>
      <c r="P11" s="514"/>
      <c r="Q11" s="514"/>
      <c r="R11" s="514"/>
      <c r="S11" s="514"/>
      <c r="T11" s="514"/>
      <c r="U11" s="514"/>
      <c r="V11" s="514"/>
      <c r="W11" s="514"/>
      <c r="X11" s="514"/>
      <c r="Y11" s="514"/>
      <c r="Z11" s="514"/>
      <c r="AA11" s="514"/>
      <c r="AB11" s="514"/>
      <c r="AC11" s="514"/>
      <c r="AD11" s="514"/>
      <c r="AE11" s="514"/>
      <c r="AF11" s="514"/>
      <c r="AG11" s="514"/>
      <c r="AH11" s="514"/>
      <c r="AI11" s="514"/>
      <c r="AJ11" s="514"/>
    </row>
    <row r="12" spans="1:36" ht="7.5" hidden="1" customHeight="1" x14ac:dyDescent="0.25">
      <c r="A12" s="35"/>
      <c r="B12" s="35"/>
      <c r="C12" s="35"/>
      <c r="D12" s="35"/>
      <c r="E12" s="35"/>
      <c r="F12" s="35"/>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row>
    <row r="13" spans="1:36" ht="24.75" customHeight="1" x14ac:dyDescent="0.25">
      <c r="A13" s="524" t="s">
        <v>79</v>
      </c>
      <c r="B13" s="524"/>
      <c r="C13" s="524"/>
      <c r="D13" s="524"/>
      <c r="E13" s="524"/>
      <c r="F13" s="524"/>
      <c r="G13" s="524"/>
      <c r="H13" s="524"/>
      <c r="I13" s="524"/>
      <c r="J13" s="524"/>
      <c r="K13" s="528" t="s">
        <v>370</v>
      </c>
      <c r="L13" s="528"/>
      <c r="M13" s="528"/>
      <c r="N13" s="268" t="s">
        <v>225</v>
      </c>
      <c r="O13" s="523" t="s">
        <v>371</v>
      </c>
      <c r="P13" s="523"/>
      <c r="Q13" s="523" t="s">
        <v>372</v>
      </c>
      <c r="R13" s="523"/>
      <c r="S13" s="523" t="s">
        <v>373</v>
      </c>
      <c r="T13" s="523"/>
      <c r="U13" s="523" t="s">
        <v>374</v>
      </c>
      <c r="V13" s="523"/>
      <c r="W13" s="523" t="s">
        <v>375</v>
      </c>
      <c r="X13" s="523"/>
      <c r="Y13" s="523" t="s">
        <v>376</v>
      </c>
      <c r="Z13" s="523"/>
      <c r="AA13" s="523" t="s">
        <v>377</v>
      </c>
      <c r="AB13" s="523"/>
      <c r="AC13" s="523" t="s">
        <v>378</v>
      </c>
      <c r="AD13" s="523"/>
      <c r="AE13" s="523" t="s">
        <v>379</v>
      </c>
      <c r="AF13" s="523"/>
      <c r="AG13" s="523" t="s">
        <v>380</v>
      </c>
      <c r="AH13" s="523"/>
      <c r="AI13" s="523" t="s">
        <v>381</v>
      </c>
      <c r="AJ13" s="523"/>
    </row>
    <row r="14" spans="1:36" ht="10.5" customHeight="1" x14ac:dyDescent="0.25">
      <c r="A14" s="449" t="s">
        <v>351</v>
      </c>
      <c r="B14" s="525"/>
      <c r="C14" s="525"/>
      <c r="D14" s="525"/>
      <c r="E14" s="525"/>
      <c r="F14" s="525"/>
      <c r="G14" s="525"/>
      <c r="H14" s="525"/>
      <c r="I14" s="525"/>
      <c r="J14" s="525"/>
      <c r="K14" s="448">
        <v>1000000</v>
      </c>
      <c r="L14" s="529"/>
      <c r="M14" s="529"/>
      <c r="N14" s="269" t="s">
        <v>294</v>
      </c>
      <c r="O14" s="448">
        <v>-3.5256818272930803</v>
      </c>
      <c r="P14" s="522"/>
      <c r="Q14" s="448">
        <v>-1.7508843568673358</v>
      </c>
      <c r="R14" s="522"/>
      <c r="S14" s="448">
        <v>-1.1625695239190361</v>
      </c>
      <c r="T14" s="522"/>
      <c r="U14" s="448">
        <v>-0.69521190211696082</v>
      </c>
      <c r="V14" s="522"/>
      <c r="W14" s="448">
        <v>-0.68043189072259702</v>
      </c>
      <c r="X14" s="522"/>
      <c r="Y14" s="448">
        <v>-0.30050480784091632</v>
      </c>
      <c r="Z14" s="522"/>
      <c r="AA14" s="448">
        <v>-2.4435815019009169E-2</v>
      </c>
      <c r="AB14" s="522"/>
      <c r="AC14" s="448">
        <v>7.205590222263708E-2</v>
      </c>
      <c r="AD14" s="522"/>
      <c r="AE14" s="448">
        <v>0.10203680349010974</v>
      </c>
      <c r="AF14" s="522"/>
      <c r="AG14" s="448">
        <v>0.2926616784079466</v>
      </c>
      <c r="AH14" s="522"/>
      <c r="AI14" s="448">
        <v>1.1043835732221836</v>
      </c>
      <c r="AJ14" s="522"/>
    </row>
    <row r="15" spans="1:36" ht="10.5" customHeight="1" x14ac:dyDescent="0.25">
      <c r="A15" s="449" t="s">
        <v>322</v>
      </c>
      <c r="B15" s="526"/>
      <c r="C15" s="526"/>
      <c r="D15" s="526"/>
      <c r="E15" s="526"/>
      <c r="F15" s="526"/>
      <c r="G15" s="526"/>
      <c r="H15" s="526"/>
      <c r="I15" s="526"/>
      <c r="J15" s="526"/>
      <c r="K15" s="448">
        <v>21508.199127308195</v>
      </c>
      <c r="L15" s="530"/>
      <c r="M15" s="530"/>
      <c r="N15" s="269">
        <f>IF(ISBLANK(K15)=TRUE,"",K15/$K$14*100)</f>
        <v>2.1508199127308192</v>
      </c>
      <c r="O15" s="448">
        <v>-3.0304689070720294</v>
      </c>
      <c r="P15" s="521"/>
      <c r="Q15" s="448">
        <v>-4.5535931886673646</v>
      </c>
      <c r="R15" s="521"/>
      <c r="S15" s="448">
        <v>-1.8064292498940968</v>
      </c>
      <c r="T15" s="521"/>
      <c r="U15" s="448">
        <v>0.37379161648526377</v>
      </c>
      <c r="V15" s="521"/>
      <c r="W15" s="448">
        <v>-0.81242293967970924</v>
      </c>
      <c r="X15" s="521"/>
      <c r="Y15" s="448">
        <v>-2.1077860490565192</v>
      </c>
      <c r="Z15" s="521"/>
      <c r="AA15" s="448">
        <v>-0.87056695843876553</v>
      </c>
      <c r="AB15" s="521"/>
      <c r="AC15" s="448">
        <v>-1.1641465122629597</v>
      </c>
      <c r="AD15" s="521"/>
      <c r="AE15" s="448">
        <v>-0.33385602599634523</v>
      </c>
      <c r="AF15" s="521"/>
      <c r="AG15" s="448">
        <v>-1.5045087456585651</v>
      </c>
      <c r="AH15" s="521"/>
      <c r="AI15" s="448">
        <v>-0.51260941688557782</v>
      </c>
      <c r="AJ15" s="521"/>
    </row>
    <row r="16" spans="1:36" ht="10.5" customHeight="1" x14ac:dyDescent="0.25">
      <c r="A16" s="515" t="s">
        <v>330</v>
      </c>
      <c r="B16" s="515"/>
      <c r="C16" s="515"/>
      <c r="D16" s="515"/>
      <c r="E16" s="515"/>
      <c r="F16" s="515"/>
      <c r="G16" s="515"/>
      <c r="H16" s="515"/>
      <c r="I16" s="515"/>
      <c r="J16" s="515"/>
      <c r="K16" s="516">
        <v>6321.6726934408507</v>
      </c>
      <c r="L16" s="516"/>
      <c r="M16" s="516"/>
      <c r="N16" s="271">
        <f t="shared" ref="N16:N41" si="0">IF(ISBLANK(K16)=TRUE,"",K16/$K$14*100)</f>
        <v>0.63216726934408507</v>
      </c>
      <c r="O16" s="527">
        <v>16.585314486238453</v>
      </c>
      <c r="P16" s="527"/>
      <c r="Q16" s="527">
        <v>1.8251413367193556</v>
      </c>
      <c r="R16" s="527"/>
      <c r="S16" s="527">
        <v>2.7598746092867423</v>
      </c>
      <c r="T16" s="527"/>
      <c r="U16" s="527">
        <v>9.2817981261853433</v>
      </c>
      <c r="V16" s="527"/>
      <c r="W16" s="527">
        <v>4.7450895209706543</v>
      </c>
      <c r="X16" s="527"/>
      <c r="Y16" s="527">
        <v>0.69173986326473291</v>
      </c>
      <c r="Z16" s="527"/>
      <c r="AA16" s="527">
        <v>2.2939355299614603</v>
      </c>
      <c r="AB16" s="527"/>
      <c r="AC16" s="527">
        <v>1.7454554482116533</v>
      </c>
      <c r="AD16" s="527"/>
      <c r="AE16" s="527">
        <v>0.71072679475250078</v>
      </c>
      <c r="AF16" s="527"/>
      <c r="AG16" s="527">
        <v>-1.5587522525899025</v>
      </c>
      <c r="AH16" s="527"/>
      <c r="AI16" s="527">
        <v>0.44879548993154517</v>
      </c>
      <c r="AJ16" s="527"/>
    </row>
    <row r="17" spans="1:36" ht="10.5" customHeight="1" x14ac:dyDescent="0.25">
      <c r="A17" s="526" t="s">
        <v>337</v>
      </c>
      <c r="B17" s="526"/>
      <c r="C17" s="526"/>
      <c r="D17" s="526"/>
      <c r="E17" s="526"/>
      <c r="F17" s="526"/>
      <c r="G17" s="526"/>
      <c r="H17" s="526"/>
      <c r="I17" s="526"/>
      <c r="J17" s="526"/>
      <c r="K17" s="530">
        <v>15186.526433867344</v>
      </c>
      <c r="L17" s="530"/>
      <c r="M17" s="530"/>
      <c r="N17" s="271">
        <f t="shared" si="0"/>
        <v>1.5186526433867344</v>
      </c>
      <c r="O17" s="521">
        <v>-11.195901784560053</v>
      </c>
      <c r="P17" s="521"/>
      <c r="Q17" s="521">
        <v>-7.2088594895851887</v>
      </c>
      <c r="R17" s="521"/>
      <c r="S17" s="521">
        <v>-3.707237742358954</v>
      </c>
      <c r="T17" s="521"/>
      <c r="U17" s="521">
        <v>-3.3343309585217544</v>
      </c>
      <c r="V17" s="521"/>
      <c r="W17" s="521">
        <v>-3.1258403573455067</v>
      </c>
      <c r="X17" s="521"/>
      <c r="Y17" s="521">
        <v>-3.2731405224161221</v>
      </c>
      <c r="Z17" s="521"/>
      <c r="AA17" s="521">
        <v>-2.1878496864122039</v>
      </c>
      <c r="AB17" s="521"/>
      <c r="AC17" s="521">
        <v>-2.3753221779039864</v>
      </c>
      <c r="AD17" s="521"/>
      <c r="AE17" s="521">
        <v>-0.76868295779815266</v>
      </c>
      <c r="AF17" s="521"/>
      <c r="AG17" s="521">
        <v>-1.4819288819841772</v>
      </c>
      <c r="AH17" s="521"/>
      <c r="AI17" s="521">
        <v>-0.91281200259418671</v>
      </c>
      <c r="AJ17" s="521"/>
    </row>
    <row r="18" spans="1:36" ht="10.5" customHeight="1" x14ac:dyDescent="0.25">
      <c r="A18" s="449" t="s">
        <v>320</v>
      </c>
      <c r="B18" s="515"/>
      <c r="C18" s="515"/>
      <c r="D18" s="515"/>
      <c r="E18" s="515"/>
      <c r="F18" s="515"/>
      <c r="G18" s="515"/>
      <c r="H18" s="515"/>
      <c r="I18" s="515"/>
      <c r="J18" s="515"/>
      <c r="K18" s="448">
        <v>66920.935905961029</v>
      </c>
      <c r="L18" s="516"/>
      <c r="M18" s="516"/>
      <c r="N18" s="269">
        <f t="shared" si="0"/>
        <v>6.6920935905961025</v>
      </c>
      <c r="O18" s="448">
        <v>-14.021846406877689</v>
      </c>
      <c r="P18" s="516"/>
      <c r="Q18" s="448">
        <v>-5.6672871826204227</v>
      </c>
      <c r="R18" s="516"/>
      <c r="S18" s="448">
        <v>-3.1225342178482851</v>
      </c>
      <c r="T18" s="516"/>
      <c r="U18" s="448">
        <v>-4.99929015774498</v>
      </c>
      <c r="V18" s="516"/>
      <c r="W18" s="448">
        <v>-3.2157740934074002</v>
      </c>
      <c r="X18" s="516"/>
      <c r="Y18" s="448">
        <v>-1.3244440859786308</v>
      </c>
      <c r="Z18" s="516"/>
      <c r="AA18" s="448">
        <v>-0.7953960361645942</v>
      </c>
      <c r="AB18" s="516"/>
      <c r="AC18" s="448">
        <v>-1.4412038776823268</v>
      </c>
      <c r="AD18" s="516"/>
      <c r="AE18" s="448">
        <v>0.39359242525208943</v>
      </c>
      <c r="AF18" s="516"/>
      <c r="AG18" s="448">
        <v>2.6530232740691768</v>
      </c>
      <c r="AH18" s="516"/>
      <c r="AI18" s="448">
        <v>0.10244669346126591</v>
      </c>
      <c r="AJ18" s="516"/>
    </row>
    <row r="19" spans="1:36" ht="10.5" customHeight="1" x14ac:dyDescent="0.25">
      <c r="A19" s="515" t="s">
        <v>326</v>
      </c>
      <c r="B19" s="515"/>
      <c r="C19" s="515"/>
      <c r="D19" s="515"/>
      <c r="E19" s="515"/>
      <c r="F19" s="515"/>
      <c r="G19" s="515"/>
      <c r="H19" s="515"/>
      <c r="I19" s="515"/>
      <c r="J19" s="515"/>
      <c r="K19" s="516">
        <v>747.08538114854241</v>
      </c>
      <c r="L19" s="516"/>
      <c r="M19" s="516"/>
      <c r="N19" s="271">
        <f t="shared" si="0"/>
        <v>7.4708538114854242E-2</v>
      </c>
      <c r="O19" s="527">
        <v>-1.0174037789582078</v>
      </c>
      <c r="P19" s="527"/>
      <c r="Q19" s="527">
        <v>1.8464346710418587</v>
      </c>
      <c r="R19" s="527"/>
      <c r="S19" s="527">
        <v>-0.43999281266461571</v>
      </c>
      <c r="T19" s="527"/>
      <c r="U19" s="527">
        <v>-0.26513663845348823</v>
      </c>
      <c r="V19" s="527"/>
      <c r="W19" s="527">
        <v>0.34499082538928028</v>
      </c>
      <c r="X19" s="527"/>
      <c r="Y19" s="527">
        <v>0.23085966271019842</v>
      </c>
      <c r="Z19" s="527"/>
      <c r="AA19" s="527">
        <v>0.11862182221846868</v>
      </c>
      <c r="AB19" s="527"/>
      <c r="AC19" s="527">
        <v>0.10499803646368043</v>
      </c>
      <c r="AD19" s="527"/>
      <c r="AE19" s="527">
        <v>0.31372908590286952</v>
      </c>
      <c r="AF19" s="527"/>
      <c r="AG19" s="527">
        <v>0.60465087725231637</v>
      </c>
      <c r="AH19" s="527"/>
      <c r="AI19" s="527">
        <v>0.64585530269753777</v>
      </c>
      <c r="AJ19" s="527"/>
    </row>
    <row r="20" spans="1:36" ht="10.5" customHeight="1" x14ac:dyDescent="0.25">
      <c r="A20" s="515" t="s">
        <v>329</v>
      </c>
      <c r="B20" s="515"/>
      <c r="C20" s="515"/>
      <c r="D20" s="515"/>
      <c r="E20" s="515"/>
      <c r="F20" s="515"/>
      <c r="G20" s="515"/>
      <c r="H20" s="515"/>
      <c r="I20" s="515"/>
      <c r="J20" s="515"/>
      <c r="K20" s="516">
        <v>3124.1514888606616</v>
      </c>
      <c r="L20" s="516"/>
      <c r="M20" s="516"/>
      <c r="N20" s="271">
        <f t="shared" si="0"/>
        <v>0.31241514888606614</v>
      </c>
      <c r="O20" s="440">
        <v>-2.5271578608339786</v>
      </c>
      <c r="P20" s="440"/>
      <c r="Q20" s="440">
        <v>4.7879735983392919</v>
      </c>
      <c r="R20" s="440"/>
      <c r="S20" s="440">
        <v>0.24266898043835217</v>
      </c>
      <c r="T20" s="440"/>
      <c r="U20" s="440">
        <v>0.55152881799640718</v>
      </c>
      <c r="V20" s="440"/>
      <c r="W20" s="440">
        <v>0.66232717379382233</v>
      </c>
      <c r="X20" s="440"/>
      <c r="Y20" s="440">
        <v>1.0966304977236427</v>
      </c>
      <c r="Z20" s="440"/>
      <c r="AA20" s="440">
        <v>0.460656935845497</v>
      </c>
      <c r="AB20" s="440"/>
      <c r="AC20" s="440">
        <v>0.18319436623865598</v>
      </c>
      <c r="AD20" s="440"/>
      <c r="AE20" s="440">
        <v>0.64448857710272722</v>
      </c>
      <c r="AF20" s="440"/>
      <c r="AG20" s="440">
        <v>2.848092195138082</v>
      </c>
      <c r="AH20" s="440"/>
      <c r="AI20" s="440">
        <v>0.87400430470255352</v>
      </c>
      <c r="AJ20" s="440"/>
    </row>
    <row r="21" spans="1:36" ht="10.5" customHeight="1" x14ac:dyDescent="0.25">
      <c r="A21" s="515" t="s">
        <v>341</v>
      </c>
      <c r="B21" s="515"/>
      <c r="C21" s="515"/>
      <c r="D21" s="515"/>
      <c r="E21" s="515"/>
      <c r="F21" s="515"/>
      <c r="G21" s="515"/>
      <c r="H21" s="515"/>
      <c r="I21" s="515"/>
      <c r="J21" s="515"/>
      <c r="K21" s="516">
        <v>612.3337946567392</v>
      </c>
      <c r="L21" s="516"/>
      <c r="M21" s="516"/>
      <c r="N21" s="271">
        <f t="shared" si="0"/>
        <v>6.1233379465673921E-2</v>
      </c>
      <c r="O21" s="440">
        <v>-12.537968275147522</v>
      </c>
      <c r="P21" s="440"/>
      <c r="Q21" s="440">
        <v>-9.1200007126399694</v>
      </c>
      <c r="R21" s="440"/>
      <c r="S21" s="440">
        <v>-3.5747142018442659</v>
      </c>
      <c r="T21" s="440"/>
      <c r="U21" s="440">
        <v>-7.6120140886997891</v>
      </c>
      <c r="V21" s="440"/>
      <c r="W21" s="440">
        <v>-4.299803979267466</v>
      </c>
      <c r="X21" s="440"/>
      <c r="Y21" s="440">
        <v>-2.12084464273503</v>
      </c>
      <c r="Z21" s="440"/>
      <c r="AA21" s="440">
        <v>-1.8782169227399705</v>
      </c>
      <c r="AB21" s="440"/>
      <c r="AC21" s="440">
        <v>-1.9508288438789056</v>
      </c>
      <c r="AD21" s="440"/>
      <c r="AE21" s="440">
        <v>-1.2404076188234707</v>
      </c>
      <c r="AF21" s="440"/>
      <c r="AG21" s="440">
        <v>-1.6355197867162823</v>
      </c>
      <c r="AH21" s="440"/>
      <c r="AI21" s="440">
        <v>-0.15866768505998344</v>
      </c>
      <c r="AJ21" s="440"/>
    </row>
    <row r="22" spans="1:36" ht="10.5" customHeight="1" x14ac:dyDescent="0.25">
      <c r="A22" s="515" t="s">
        <v>310</v>
      </c>
      <c r="B22" s="515"/>
      <c r="C22" s="515"/>
      <c r="D22" s="515"/>
      <c r="E22" s="515"/>
      <c r="F22" s="515"/>
      <c r="G22" s="515"/>
      <c r="H22" s="515"/>
      <c r="I22" s="515"/>
      <c r="J22" s="515"/>
      <c r="K22" s="516">
        <v>20217.776167760065</v>
      </c>
      <c r="L22" s="516"/>
      <c r="M22" s="516"/>
      <c r="N22" s="271">
        <f t="shared" si="0"/>
        <v>2.0217776167760064</v>
      </c>
      <c r="O22" s="440">
        <v>2.4805566088725683</v>
      </c>
      <c r="P22" s="440"/>
      <c r="Q22" s="440">
        <v>0.13329428919129555</v>
      </c>
      <c r="R22" s="440"/>
      <c r="S22" s="440">
        <v>0.18812061719307077</v>
      </c>
      <c r="T22" s="440"/>
      <c r="U22" s="440">
        <v>-0.38216061774011606</v>
      </c>
      <c r="V22" s="440"/>
      <c r="W22" s="440">
        <v>0.55677259562836989</v>
      </c>
      <c r="X22" s="440"/>
      <c r="Y22" s="440">
        <v>-1.2249587583106958E-2</v>
      </c>
      <c r="Z22" s="440"/>
      <c r="AA22" s="440">
        <v>0.33062414675205848</v>
      </c>
      <c r="AB22" s="440"/>
      <c r="AC22" s="440">
        <v>0.42006492124208067</v>
      </c>
      <c r="AD22" s="440"/>
      <c r="AE22" s="440">
        <v>0.2958612213969658</v>
      </c>
      <c r="AF22" s="440"/>
      <c r="AG22" s="440">
        <v>-0.61323163503026223</v>
      </c>
      <c r="AH22" s="440"/>
      <c r="AI22" s="440">
        <v>0.43980234415279118</v>
      </c>
      <c r="AJ22" s="440"/>
    </row>
    <row r="23" spans="1:36" ht="10.5" customHeight="1" x14ac:dyDescent="0.25">
      <c r="A23" s="515" t="s">
        <v>305</v>
      </c>
      <c r="B23" s="515"/>
      <c r="C23" s="515"/>
      <c r="D23" s="515"/>
      <c r="E23" s="515"/>
      <c r="F23" s="515"/>
      <c r="G23" s="515"/>
      <c r="H23" s="515"/>
      <c r="I23" s="515"/>
      <c r="J23" s="515"/>
      <c r="K23" s="516">
        <v>24519.222596544671</v>
      </c>
      <c r="L23" s="516"/>
      <c r="M23" s="516"/>
      <c r="N23" s="271">
        <f t="shared" si="0"/>
        <v>2.451922259654467</v>
      </c>
      <c r="O23" s="440">
        <v>-23.790872445042407</v>
      </c>
      <c r="P23" s="440"/>
      <c r="Q23" s="440">
        <v>-11.81770826487192</v>
      </c>
      <c r="R23" s="440"/>
      <c r="S23" s="440">
        <v>-5.0703637247444595</v>
      </c>
      <c r="T23" s="440"/>
      <c r="U23" s="440">
        <v>-4.6811003572911458</v>
      </c>
      <c r="V23" s="440"/>
      <c r="W23" s="440">
        <v>-7.0528825004414815</v>
      </c>
      <c r="X23" s="440"/>
      <c r="Y23" s="440">
        <v>-3.1157384119114937</v>
      </c>
      <c r="Z23" s="440"/>
      <c r="AA23" s="440">
        <v>-2.5716397596816423</v>
      </c>
      <c r="AB23" s="440"/>
      <c r="AC23" s="440">
        <v>-1.7613745190526677</v>
      </c>
      <c r="AD23" s="440"/>
      <c r="AE23" s="440">
        <v>-0.22818451463227635</v>
      </c>
      <c r="AF23" s="440"/>
      <c r="AG23" s="440">
        <v>3.0979988688759716</v>
      </c>
      <c r="AH23" s="440"/>
      <c r="AI23" s="440">
        <v>2.8230378647028254E-2</v>
      </c>
      <c r="AJ23" s="440"/>
    </row>
    <row r="24" spans="1:36" ht="10.5" customHeight="1" x14ac:dyDescent="0.25">
      <c r="A24" s="515" t="s">
        <v>346</v>
      </c>
      <c r="B24" s="515"/>
      <c r="C24" s="515"/>
      <c r="D24" s="515"/>
      <c r="E24" s="515"/>
      <c r="F24" s="515"/>
      <c r="G24" s="515"/>
      <c r="H24" s="515"/>
      <c r="I24" s="515"/>
      <c r="J24" s="515"/>
      <c r="K24" s="516">
        <v>9954.0528455700696</v>
      </c>
      <c r="L24" s="516"/>
      <c r="M24" s="516"/>
      <c r="N24" s="271">
        <f t="shared" si="0"/>
        <v>0.99540528455700705</v>
      </c>
      <c r="O24" s="440">
        <v>-6.1536363234372757</v>
      </c>
      <c r="P24" s="440"/>
      <c r="Q24" s="440">
        <v>7.8979344929382886</v>
      </c>
      <c r="R24" s="440"/>
      <c r="S24" s="440">
        <v>0.14767799738119547</v>
      </c>
      <c r="T24" s="440"/>
      <c r="U24" s="440">
        <v>1.1257224853625756</v>
      </c>
      <c r="V24" s="440"/>
      <c r="W24" s="440">
        <v>0.36980657789647703</v>
      </c>
      <c r="X24" s="440"/>
      <c r="Y24" s="440">
        <v>2.088099740634306</v>
      </c>
      <c r="Z24" s="440"/>
      <c r="AA24" s="440">
        <v>0.61985574392218312</v>
      </c>
      <c r="AB24" s="440"/>
      <c r="AC24" s="440">
        <v>0.57483155436714983</v>
      </c>
      <c r="AD24" s="440"/>
      <c r="AE24" s="440">
        <v>1.5068268245297769</v>
      </c>
      <c r="AF24" s="440"/>
      <c r="AG24" s="440">
        <v>6.3148854249165431</v>
      </c>
      <c r="AH24" s="440"/>
      <c r="AI24" s="440">
        <v>1.5937564960077273</v>
      </c>
      <c r="AJ24" s="440"/>
    </row>
    <row r="25" spans="1:36" ht="10.5" customHeight="1" x14ac:dyDescent="0.25">
      <c r="A25" s="515" t="s">
        <v>304</v>
      </c>
      <c r="B25" s="515"/>
      <c r="C25" s="515"/>
      <c r="D25" s="515"/>
      <c r="E25" s="515"/>
      <c r="F25" s="515"/>
      <c r="G25" s="515"/>
      <c r="H25" s="515"/>
      <c r="I25" s="515"/>
      <c r="J25" s="515"/>
      <c r="K25" s="516">
        <v>7746.3136314202911</v>
      </c>
      <c r="L25" s="516"/>
      <c r="M25" s="516"/>
      <c r="N25" s="271">
        <f t="shared" si="0"/>
        <v>0.77463136314202918</v>
      </c>
      <c r="O25" s="440">
        <v>-42.28932457139117</v>
      </c>
      <c r="P25" s="440"/>
      <c r="Q25" s="440">
        <v>-23.438739688260057</v>
      </c>
      <c r="R25" s="440"/>
      <c r="S25" s="440">
        <v>-11.380305382180246</v>
      </c>
      <c r="T25" s="440"/>
      <c r="U25" s="440">
        <v>-28.416508124618026</v>
      </c>
      <c r="V25" s="440"/>
      <c r="W25" s="440">
        <v>-7.3458459597908004</v>
      </c>
      <c r="X25" s="440"/>
      <c r="Y25" s="440">
        <v>-4.52793397762842</v>
      </c>
      <c r="Z25" s="440"/>
      <c r="AA25" s="440">
        <v>-0.43973022839189502</v>
      </c>
      <c r="AB25" s="440"/>
      <c r="AC25" s="440">
        <v>-8.6402481033416763</v>
      </c>
      <c r="AD25" s="440"/>
      <c r="AE25" s="440">
        <v>1.2219324148761403</v>
      </c>
      <c r="AF25" s="440"/>
      <c r="AG25" s="440">
        <v>5.5218058657832101</v>
      </c>
      <c r="AH25" s="440"/>
      <c r="AI25" s="440">
        <v>-2.8024160161237313</v>
      </c>
      <c r="AJ25" s="440"/>
    </row>
    <row r="26" spans="1:36" ht="10.5" customHeight="1" x14ac:dyDescent="0.25">
      <c r="A26" s="449" t="s">
        <v>318</v>
      </c>
      <c r="B26" s="515"/>
      <c r="C26" s="515"/>
      <c r="D26" s="515"/>
      <c r="E26" s="515"/>
      <c r="F26" s="515"/>
      <c r="G26" s="515"/>
      <c r="H26" s="515"/>
      <c r="I26" s="515"/>
      <c r="J26" s="515"/>
      <c r="K26" s="448">
        <v>135899.56478540809</v>
      </c>
      <c r="L26" s="516"/>
      <c r="M26" s="516"/>
      <c r="N26" s="269">
        <f t="shared" si="0"/>
        <v>13.58995647854081</v>
      </c>
      <c r="O26" s="448">
        <v>-6.9848055071880122</v>
      </c>
      <c r="P26" s="440"/>
      <c r="Q26" s="448">
        <v>-3.4221882937836012</v>
      </c>
      <c r="R26" s="440"/>
      <c r="S26" s="448">
        <v>-1.8777069115229164</v>
      </c>
      <c r="T26" s="440"/>
      <c r="U26" s="448">
        <v>-3.7599200104000445</v>
      </c>
      <c r="V26" s="440"/>
      <c r="W26" s="448">
        <v>-1.7272986984808494</v>
      </c>
      <c r="X26" s="440"/>
      <c r="Y26" s="448">
        <v>-0.71495086759997006</v>
      </c>
      <c r="Z26" s="440"/>
      <c r="AA26" s="448">
        <v>-0.40946109603500447</v>
      </c>
      <c r="AB26" s="440"/>
      <c r="AC26" s="448">
        <v>-0.24320111704771002</v>
      </c>
      <c r="AD26" s="440"/>
      <c r="AE26" s="448">
        <v>-0.12558292207090654</v>
      </c>
      <c r="AF26" s="440"/>
      <c r="AG26" s="448">
        <v>-0.12181493011396434</v>
      </c>
      <c r="AH26" s="440"/>
      <c r="AI26" s="448">
        <v>0.97493226342808259</v>
      </c>
      <c r="AJ26" s="440"/>
    </row>
    <row r="27" spans="1:36" ht="10.5" customHeight="1" x14ac:dyDescent="0.25">
      <c r="A27" s="515" t="s">
        <v>323</v>
      </c>
      <c r="B27" s="515"/>
      <c r="C27" s="515"/>
      <c r="D27" s="515"/>
      <c r="E27" s="515"/>
      <c r="F27" s="515"/>
      <c r="G27" s="515"/>
      <c r="H27" s="515"/>
      <c r="I27" s="515"/>
      <c r="J27" s="515"/>
      <c r="K27" s="516">
        <v>31198.35722862052</v>
      </c>
      <c r="L27" s="516"/>
      <c r="M27" s="516"/>
      <c r="N27" s="271">
        <f t="shared" si="0"/>
        <v>3.1198357228620521</v>
      </c>
      <c r="O27" s="440">
        <v>-2.3162115065886622</v>
      </c>
      <c r="P27" s="440"/>
      <c r="Q27" s="440">
        <v>-3.6575161695336194</v>
      </c>
      <c r="R27" s="440"/>
      <c r="S27" s="440">
        <v>-1.3704074788871368</v>
      </c>
      <c r="T27" s="440"/>
      <c r="U27" s="440">
        <v>-7.3918502905041965</v>
      </c>
      <c r="V27" s="440"/>
      <c r="W27" s="440">
        <v>0.10378864304310489</v>
      </c>
      <c r="X27" s="440"/>
      <c r="Y27" s="440">
        <v>0.35222972754221288</v>
      </c>
      <c r="Z27" s="440"/>
      <c r="AA27" s="440">
        <v>0.5524746573980337</v>
      </c>
      <c r="AB27" s="440"/>
      <c r="AC27" s="440">
        <v>-1.1322260904216852</v>
      </c>
      <c r="AD27" s="440"/>
      <c r="AE27" s="440">
        <v>-0.13101092684486487</v>
      </c>
      <c r="AF27" s="440"/>
      <c r="AG27" s="440">
        <v>-0.61921468416905534</v>
      </c>
      <c r="AH27" s="440"/>
      <c r="AI27" s="440">
        <v>1.962919386671276</v>
      </c>
      <c r="AJ27" s="440"/>
    </row>
    <row r="28" spans="1:36" ht="10.5" customHeight="1" x14ac:dyDescent="0.25">
      <c r="A28" s="526" t="s">
        <v>332</v>
      </c>
      <c r="B28" s="526"/>
      <c r="C28" s="526"/>
      <c r="D28" s="526"/>
      <c r="E28" s="526"/>
      <c r="F28" s="526"/>
      <c r="G28" s="526"/>
      <c r="H28" s="526"/>
      <c r="I28" s="526"/>
      <c r="J28" s="526"/>
      <c r="K28" s="530">
        <v>62542.63962297565</v>
      </c>
      <c r="L28" s="530"/>
      <c r="M28" s="530"/>
      <c r="N28" s="271">
        <f t="shared" si="0"/>
        <v>6.2542639622975651</v>
      </c>
      <c r="O28" s="521">
        <v>-8.5407693718941058</v>
      </c>
      <c r="P28" s="521"/>
      <c r="Q28" s="521">
        <v>-3.7061860266015474</v>
      </c>
      <c r="R28" s="521"/>
      <c r="S28" s="521">
        <v>-2.1967571503944363</v>
      </c>
      <c r="T28" s="521"/>
      <c r="U28" s="521">
        <v>-2.8714654422863526</v>
      </c>
      <c r="V28" s="521"/>
      <c r="W28" s="521">
        <v>-2.7543282952983184</v>
      </c>
      <c r="X28" s="521"/>
      <c r="Y28" s="521">
        <v>-0.91610062353016786</v>
      </c>
      <c r="Z28" s="521"/>
      <c r="AA28" s="521">
        <v>-0.73111112043249382</v>
      </c>
      <c r="AB28" s="521"/>
      <c r="AC28" s="521">
        <v>0.60845341461120228</v>
      </c>
      <c r="AD28" s="521"/>
      <c r="AE28" s="521">
        <v>6.5857221743746266E-2</v>
      </c>
      <c r="AF28" s="521"/>
      <c r="AG28" s="521">
        <v>-1.7452605892968936E-3</v>
      </c>
      <c r="AH28" s="521"/>
      <c r="AI28" s="521">
        <v>0.90514379753641783</v>
      </c>
      <c r="AJ28" s="521"/>
    </row>
    <row r="29" spans="1:36" ht="10.5" customHeight="1" x14ac:dyDescent="0.25">
      <c r="A29" s="515" t="s">
        <v>333</v>
      </c>
      <c r="B29" s="515"/>
      <c r="C29" s="515"/>
      <c r="D29" s="515"/>
      <c r="E29" s="515"/>
      <c r="F29" s="515"/>
      <c r="G29" s="515"/>
      <c r="H29" s="515"/>
      <c r="I29" s="515"/>
      <c r="J29" s="515"/>
      <c r="K29" s="516">
        <v>29943.734177995662</v>
      </c>
      <c r="L29" s="516"/>
      <c r="M29" s="516"/>
      <c r="N29" s="271">
        <f t="shared" si="0"/>
        <v>2.9943734177995665</v>
      </c>
      <c r="O29" s="527">
        <v>-2.4646238742764086</v>
      </c>
      <c r="P29" s="527"/>
      <c r="Q29" s="527">
        <v>1.0398313340958263</v>
      </c>
      <c r="R29" s="527"/>
      <c r="S29" s="527">
        <v>0.48478952192603769</v>
      </c>
      <c r="T29" s="527"/>
      <c r="U29" s="527">
        <v>-0.27728073354036165</v>
      </c>
      <c r="V29" s="527"/>
      <c r="W29" s="527">
        <v>0.7376387526902638</v>
      </c>
      <c r="X29" s="527"/>
      <c r="Y29" s="527">
        <v>0.4899028634790446</v>
      </c>
      <c r="Z29" s="527"/>
      <c r="AA29" s="527">
        <v>0.65713939193117521</v>
      </c>
      <c r="AB29" s="527"/>
      <c r="AC29" s="527">
        <v>-0.30640869843803015</v>
      </c>
      <c r="AD29" s="527"/>
      <c r="AE29" s="527">
        <v>-0.20205640705037636</v>
      </c>
      <c r="AF29" s="527"/>
      <c r="AG29" s="527">
        <v>1.1550334906404789</v>
      </c>
      <c r="AH29" s="527"/>
      <c r="AI29" s="527">
        <v>0.56367992199254457</v>
      </c>
      <c r="AJ29" s="527"/>
    </row>
    <row r="30" spans="1:36" ht="10.5" customHeight="1" x14ac:dyDescent="0.25">
      <c r="A30" s="526" t="s">
        <v>308</v>
      </c>
      <c r="B30" s="526"/>
      <c r="C30" s="526"/>
      <c r="D30" s="526"/>
      <c r="E30" s="526"/>
      <c r="F30" s="526"/>
      <c r="G30" s="526"/>
      <c r="H30" s="526"/>
      <c r="I30" s="526"/>
      <c r="J30" s="526"/>
      <c r="K30" s="530">
        <v>12214.833755816248</v>
      </c>
      <c r="L30" s="530"/>
      <c r="M30" s="530"/>
      <c r="N30" s="271">
        <f t="shared" si="0"/>
        <v>1.2214833755816248</v>
      </c>
      <c r="O30" s="521">
        <v>-22.023036649229113</v>
      </c>
      <c r="P30" s="521"/>
      <c r="Q30" s="521">
        <v>-12.305298847103748</v>
      </c>
      <c r="R30" s="521"/>
      <c r="S30" s="521">
        <v>-7.3312915726993149</v>
      </c>
      <c r="T30" s="521"/>
      <c r="U30" s="521">
        <v>-7.5699808954907466</v>
      </c>
      <c r="V30" s="521"/>
      <c r="W30" s="521">
        <v>-7.1881349389475506</v>
      </c>
      <c r="X30" s="521"/>
      <c r="Y30" s="521">
        <v>-5.3643522202020755</v>
      </c>
      <c r="Z30" s="521"/>
      <c r="AA30" s="521">
        <v>-3.8341475083106547</v>
      </c>
      <c r="AB30" s="521"/>
      <c r="AC30" s="521">
        <v>-2.1782198990995756</v>
      </c>
      <c r="AD30" s="521"/>
      <c r="AE30" s="521">
        <v>-0.9044658423210965</v>
      </c>
      <c r="AF30" s="521"/>
      <c r="AG30" s="521">
        <v>-2.5962676454907765</v>
      </c>
      <c r="AH30" s="521"/>
      <c r="AI30" s="521">
        <v>-0.18303597640621741</v>
      </c>
      <c r="AJ30" s="521"/>
    </row>
    <row r="31" spans="1:36" ht="10.5" customHeight="1" x14ac:dyDescent="0.25">
      <c r="A31" s="449" t="s">
        <v>319</v>
      </c>
      <c r="B31" s="515"/>
      <c r="C31" s="515"/>
      <c r="D31" s="515"/>
      <c r="E31" s="515"/>
      <c r="F31" s="515"/>
      <c r="G31" s="515"/>
      <c r="H31" s="515"/>
      <c r="I31" s="515"/>
      <c r="J31" s="515"/>
      <c r="K31" s="448">
        <v>86928.087975345494</v>
      </c>
      <c r="L31" s="516"/>
      <c r="M31" s="516"/>
      <c r="N31" s="269">
        <f t="shared" si="0"/>
        <v>8.6928087975345498</v>
      </c>
      <c r="O31" s="448">
        <v>0.67179519814722488</v>
      </c>
      <c r="P31" s="527"/>
      <c r="Q31" s="448">
        <v>2.7256995408959042</v>
      </c>
      <c r="R31" s="527"/>
      <c r="S31" s="448">
        <v>0.19923515129736932</v>
      </c>
      <c r="T31" s="527"/>
      <c r="U31" s="448">
        <v>9.2586868479314147E-2</v>
      </c>
      <c r="V31" s="527"/>
      <c r="W31" s="448">
        <v>0.91449363418516805</v>
      </c>
      <c r="X31" s="527"/>
      <c r="Y31" s="448">
        <v>0.90613622893389212</v>
      </c>
      <c r="Z31" s="527"/>
      <c r="AA31" s="448">
        <v>0.63167412095407116</v>
      </c>
      <c r="AB31" s="527"/>
      <c r="AC31" s="448">
        <v>0.44218309262432565</v>
      </c>
      <c r="AD31" s="527"/>
      <c r="AE31" s="448">
        <v>0.44316031613698709</v>
      </c>
      <c r="AF31" s="527"/>
      <c r="AG31" s="448">
        <v>1.0218145195829313</v>
      </c>
      <c r="AH31" s="527"/>
      <c r="AI31" s="448">
        <v>0.80544505871708816</v>
      </c>
      <c r="AJ31" s="527"/>
    </row>
    <row r="32" spans="1:36" ht="10.5" customHeight="1" x14ac:dyDescent="0.25">
      <c r="A32" s="515" t="s">
        <v>335</v>
      </c>
      <c r="B32" s="515"/>
      <c r="C32" s="515"/>
      <c r="D32" s="515"/>
      <c r="E32" s="515"/>
      <c r="F32" s="515"/>
      <c r="G32" s="515"/>
      <c r="H32" s="515"/>
      <c r="I32" s="515"/>
      <c r="J32" s="515"/>
      <c r="K32" s="516">
        <v>21319.734461061991</v>
      </c>
      <c r="L32" s="516"/>
      <c r="M32" s="516"/>
      <c r="N32" s="271">
        <f t="shared" si="0"/>
        <v>2.131973446106199</v>
      </c>
      <c r="O32" s="440">
        <v>0.51553244627424633</v>
      </c>
      <c r="P32" s="440"/>
      <c r="Q32" s="440">
        <v>3.7914456338660223</v>
      </c>
      <c r="R32" s="440"/>
      <c r="S32" s="440">
        <v>0.17687104817334826</v>
      </c>
      <c r="T32" s="440"/>
      <c r="U32" s="440">
        <v>-0.60805879249501316</v>
      </c>
      <c r="V32" s="440"/>
      <c r="W32" s="440">
        <v>-6.1011375519492407E-2</v>
      </c>
      <c r="X32" s="440"/>
      <c r="Y32" s="440">
        <v>0.76083882865021435</v>
      </c>
      <c r="Z32" s="440"/>
      <c r="AA32" s="440">
        <v>0.16523596129316595</v>
      </c>
      <c r="AB32" s="440"/>
      <c r="AC32" s="440">
        <v>1.4181798927724087</v>
      </c>
      <c r="AD32" s="440"/>
      <c r="AE32" s="440">
        <v>0.45460964919881358</v>
      </c>
      <c r="AF32" s="440"/>
      <c r="AG32" s="440">
        <v>0.34583188291876871</v>
      </c>
      <c r="AH32" s="440"/>
      <c r="AI32" s="440">
        <v>0.73233412748495463</v>
      </c>
      <c r="AJ32" s="440"/>
    </row>
    <row r="33" spans="1:36" ht="10.5" customHeight="1" x14ac:dyDescent="0.25">
      <c r="A33" s="515" t="s">
        <v>336</v>
      </c>
      <c r="B33" s="515"/>
      <c r="C33" s="515"/>
      <c r="D33" s="515"/>
      <c r="E33" s="515"/>
      <c r="F33" s="515"/>
      <c r="G33" s="515"/>
      <c r="H33" s="515"/>
      <c r="I33" s="515"/>
      <c r="J33" s="515"/>
      <c r="K33" s="516">
        <v>17445.328407307516</v>
      </c>
      <c r="L33" s="516"/>
      <c r="M33" s="516"/>
      <c r="N33" s="271">
        <f t="shared" si="0"/>
        <v>1.7445328407307517</v>
      </c>
      <c r="O33" s="440">
        <v>-6.0309200396127505</v>
      </c>
      <c r="P33" s="440"/>
      <c r="Q33" s="440">
        <v>-2.8754147758520565</v>
      </c>
      <c r="R33" s="440"/>
      <c r="S33" s="440">
        <v>-1.4396236508875253</v>
      </c>
      <c r="T33" s="440"/>
      <c r="U33" s="440">
        <v>-2.4780816507063985</v>
      </c>
      <c r="V33" s="440"/>
      <c r="W33" s="440">
        <v>-0.75482571789015485</v>
      </c>
      <c r="X33" s="440"/>
      <c r="Y33" s="440">
        <v>-0.27877810524166119</v>
      </c>
      <c r="Z33" s="440"/>
      <c r="AA33" s="440">
        <v>5.0682553351037996E-2</v>
      </c>
      <c r="AB33" s="440"/>
      <c r="AC33" s="440">
        <v>-0.80211621749606887</v>
      </c>
      <c r="AD33" s="440"/>
      <c r="AE33" s="440">
        <v>-4.982628827907014E-4</v>
      </c>
      <c r="AF33" s="440"/>
      <c r="AG33" s="440">
        <v>0.70622930538373174</v>
      </c>
      <c r="AH33" s="440"/>
      <c r="AI33" s="440">
        <v>0.20936444276679042</v>
      </c>
      <c r="AJ33" s="440"/>
    </row>
    <row r="34" spans="1:36" ht="10.5" customHeight="1" x14ac:dyDescent="0.25">
      <c r="A34" s="515" t="s">
        <v>339</v>
      </c>
      <c r="B34" s="515"/>
      <c r="C34" s="515"/>
      <c r="D34" s="515"/>
      <c r="E34" s="515"/>
      <c r="F34" s="515"/>
      <c r="G34" s="515"/>
      <c r="H34" s="515"/>
      <c r="I34" s="515"/>
      <c r="J34" s="515"/>
      <c r="K34" s="516">
        <v>48163.025106975991</v>
      </c>
      <c r="L34" s="516"/>
      <c r="M34" s="516"/>
      <c r="N34" s="271">
        <f t="shared" si="0"/>
        <v>4.8163025106975992</v>
      </c>
      <c r="O34" s="440">
        <v>3.1687843023896272</v>
      </c>
      <c r="P34" s="440"/>
      <c r="Q34" s="440">
        <v>4.2827415836441967</v>
      </c>
      <c r="R34" s="440"/>
      <c r="S34" s="440">
        <v>0.80275261501197359</v>
      </c>
      <c r="T34" s="440"/>
      <c r="U34" s="440">
        <v>1.3338655434380029</v>
      </c>
      <c r="V34" s="440"/>
      <c r="W34" s="440">
        <v>1.9509595117974818</v>
      </c>
      <c r="X34" s="440"/>
      <c r="Y34" s="440">
        <v>1.3996459624556994</v>
      </c>
      <c r="Z34" s="440"/>
      <c r="AA34" s="440">
        <v>1.0485899264000105</v>
      </c>
      <c r="AB34" s="440"/>
      <c r="AC34" s="440">
        <v>0.46085337934397969</v>
      </c>
      <c r="AD34" s="440"/>
      <c r="AE34" s="440">
        <v>0.59879158835121871</v>
      </c>
      <c r="AF34" s="440"/>
      <c r="AG34" s="440">
        <v>1.4353528712941319</v>
      </c>
      <c r="AH34" s="440"/>
      <c r="AI34" s="440">
        <v>1.0537170000246292</v>
      </c>
      <c r="AJ34" s="440"/>
    </row>
    <row r="35" spans="1:36" ht="10.5" customHeight="1" x14ac:dyDescent="0.25">
      <c r="A35" s="449" t="s">
        <v>317</v>
      </c>
      <c r="B35" s="515"/>
      <c r="C35" s="515"/>
      <c r="D35" s="515"/>
      <c r="E35" s="515"/>
      <c r="F35" s="515"/>
      <c r="G35" s="515"/>
      <c r="H35" s="515"/>
      <c r="I35" s="515"/>
      <c r="J35" s="515"/>
      <c r="K35" s="448">
        <v>145630.52203855553</v>
      </c>
      <c r="L35" s="516"/>
      <c r="M35" s="516"/>
      <c r="N35" s="269">
        <f t="shared" si="0"/>
        <v>14.563052203855554</v>
      </c>
      <c r="O35" s="448">
        <v>-5.5487564706419636</v>
      </c>
      <c r="P35" s="440"/>
      <c r="Q35" s="448">
        <v>-11.623967415191046</v>
      </c>
      <c r="R35" s="440"/>
      <c r="S35" s="448">
        <v>-3.3745120915119244</v>
      </c>
      <c r="T35" s="440"/>
      <c r="U35" s="448">
        <v>-1.5717787677633281</v>
      </c>
      <c r="V35" s="440"/>
      <c r="W35" s="448">
        <v>-2.5371559365798761</v>
      </c>
      <c r="X35" s="440"/>
      <c r="Y35" s="448">
        <v>-2.7325399286429723</v>
      </c>
      <c r="Z35" s="440"/>
      <c r="AA35" s="448">
        <v>-0.86453815833079384</v>
      </c>
      <c r="AB35" s="440"/>
      <c r="AC35" s="448">
        <v>-0.56191684347826298</v>
      </c>
      <c r="AD35" s="440"/>
      <c r="AE35" s="448">
        <v>-1.0411210312071604</v>
      </c>
      <c r="AF35" s="440"/>
      <c r="AG35" s="448">
        <v>-3.7676738462774484</v>
      </c>
      <c r="AH35" s="440"/>
      <c r="AI35" s="448">
        <v>1.5710064969687174</v>
      </c>
      <c r="AJ35" s="440"/>
    </row>
    <row r="36" spans="1:36" ht="10.5" customHeight="1" x14ac:dyDescent="0.25">
      <c r="A36" s="515" t="s">
        <v>312</v>
      </c>
      <c r="B36" s="515"/>
      <c r="C36" s="515"/>
      <c r="D36" s="515"/>
      <c r="E36" s="515"/>
      <c r="F36" s="515"/>
      <c r="G36" s="515"/>
      <c r="H36" s="515"/>
      <c r="I36" s="515"/>
      <c r="J36" s="515"/>
      <c r="K36" s="516">
        <v>26002.025632982382</v>
      </c>
      <c r="L36" s="516"/>
      <c r="M36" s="516"/>
      <c r="N36" s="271">
        <f t="shared" si="0"/>
        <v>2.6002025632982382</v>
      </c>
      <c r="O36" s="440">
        <v>8.1157105699435341</v>
      </c>
      <c r="P36" s="440"/>
      <c r="Q36" s="440">
        <v>3.7540404332430564</v>
      </c>
      <c r="R36" s="440"/>
      <c r="S36" s="440">
        <v>0.9077649718302272</v>
      </c>
      <c r="T36" s="440"/>
      <c r="U36" s="440">
        <v>-0.15788223481549871</v>
      </c>
      <c r="V36" s="440"/>
      <c r="W36" s="440">
        <v>1.5997601799792831</v>
      </c>
      <c r="X36" s="440"/>
      <c r="Y36" s="440">
        <v>0.94603542857411804</v>
      </c>
      <c r="Z36" s="440"/>
      <c r="AA36" s="440">
        <v>0.82777612405375622</v>
      </c>
      <c r="AB36" s="440"/>
      <c r="AC36" s="440">
        <v>1.7948098014596987</v>
      </c>
      <c r="AD36" s="440"/>
      <c r="AE36" s="440">
        <v>0.16499677306680852</v>
      </c>
      <c r="AF36" s="440"/>
      <c r="AG36" s="440">
        <v>-2.1274732421877425</v>
      </c>
      <c r="AH36" s="440"/>
      <c r="AI36" s="440">
        <v>0.88992654472700294</v>
      </c>
      <c r="AJ36" s="440"/>
    </row>
    <row r="37" spans="1:36" ht="10.5" customHeight="1" x14ac:dyDescent="0.25">
      <c r="A37" s="515" t="s">
        <v>307</v>
      </c>
      <c r="B37" s="515"/>
      <c r="C37" s="515"/>
      <c r="D37" s="515"/>
      <c r="E37" s="515"/>
      <c r="F37" s="515"/>
      <c r="G37" s="515"/>
      <c r="H37" s="515"/>
      <c r="I37" s="515"/>
      <c r="J37" s="515"/>
      <c r="K37" s="516">
        <v>29539.219988021599</v>
      </c>
      <c r="L37" s="516"/>
      <c r="M37" s="516"/>
      <c r="N37" s="271">
        <f t="shared" si="0"/>
        <v>2.9539219988021599</v>
      </c>
      <c r="O37" s="440">
        <v>-16.977619762744329</v>
      </c>
      <c r="P37" s="440"/>
      <c r="Q37" s="440">
        <v>-11.838912091075446</v>
      </c>
      <c r="R37" s="440"/>
      <c r="S37" s="440">
        <v>-4.7514883139514357</v>
      </c>
      <c r="T37" s="440"/>
      <c r="U37" s="440">
        <v>-7.5121472741717561</v>
      </c>
      <c r="V37" s="440"/>
      <c r="W37" s="440">
        <v>-5.4571407738563833</v>
      </c>
      <c r="X37" s="440"/>
      <c r="Y37" s="440">
        <v>-2.7260680580995862</v>
      </c>
      <c r="Z37" s="440"/>
      <c r="AA37" s="440">
        <v>-1.9894528564475957</v>
      </c>
      <c r="AB37" s="440"/>
      <c r="AC37" s="440">
        <v>-1.6232624351017801</v>
      </c>
      <c r="AD37" s="440"/>
      <c r="AE37" s="440">
        <v>-0.99289453574083641</v>
      </c>
      <c r="AF37" s="440"/>
      <c r="AG37" s="440">
        <v>-1.0988992592152995</v>
      </c>
      <c r="AH37" s="440"/>
      <c r="AI37" s="440">
        <v>0.52770228562540344</v>
      </c>
      <c r="AJ37" s="440"/>
    </row>
    <row r="38" spans="1:36" ht="10.5" customHeight="1" x14ac:dyDescent="0.25">
      <c r="A38" s="515" t="s">
        <v>342</v>
      </c>
      <c r="B38" s="515"/>
      <c r="C38" s="515"/>
      <c r="D38" s="515"/>
      <c r="E38" s="515"/>
      <c r="F38" s="515"/>
      <c r="G38" s="515"/>
      <c r="H38" s="515"/>
      <c r="I38" s="515"/>
      <c r="J38" s="515"/>
      <c r="K38" s="516">
        <v>26503.264412856246</v>
      </c>
      <c r="L38" s="516"/>
      <c r="M38" s="516"/>
      <c r="N38" s="271">
        <f t="shared" si="0"/>
        <v>2.6503264412856247</v>
      </c>
      <c r="O38" s="440">
        <v>-16.879502644044148</v>
      </c>
      <c r="P38" s="440"/>
      <c r="Q38" s="440">
        <v>-8.5193266303453594</v>
      </c>
      <c r="R38" s="440"/>
      <c r="S38" s="440">
        <v>-4.4265950918537582</v>
      </c>
      <c r="T38" s="440"/>
      <c r="U38" s="440">
        <v>-2.1894985184044704</v>
      </c>
      <c r="V38" s="440"/>
      <c r="W38" s="440">
        <v>-4.1492299716576122</v>
      </c>
      <c r="X38" s="440"/>
      <c r="Y38" s="440">
        <v>-2.8373036559940381</v>
      </c>
      <c r="Z38" s="440"/>
      <c r="AA38" s="440">
        <v>-2.3252195474876975</v>
      </c>
      <c r="AB38" s="440"/>
      <c r="AC38" s="440">
        <v>-3.0934758921549279</v>
      </c>
      <c r="AD38" s="440"/>
      <c r="AE38" s="440">
        <v>-1.1603701184528736</v>
      </c>
      <c r="AF38" s="440"/>
      <c r="AG38" s="440">
        <v>0.54616445082560439</v>
      </c>
      <c r="AH38" s="440"/>
      <c r="AI38" s="440">
        <v>-0.86863254144673596</v>
      </c>
      <c r="AJ38" s="440"/>
    </row>
    <row r="39" spans="1:36" ht="10.5" customHeight="1" x14ac:dyDescent="0.25">
      <c r="A39" s="515" t="s">
        <v>306</v>
      </c>
      <c r="B39" s="515"/>
      <c r="C39" s="515"/>
      <c r="D39" s="515"/>
      <c r="E39" s="515"/>
      <c r="F39" s="515"/>
      <c r="G39" s="515"/>
      <c r="H39" s="515"/>
      <c r="I39" s="515"/>
      <c r="J39" s="515"/>
      <c r="K39" s="516">
        <v>8686.6099113325399</v>
      </c>
      <c r="L39" s="516"/>
      <c r="M39" s="516"/>
      <c r="N39" s="271">
        <f t="shared" si="0"/>
        <v>0.86866099113325401</v>
      </c>
      <c r="O39" s="440">
        <v>-22.480781925735812</v>
      </c>
      <c r="P39" s="440"/>
      <c r="Q39" s="440">
        <v>-26.684503637185941</v>
      </c>
      <c r="R39" s="440"/>
      <c r="S39" s="440">
        <v>-7.9984564303591066</v>
      </c>
      <c r="T39" s="440"/>
      <c r="U39" s="440">
        <v>-8.507815522386597</v>
      </c>
      <c r="V39" s="440"/>
      <c r="W39" s="440">
        <v>-7.5970197633444698</v>
      </c>
      <c r="X39" s="440"/>
      <c r="Y39" s="440">
        <v>-7.5670559385438514</v>
      </c>
      <c r="Z39" s="440"/>
      <c r="AA39" s="440">
        <v>-3.5451570564127977</v>
      </c>
      <c r="AB39" s="440"/>
      <c r="AC39" s="440">
        <v>-4.5800419162435357</v>
      </c>
      <c r="AD39" s="440"/>
      <c r="AE39" s="440">
        <v>-2.7795679690313913</v>
      </c>
      <c r="AF39" s="440"/>
      <c r="AG39" s="440">
        <v>-6.1479653830193159</v>
      </c>
      <c r="AH39" s="440"/>
      <c r="AI39" s="440">
        <v>-1.2212106026756813</v>
      </c>
      <c r="AJ39" s="440"/>
    </row>
    <row r="40" spans="1:36" ht="10.5" customHeight="1" x14ac:dyDescent="0.25">
      <c r="A40" s="515" t="s">
        <v>345</v>
      </c>
      <c r="B40" s="515"/>
      <c r="C40" s="515"/>
      <c r="D40" s="515"/>
      <c r="E40" s="515"/>
      <c r="F40" s="515"/>
      <c r="G40" s="515"/>
      <c r="H40" s="515"/>
      <c r="I40" s="515"/>
      <c r="J40" s="515"/>
      <c r="K40" s="516">
        <v>54899.402093362791</v>
      </c>
      <c r="L40" s="516"/>
      <c r="M40" s="516"/>
      <c r="N40" s="271">
        <f t="shared" si="0"/>
        <v>5.4899402093362788</v>
      </c>
      <c r="O40" s="440">
        <v>2.2779143186529094</v>
      </c>
      <c r="P40" s="440"/>
      <c r="Q40" s="440">
        <v>-17.907609047900781</v>
      </c>
      <c r="R40" s="440"/>
      <c r="S40" s="440">
        <v>-3.4222911136872529</v>
      </c>
      <c r="T40" s="440"/>
      <c r="U40" s="440">
        <v>2.3505210300520112</v>
      </c>
      <c r="V40" s="440"/>
      <c r="W40" s="440">
        <v>-1.346538903503633</v>
      </c>
      <c r="X40" s="440"/>
      <c r="Y40" s="440">
        <v>-3.662776822609946</v>
      </c>
      <c r="Z40" s="440"/>
      <c r="AA40" s="440">
        <v>6.8510603603584144E-2</v>
      </c>
      <c r="AB40" s="440"/>
      <c r="AC40" s="440">
        <v>0.75085006217947503</v>
      </c>
      <c r="AD40" s="440"/>
      <c r="AE40" s="440">
        <v>-1.3056845433300475</v>
      </c>
      <c r="AF40" s="440"/>
      <c r="AG40" s="440">
        <v>-7.6864085235347197</v>
      </c>
      <c r="AH40" s="440"/>
      <c r="AI40" s="440">
        <v>4.0745155514986138</v>
      </c>
      <c r="AJ40" s="440"/>
    </row>
    <row r="41" spans="1:36" ht="10.5" customHeight="1" x14ac:dyDescent="0.25">
      <c r="A41" s="449" t="s">
        <v>315</v>
      </c>
      <c r="B41" s="515"/>
      <c r="C41" s="515"/>
      <c r="D41" s="515"/>
      <c r="E41" s="515"/>
      <c r="F41" s="515"/>
      <c r="G41" s="515"/>
      <c r="H41" s="515"/>
      <c r="I41" s="515"/>
      <c r="J41" s="515"/>
      <c r="K41" s="448">
        <v>299104.13520474709</v>
      </c>
      <c r="L41" s="516"/>
      <c r="M41" s="516"/>
      <c r="N41" s="269">
        <f t="shared" si="0"/>
        <v>29.910413520474709</v>
      </c>
      <c r="O41" s="448">
        <v>-0.81583041440315918</v>
      </c>
      <c r="P41" s="440"/>
      <c r="Q41" s="448">
        <v>1.7697802027994143</v>
      </c>
      <c r="R41" s="440"/>
      <c r="S41" s="448">
        <v>-0.27544679202185762</v>
      </c>
      <c r="T41" s="440"/>
      <c r="U41" s="448">
        <v>0.27851034728144458</v>
      </c>
      <c r="V41" s="440"/>
      <c r="W41" s="448">
        <v>0.17737817260572827</v>
      </c>
      <c r="X41" s="440"/>
      <c r="Y41" s="448">
        <v>0.56286246187568589</v>
      </c>
      <c r="Z41" s="440"/>
      <c r="AA41" s="448">
        <v>0.3449454202169428</v>
      </c>
      <c r="AB41" s="440"/>
      <c r="AC41" s="448">
        <v>0.77082412703678338</v>
      </c>
      <c r="AD41" s="440"/>
      <c r="AE41" s="448">
        <v>0.41078493382173292</v>
      </c>
      <c r="AF41" s="440"/>
      <c r="AG41" s="448">
        <v>0.86284082821726815</v>
      </c>
      <c r="AH41" s="440"/>
      <c r="AI41" s="448">
        <v>1.4958422128778162</v>
      </c>
      <c r="AJ41" s="440"/>
    </row>
    <row r="42" spans="1:36" ht="10.5" customHeight="1" x14ac:dyDescent="0.25">
      <c r="A42" s="515" t="s">
        <v>328</v>
      </c>
      <c r="B42" s="515"/>
      <c r="C42" s="515"/>
      <c r="D42" s="515"/>
      <c r="E42" s="515"/>
      <c r="F42" s="515"/>
      <c r="G42" s="515"/>
      <c r="H42" s="515"/>
      <c r="I42" s="515"/>
      <c r="J42" s="515"/>
      <c r="K42" s="516">
        <v>50884.559134344614</v>
      </c>
      <c r="L42" s="516"/>
      <c r="M42" s="516"/>
      <c r="N42" s="271">
        <f t="shared" ref="N42:N63" si="1">IF(ISBLANK(K42)=TRUE,"",K42/$K$14*100)</f>
        <v>5.0884559134344611</v>
      </c>
      <c r="O42" s="527">
        <v>-0.51919864491831291</v>
      </c>
      <c r="P42" s="527"/>
      <c r="Q42" s="527">
        <v>2.0928679145780267</v>
      </c>
      <c r="R42" s="527"/>
      <c r="S42" s="527">
        <v>-0.34441473772176179</v>
      </c>
      <c r="T42" s="527"/>
      <c r="U42" s="527">
        <v>-1.9223184201519108</v>
      </c>
      <c r="V42" s="527"/>
      <c r="W42" s="527">
        <v>-0.31047240862353387</v>
      </c>
      <c r="X42" s="527"/>
      <c r="Y42" s="527">
        <v>0.60227287999995671</v>
      </c>
      <c r="Z42" s="527"/>
      <c r="AA42" s="527">
        <v>-9.4085841158735514E-2</v>
      </c>
      <c r="AB42" s="527"/>
      <c r="AC42" s="527">
        <v>0.54290593685576949</v>
      </c>
      <c r="AD42" s="527"/>
      <c r="AE42" s="527">
        <v>5.7438687253116204E-2</v>
      </c>
      <c r="AF42" s="527"/>
      <c r="AG42" s="527">
        <v>7.4532460279086513E-2</v>
      </c>
      <c r="AH42" s="527"/>
      <c r="AI42" s="527">
        <v>1.2003748241040351</v>
      </c>
      <c r="AJ42" s="527"/>
    </row>
    <row r="43" spans="1:36" ht="10.5" customHeight="1" x14ac:dyDescent="0.25">
      <c r="A43" s="515" t="s">
        <v>331</v>
      </c>
      <c r="B43" s="515"/>
      <c r="C43" s="515"/>
      <c r="D43" s="515"/>
      <c r="E43" s="515"/>
      <c r="F43" s="515"/>
      <c r="G43" s="515"/>
      <c r="H43" s="515"/>
      <c r="I43" s="515"/>
      <c r="J43" s="515"/>
      <c r="K43" s="516">
        <v>19781.361566591197</v>
      </c>
      <c r="L43" s="516"/>
      <c r="M43" s="516"/>
      <c r="N43" s="271">
        <f t="shared" si="1"/>
        <v>1.9781361566591196</v>
      </c>
      <c r="O43" s="440">
        <v>-8.2073801096250456</v>
      </c>
      <c r="P43" s="440"/>
      <c r="Q43" s="440">
        <v>-1.4177735316120419</v>
      </c>
      <c r="R43" s="440"/>
      <c r="S43" s="440">
        <v>-1.2213436762850329</v>
      </c>
      <c r="T43" s="440"/>
      <c r="U43" s="440">
        <v>4.4549492002569941</v>
      </c>
      <c r="V43" s="440"/>
      <c r="W43" s="440">
        <v>0.73368969356396563</v>
      </c>
      <c r="X43" s="440"/>
      <c r="Y43" s="440">
        <v>-0.61580068358163764</v>
      </c>
      <c r="Z43" s="440"/>
      <c r="AA43" s="440">
        <v>1.1624338368573888</v>
      </c>
      <c r="AB43" s="440"/>
      <c r="AC43" s="440">
        <v>0.1482926874100467</v>
      </c>
      <c r="AD43" s="440"/>
      <c r="AE43" s="440">
        <v>0.77394104360481719</v>
      </c>
      <c r="AF43" s="440"/>
      <c r="AG43" s="440">
        <v>2.6735500199877311</v>
      </c>
      <c r="AH43" s="440"/>
      <c r="AI43" s="440">
        <v>2.1209852541059657</v>
      </c>
      <c r="AJ43" s="440"/>
    </row>
    <row r="44" spans="1:36" ht="10.5" customHeight="1" x14ac:dyDescent="0.25">
      <c r="A44" s="515" t="s">
        <v>311</v>
      </c>
      <c r="B44" s="515"/>
      <c r="C44" s="515"/>
      <c r="D44" s="515"/>
      <c r="E44" s="515"/>
      <c r="F44" s="515"/>
      <c r="G44" s="515"/>
      <c r="H44" s="515"/>
      <c r="I44" s="515"/>
      <c r="J44" s="515"/>
      <c r="K44" s="516">
        <v>93802.81485468919</v>
      </c>
      <c r="L44" s="516"/>
      <c r="M44" s="516"/>
      <c r="N44" s="271">
        <f t="shared" si="1"/>
        <v>9.3802814854689185</v>
      </c>
      <c r="O44" s="440">
        <v>1.0175125481157885</v>
      </c>
      <c r="P44" s="440"/>
      <c r="Q44" s="440">
        <v>3.7457405915474591</v>
      </c>
      <c r="R44" s="440"/>
      <c r="S44" s="440">
        <v>-2.6860976907452348E-2</v>
      </c>
      <c r="T44" s="440"/>
      <c r="U44" s="440">
        <v>-0.23266343349574686</v>
      </c>
      <c r="V44" s="440"/>
      <c r="W44" s="440">
        <v>0.28982903640034302</v>
      </c>
      <c r="X44" s="440"/>
      <c r="Y44" s="440">
        <v>1.0862478956916608</v>
      </c>
      <c r="Z44" s="440"/>
      <c r="AA44" s="440">
        <v>0.28834848789615092</v>
      </c>
      <c r="AB44" s="440"/>
      <c r="AC44" s="440">
        <v>1.2438390403183881</v>
      </c>
      <c r="AD44" s="440"/>
      <c r="AE44" s="440">
        <v>0.4317955609218706</v>
      </c>
      <c r="AF44" s="440"/>
      <c r="AG44" s="440">
        <v>0.70671218176135164</v>
      </c>
      <c r="AH44" s="440"/>
      <c r="AI44" s="440">
        <v>2.196880387862747</v>
      </c>
      <c r="AJ44" s="440"/>
    </row>
    <row r="45" spans="1:36" ht="10.5" customHeight="1" x14ac:dyDescent="0.25">
      <c r="A45" s="515" t="s">
        <v>309</v>
      </c>
      <c r="B45" s="515"/>
      <c r="C45" s="515"/>
      <c r="D45" s="515"/>
      <c r="E45" s="515"/>
      <c r="F45" s="515"/>
      <c r="G45" s="515"/>
      <c r="H45" s="515"/>
      <c r="I45" s="515"/>
      <c r="J45" s="515"/>
      <c r="K45" s="516">
        <v>19130.169420027178</v>
      </c>
      <c r="L45" s="516"/>
      <c r="M45" s="516"/>
      <c r="N45" s="271">
        <f t="shared" si="1"/>
        <v>1.9130169420027179</v>
      </c>
      <c r="O45" s="440">
        <v>13.692151849945285</v>
      </c>
      <c r="P45" s="440"/>
      <c r="Q45" s="440">
        <v>10.361396532075137</v>
      </c>
      <c r="R45" s="440"/>
      <c r="S45" s="440">
        <v>2.8606597281145216</v>
      </c>
      <c r="T45" s="440"/>
      <c r="U45" s="440">
        <v>8.6059911146773587</v>
      </c>
      <c r="V45" s="440"/>
      <c r="W45" s="440">
        <v>3.0239808752281951</v>
      </c>
      <c r="X45" s="440"/>
      <c r="Y45" s="440">
        <v>2.2296692458913343</v>
      </c>
      <c r="Z45" s="440"/>
      <c r="AA45" s="440">
        <v>1.262772663014565</v>
      </c>
      <c r="AB45" s="440"/>
      <c r="AC45" s="440">
        <v>3.5428099547876375</v>
      </c>
      <c r="AD45" s="440"/>
      <c r="AE45" s="440">
        <v>1.3075660801916471</v>
      </c>
      <c r="AF45" s="440"/>
      <c r="AG45" s="440">
        <v>1.3421773095345124</v>
      </c>
      <c r="AH45" s="440"/>
      <c r="AI45" s="440">
        <v>3.3842179356577105</v>
      </c>
      <c r="AJ45" s="440"/>
    </row>
    <row r="46" spans="1:36" ht="10.5" customHeight="1" x14ac:dyDescent="0.25">
      <c r="A46" s="515" t="s">
        <v>334</v>
      </c>
      <c r="B46" s="515"/>
      <c r="C46" s="515"/>
      <c r="D46" s="515"/>
      <c r="E46" s="515"/>
      <c r="F46" s="515"/>
      <c r="G46" s="515"/>
      <c r="H46" s="515"/>
      <c r="I46" s="515"/>
      <c r="J46" s="515"/>
      <c r="K46" s="516">
        <v>79690.284301623789</v>
      </c>
      <c r="L46" s="516"/>
      <c r="M46" s="516"/>
      <c r="N46" s="271">
        <f t="shared" si="1"/>
        <v>7.9690284301623793</v>
      </c>
      <c r="O46" s="440">
        <v>-0.21851723461009842</v>
      </c>
      <c r="P46" s="440"/>
      <c r="Q46" s="440">
        <v>1.1898726046449666</v>
      </c>
      <c r="R46" s="440"/>
      <c r="S46" s="440">
        <v>5.2004545207866709E-2</v>
      </c>
      <c r="T46" s="440"/>
      <c r="U46" s="440">
        <v>0.85148200020866338</v>
      </c>
      <c r="V46" s="440"/>
      <c r="W46" s="440">
        <v>0.94320458886788117</v>
      </c>
      <c r="X46" s="440"/>
      <c r="Y46" s="440">
        <v>0.73522500156573223</v>
      </c>
      <c r="Z46" s="440"/>
      <c r="AA46" s="440">
        <v>0.81439033148240403</v>
      </c>
      <c r="AB46" s="440"/>
      <c r="AC46" s="440">
        <v>0.30557553230380213</v>
      </c>
      <c r="AD46" s="440"/>
      <c r="AE46" s="440">
        <v>0.60817157330192173</v>
      </c>
      <c r="AF46" s="440"/>
      <c r="AG46" s="440">
        <v>1.4242825025536849</v>
      </c>
      <c r="AH46" s="440"/>
      <c r="AI46" s="440">
        <v>0.54724052833041126</v>
      </c>
      <c r="AJ46" s="440"/>
    </row>
    <row r="47" spans="1:36" ht="10.5" customHeight="1" x14ac:dyDescent="0.25">
      <c r="A47" s="515" t="s">
        <v>349</v>
      </c>
      <c r="B47" s="515"/>
      <c r="C47" s="515"/>
      <c r="D47" s="515"/>
      <c r="E47" s="515"/>
      <c r="F47" s="515"/>
      <c r="G47" s="515"/>
      <c r="H47" s="515"/>
      <c r="I47" s="515"/>
      <c r="J47" s="515"/>
      <c r="K47" s="516">
        <v>35814.945927471148</v>
      </c>
      <c r="L47" s="516"/>
      <c r="M47" s="516"/>
      <c r="N47" s="271">
        <f t="shared" si="1"/>
        <v>3.5814945927471151</v>
      </c>
      <c r="O47" s="440">
        <v>-11.034804547462146</v>
      </c>
      <c r="P47" s="440"/>
      <c r="Q47" s="440">
        <v>-5.4027210337991933</v>
      </c>
      <c r="R47" s="440"/>
      <c r="S47" s="440">
        <v>-2.7098063689377336</v>
      </c>
      <c r="T47" s="440"/>
      <c r="U47" s="440">
        <v>-3.2854849197493632</v>
      </c>
      <c r="V47" s="440"/>
      <c r="W47" s="440">
        <v>-2.9557736178442626</v>
      </c>
      <c r="X47" s="440"/>
      <c r="Y47" s="440">
        <v>-1.4867500926178165</v>
      </c>
      <c r="Z47" s="440"/>
      <c r="AA47" s="440">
        <v>-0.86936771555451731</v>
      </c>
      <c r="AB47" s="440"/>
      <c r="AC47" s="440">
        <v>-0.24581456948666033</v>
      </c>
      <c r="AD47" s="440"/>
      <c r="AE47" s="440">
        <v>-0.26100396199735487</v>
      </c>
      <c r="AF47" s="440"/>
      <c r="AG47" s="440">
        <v>-0.11360899658948909</v>
      </c>
      <c r="AH47" s="440"/>
      <c r="AI47" s="440">
        <v>0.8363014594190219</v>
      </c>
      <c r="AJ47" s="440"/>
    </row>
    <row r="48" spans="1:36" ht="10.5" customHeight="1" x14ac:dyDescent="0.25">
      <c r="A48" s="449" t="s">
        <v>316</v>
      </c>
      <c r="B48" s="515"/>
      <c r="C48" s="515"/>
      <c r="D48" s="515"/>
      <c r="E48" s="515"/>
      <c r="F48" s="515"/>
      <c r="G48" s="515"/>
      <c r="H48" s="515"/>
      <c r="I48" s="515"/>
      <c r="J48" s="515"/>
      <c r="K48" s="448">
        <v>192856.1418122811</v>
      </c>
      <c r="L48" s="516"/>
      <c r="M48" s="516"/>
      <c r="N48" s="269">
        <f t="shared" si="1"/>
        <v>19.285614181228112</v>
      </c>
      <c r="O48" s="448">
        <v>-1.029916756243151</v>
      </c>
      <c r="P48" s="440"/>
      <c r="Q48" s="448">
        <v>0.22811049792623986</v>
      </c>
      <c r="R48" s="440"/>
      <c r="S48" s="448">
        <v>-0.28534532214969416</v>
      </c>
      <c r="T48" s="440"/>
      <c r="U48" s="448">
        <v>1.6432737397771946</v>
      </c>
      <c r="V48" s="440"/>
      <c r="W48" s="448">
        <v>0.36993442395796672</v>
      </c>
      <c r="X48" s="440"/>
      <c r="Y48" s="448">
        <v>0.35472969678207955</v>
      </c>
      <c r="Z48" s="440"/>
      <c r="AA48" s="448">
        <v>0.39930022357343697</v>
      </c>
      <c r="AB48" s="440"/>
      <c r="AC48" s="448">
        <v>0.2350178155314985</v>
      </c>
      <c r="AD48" s="440"/>
      <c r="AE48" s="448">
        <v>0.34172857168788362</v>
      </c>
      <c r="AF48" s="440"/>
      <c r="AG48" s="448">
        <v>1.1444200744738076</v>
      </c>
      <c r="AH48" s="440"/>
      <c r="AI48" s="448">
        <v>0.96051262727837361</v>
      </c>
      <c r="AJ48" s="440"/>
    </row>
    <row r="49" spans="1:36" ht="10.5" customHeight="1" x14ac:dyDescent="0.25">
      <c r="A49" s="515" t="s">
        <v>324</v>
      </c>
      <c r="B49" s="515"/>
      <c r="C49" s="515"/>
      <c r="D49" s="515"/>
      <c r="E49" s="515"/>
      <c r="F49" s="515"/>
      <c r="G49" s="515"/>
      <c r="H49" s="515"/>
      <c r="I49" s="515"/>
      <c r="J49" s="515"/>
      <c r="K49" s="516">
        <v>3838.285109837846</v>
      </c>
      <c r="L49" s="516"/>
      <c r="M49" s="516"/>
      <c r="N49" s="271">
        <f t="shared" si="1"/>
        <v>0.38382851098378462</v>
      </c>
      <c r="O49" s="440">
        <v>-7.8368494641738087</v>
      </c>
      <c r="P49" s="440"/>
      <c r="Q49" s="440">
        <v>-5.5819151450637197</v>
      </c>
      <c r="R49" s="440"/>
      <c r="S49" s="440">
        <v>-2.3661468880924654</v>
      </c>
      <c r="T49" s="440"/>
      <c r="U49" s="440">
        <v>-8.6444406835236638</v>
      </c>
      <c r="V49" s="440"/>
      <c r="W49" s="440">
        <v>-3.952085567908687</v>
      </c>
      <c r="X49" s="440"/>
      <c r="Y49" s="440">
        <v>-1.6919120590381127</v>
      </c>
      <c r="Z49" s="440"/>
      <c r="AA49" s="440">
        <v>-2.2353650361554345</v>
      </c>
      <c r="AB49" s="440"/>
      <c r="AC49" s="440">
        <v>-1.6731249200523914</v>
      </c>
      <c r="AD49" s="440"/>
      <c r="AE49" s="440">
        <v>-1.5928982033935848</v>
      </c>
      <c r="AF49" s="440"/>
      <c r="AG49" s="440">
        <v>-2.9249690791846397</v>
      </c>
      <c r="AH49" s="440"/>
      <c r="AI49" s="440">
        <v>-1.1990010182602795</v>
      </c>
      <c r="AJ49" s="440"/>
    </row>
    <row r="50" spans="1:36" ht="10.5" customHeight="1" x14ac:dyDescent="0.25">
      <c r="A50" s="515" t="s">
        <v>325</v>
      </c>
      <c r="B50" s="515"/>
      <c r="C50" s="515"/>
      <c r="D50" s="515"/>
      <c r="E50" s="515"/>
      <c r="F50" s="515"/>
      <c r="G50" s="515"/>
      <c r="H50" s="515"/>
      <c r="I50" s="515"/>
      <c r="J50" s="515"/>
      <c r="K50" s="516">
        <v>22527.33881712849</v>
      </c>
      <c r="L50" s="516"/>
      <c r="M50" s="516"/>
      <c r="N50" s="271">
        <f t="shared" si="1"/>
        <v>2.2527338817128491</v>
      </c>
      <c r="O50" s="440">
        <v>-4.736098347423721</v>
      </c>
      <c r="P50" s="440"/>
      <c r="Q50" s="440">
        <v>1.138675879902292</v>
      </c>
      <c r="R50" s="440"/>
      <c r="S50" s="440">
        <v>-0.6551164501332426</v>
      </c>
      <c r="T50" s="440"/>
      <c r="U50" s="440">
        <v>-0.64863475292000206</v>
      </c>
      <c r="V50" s="440"/>
      <c r="W50" s="440">
        <v>-0.64830029318482385</v>
      </c>
      <c r="X50" s="440"/>
      <c r="Y50" s="440">
        <v>0.24844020027383998</v>
      </c>
      <c r="Z50" s="440"/>
      <c r="AA50" s="440">
        <v>-3.369968670502313E-2</v>
      </c>
      <c r="AB50" s="440"/>
      <c r="AC50" s="440">
        <v>0.19872329001080943</v>
      </c>
      <c r="AD50" s="440"/>
      <c r="AE50" s="440">
        <v>0.37184320575909346</v>
      </c>
      <c r="AF50" s="440"/>
      <c r="AG50" s="440">
        <v>1.7075245245409831</v>
      </c>
      <c r="AH50" s="440"/>
      <c r="AI50" s="440">
        <v>0.73858070521555175</v>
      </c>
      <c r="AJ50" s="440"/>
    </row>
    <row r="51" spans="1:36" ht="10.5" customHeight="1" x14ac:dyDescent="0.25">
      <c r="A51" s="515" t="s">
        <v>327</v>
      </c>
      <c r="B51" s="515"/>
      <c r="C51" s="515"/>
      <c r="D51" s="515"/>
      <c r="E51" s="515"/>
      <c r="F51" s="515"/>
      <c r="G51" s="515"/>
      <c r="H51" s="515"/>
      <c r="I51" s="515"/>
      <c r="J51" s="515"/>
      <c r="K51" s="516">
        <v>23161.392028527476</v>
      </c>
      <c r="L51" s="516"/>
      <c r="M51" s="516"/>
      <c r="N51" s="271">
        <f t="shared" si="1"/>
        <v>2.3161392028527477</v>
      </c>
      <c r="O51" s="440">
        <v>-2.1831333251232081</v>
      </c>
      <c r="P51" s="440"/>
      <c r="Q51" s="440">
        <v>1.9625123545860466</v>
      </c>
      <c r="R51" s="440"/>
      <c r="S51" s="440">
        <v>-0.85442118164651748</v>
      </c>
      <c r="T51" s="440"/>
      <c r="U51" s="440">
        <v>-0.59283785800123989</v>
      </c>
      <c r="V51" s="440"/>
      <c r="W51" s="440">
        <v>0.24273165604619792</v>
      </c>
      <c r="X51" s="440"/>
      <c r="Y51" s="440">
        <v>7.8460621772624584E-2</v>
      </c>
      <c r="Z51" s="440"/>
      <c r="AA51" s="440">
        <v>5.3263406191281617E-3</v>
      </c>
      <c r="AB51" s="440"/>
      <c r="AC51" s="440">
        <v>-2.6407121917660821E-2</v>
      </c>
      <c r="AD51" s="440"/>
      <c r="AE51" s="440">
        <v>0.36897890638106878</v>
      </c>
      <c r="AF51" s="440"/>
      <c r="AG51" s="440">
        <v>0.71075525955109109</v>
      </c>
      <c r="AH51" s="440"/>
      <c r="AI51" s="440">
        <v>0.80688755864084527</v>
      </c>
      <c r="AJ51" s="440"/>
    </row>
    <row r="52" spans="1:36" ht="10.5" customHeight="1" x14ac:dyDescent="0.25">
      <c r="A52" s="515" t="s">
        <v>340</v>
      </c>
      <c r="B52" s="515"/>
      <c r="C52" s="515"/>
      <c r="D52" s="515"/>
      <c r="E52" s="515"/>
      <c r="F52" s="515"/>
      <c r="G52" s="515"/>
      <c r="H52" s="515"/>
      <c r="I52" s="515"/>
      <c r="J52" s="515"/>
      <c r="K52" s="516">
        <v>7057.7308237002508</v>
      </c>
      <c r="L52" s="516"/>
      <c r="M52" s="516"/>
      <c r="N52" s="271">
        <f t="shared" si="1"/>
        <v>0.70577308237002512</v>
      </c>
      <c r="O52" s="440">
        <v>-1.2809705702240619E-2</v>
      </c>
      <c r="P52" s="440"/>
      <c r="Q52" s="440">
        <v>1.5550253944176953</v>
      </c>
      <c r="R52" s="440"/>
      <c r="S52" s="440">
        <v>0.16416084616718182</v>
      </c>
      <c r="T52" s="440"/>
      <c r="U52" s="440">
        <v>-1.8480382850421813</v>
      </c>
      <c r="V52" s="440"/>
      <c r="W52" s="440">
        <v>0.42892655740373214</v>
      </c>
      <c r="X52" s="440"/>
      <c r="Y52" s="440">
        <v>0.43049161938401426</v>
      </c>
      <c r="Z52" s="440"/>
      <c r="AA52" s="440">
        <v>0.2006260133922351</v>
      </c>
      <c r="AB52" s="440"/>
      <c r="AC52" s="440">
        <v>-0.35381593033517211</v>
      </c>
      <c r="AD52" s="440"/>
      <c r="AE52" s="440">
        <v>-2.0820146892210907E-2</v>
      </c>
      <c r="AF52" s="440"/>
      <c r="AG52" s="440">
        <v>0.11490165912481529</v>
      </c>
      <c r="AH52" s="440"/>
      <c r="AI52" s="440">
        <v>-0.73264088250035808</v>
      </c>
      <c r="AJ52" s="440"/>
    </row>
    <row r="53" spans="1:36" ht="10.5" customHeight="1" x14ac:dyDescent="0.25">
      <c r="A53" s="515" t="s">
        <v>343</v>
      </c>
      <c r="B53" s="515"/>
      <c r="C53" s="515"/>
      <c r="D53" s="515"/>
      <c r="E53" s="515"/>
      <c r="F53" s="515"/>
      <c r="G53" s="515"/>
      <c r="H53" s="515"/>
      <c r="I53" s="515"/>
      <c r="J53" s="515"/>
      <c r="K53" s="516">
        <v>37762.458905684369</v>
      </c>
      <c r="L53" s="516"/>
      <c r="M53" s="516"/>
      <c r="N53" s="271">
        <f t="shared" si="1"/>
        <v>3.7762458905684366</v>
      </c>
      <c r="O53" s="527">
        <v>3.8192866004023598</v>
      </c>
      <c r="P53" s="527"/>
      <c r="Q53" s="527">
        <v>4.6933396551667093</v>
      </c>
      <c r="R53" s="527"/>
      <c r="S53" s="527">
        <v>2.0766351804587018</v>
      </c>
      <c r="T53" s="527"/>
      <c r="U53" s="527">
        <v>14.330503604504656</v>
      </c>
      <c r="V53" s="527"/>
      <c r="W53" s="527">
        <v>3.0753883768675738</v>
      </c>
      <c r="X53" s="527"/>
      <c r="Y53" s="527">
        <v>1.3304876984461198</v>
      </c>
      <c r="Z53" s="527"/>
      <c r="AA53" s="527">
        <v>1.9653405737041629</v>
      </c>
      <c r="AB53" s="527"/>
      <c r="AC53" s="527">
        <v>2.0517321374932727</v>
      </c>
      <c r="AD53" s="527"/>
      <c r="AE53" s="527">
        <v>2.226305598198532</v>
      </c>
      <c r="AF53" s="527"/>
      <c r="AG53" s="527">
        <v>5.8585453991546164</v>
      </c>
      <c r="AH53" s="527"/>
      <c r="AI53" s="527">
        <v>2.4679326841070597</v>
      </c>
      <c r="AJ53" s="527"/>
    </row>
    <row r="54" spans="1:36" ht="10.5" customHeight="1" x14ac:dyDescent="0.25">
      <c r="A54" s="515" t="s">
        <v>344</v>
      </c>
      <c r="B54" s="515"/>
      <c r="C54" s="515"/>
      <c r="D54" s="515"/>
      <c r="E54" s="515"/>
      <c r="F54" s="515"/>
      <c r="G54" s="515"/>
      <c r="H54" s="515"/>
      <c r="I54" s="515"/>
      <c r="J54" s="515"/>
      <c r="K54" s="516">
        <v>24542.567512496196</v>
      </c>
      <c r="L54" s="516"/>
      <c r="M54" s="516"/>
      <c r="N54" s="271">
        <f t="shared" si="1"/>
        <v>2.4542567512496194</v>
      </c>
      <c r="O54" s="440">
        <v>-0.26651720492280556</v>
      </c>
      <c r="P54" s="440"/>
      <c r="Q54" s="440">
        <v>2.1776852793401167</v>
      </c>
      <c r="R54" s="440"/>
      <c r="S54" s="440">
        <v>0.2104801161455796</v>
      </c>
      <c r="T54" s="440"/>
      <c r="U54" s="440">
        <v>0.60596404846732588</v>
      </c>
      <c r="V54" s="440"/>
      <c r="W54" s="440">
        <v>0.35446015579543921</v>
      </c>
      <c r="X54" s="440"/>
      <c r="Y54" s="440">
        <v>0.66098482356634725</v>
      </c>
      <c r="Z54" s="440"/>
      <c r="AA54" s="440">
        <v>0.21005599117818727</v>
      </c>
      <c r="AB54" s="440"/>
      <c r="AC54" s="440">
        <v>0.17699616511325703</v>
      </c>
      <c r="AD54" s="440"/>
      <c r="AE54" s="440">
        <v>0.12263823555487514</v>
      </c>
      <c r="AF54" s="440"/>
      <c r="AG54" s="440">
        <v>0.96846386039009724</v>
      </c>
      <c r="AH54" s="440"/>
      <c r="AI54" s="440">
        <v>0.25192940590554563</v>
      </c>
      <c r="AJ54" s="440"/>
    </row>
    <row r="55" spans="1:36" ht="10.5" customHeight="1" x14ac:dyDescent="0.25">
      <c r="A55" s="515" t="s">
        <v>347</v>
      </c>
      <c r="B55" s="515"/>
      <c r="C55" s="515"/>
      <c r="D55" s="515"/>
      <c r="E55" s="515"/>
      <c r="F55" s="515"/>
      <c r="G55" s="515"/>
      <c r="H55" s="515"/>
      <c r="I55" s="515"/>
      <c r="J55" s="515"/>
      <c r="K55" s="516">
        <v>35329.347545007142</v>
      </c>
      <c r="L55" s="516"/>
      <c r="M55" s="516"/>
      <c r="N55" s="271">
        <f t="shared" si="1"/>
        <v>3.5329347545007139</v>
      </c>
      <c r="O55" s="440">
        <v>3.5099138351966426</v>
      </c>
      <c r="P55" s="440"/>
      <c r="Q55" s="440">
        <v>-2.5664638850209731</v>
      </c>
      <c r="R55" s="440"/>
      <c r="S55" s="440">
        <v>-0.49956893856940587</v>
      </c>
      <c r="T55" s="440"/>
      <c r="U55" s="440">
        <v>0.26962967197216853</v>
      </c>
      <c r="V55" s="440"/>
      <c r="W55" s="440">
        <v>0.57254869866949876</v>
      </c>
      <c r="X55" s="440"/>
      <c r="Y55" s="440">
        <v>0.40988315175725626</v>
      </c>
      <c r="Z55" s="440"/>
      <c r="AA55" s="440">
        <v>0.61887821350145356</v>
      </c>
      <c r="AB55" s="440"/>
      <c r="AC55" s="440">
        <v>0.70934723239848119</v>
      </c>
      <c r="AD55" s="440"/>
      <c r="AE55" s="440">
        <v>-0.37912509398912941</v>
      </c>
      <c r="AF55" s="440"/>
      <c r="AG55" s="440">
        <v>-2.0773846805142098</v>
      </c>
      <c r="AH55" s="440"/>
      <c r="AI55" s="440">
        <v>0.8609299296803834</v>
      </c>
      <c r="AJ55" s="440"/>
    </row>
    <row r="56" spans="1:36" ht="10.5" customHeight="1" x14ac:dyDescent="0.25">
      <c r="A56" s="515" t="s">
        <v>348</v>
      </c>
      <c r="B56" s="515"/>
      <c r="C56" s="515"/>
      <c r="D56" s="515"/>
      <c r="E56" s="515"/>
      <c r="F56" s="515"/>
      <c r="G56" s="515"/>
      <c r="H56" s="515"/>
      <c r="I56" s="515"/>
      <c r="J56" s="515"/>
      <c r="K56" s="516">
        <v>38637.021069899325</v>
      </c>
      <c r="L56" s="516"/>
      <c r="M56" s="516"/>
      <c r="N56" s="271">
        <f t="shared" si="1"/>
        <v>3.8637021069899324</v>
      </c>
      <c r="O56" s="440">
        <v>-7.0628324332511943</v>
      </c>
      <c r="P56" s="440"/>
      <c r="Q56" s="440">
        <v>-4.0549154319849974</v>
      </c>
      <c r="R56" s="440"/>
      <c r="S56" s="440">
        <v>-2.0315947432031805</v>
      </c>
      <c r="T56" s="440"/>
      <c r="U56" s="440">
        <v>-4.5053065581845111</v>
      </c>
      <c r="V56" s="440"/>
      <c r="W56" s="440">
        <v>-1.3612016134440201</v>
      </c>
      <c r="X56" s="440"/>
      <c r="Y56" s="440">
        <v>-0.42684611148366425</v>
      </c>
      <c r="Z56" s="440"/>
      <c r="AA56" s="440">
        <v>-0.42520530201255857</v>
      </c>
      <c r="AB56" s="440"/>
      <c r="AC56" s="440">
        <v>-1.4624458137414531</v>
      </c>
      <c r="AD56" s="440"/>
      <c r="AE56" s="440">
        <v>-0.47735815994663705</v>
      </c>
      <c r="AF56" s="440"/>
      <c r="AG56" s="440">
        <v>0.11872736116181615</v>
      </c>
      <c r="AH56" s="440"/>
      <c r="AI56" s="440">
        <v>0.7736740035990014</v>
      </c>
      <c r="AJ56" s="440"/>
    </row>
    <row r="57" spans="1:36" ht="10.5" customHeight="1" x14ac:dyDescent="0.25">
      <c r="A57" s="449" t="s">
        <v>321</v>
      </c>
      <c r="B57" s="515"/>
      <c r="C57" s="515"/>
      <c r="D57" s="515"/>
      <c r="E57" s="515"/>
      <c r="F57" s="515"/>
      <c r="G57" s="515"/>
      <c r="H57" s="515"/>
      <c r="I57" s="515"/>
      <c r="J57" s="515"/>
      <c r="K57" s="448">
        <v>51152.41315039344</v>
      </c>
      <c r="L57" s="516"/>
      <c r="M57" s="516"/>
      <c r="N57" s="269">
        <f t="shared" si="1"/>
        <v>5.1152413150393441</v>
      </c>
      <c r="O57" s="448">
        <v>-7.4405157052332473</v>
      </c>
      <c r="P57" s="440"/>
      <c r="Q57" s="448">
        <v>1.4449523575756189</v>
      </c>
      <c r="R57" s="440"/>
      <c r="S57" s="448">
        <v>-0.93921904026695946</v>
      </c>
      <c r="T57" s="440"/>
      <c r="U57" s="448">
        <v>-0.72511308896427151</v>
      </c>
      <c r="V57" s="440"/>
      <c r="W57" s="448">
        <v>-0.92709004847046472</v>
      </c>
      <c r="X57" s="440"/>
      <c r="Y57" s="448">
        <v>0.25474183568132897</v>
      </c>
      <c r="Z57" s="440"/>
      <c r="AA57" s="448">
        <v>-0.11781336668988451</v>
      </c>
      <c r="AB57" s="440"/>
      <c r="AC57" s="448">
        <v>-0.11524314727282543</v>
      </c>
      <c r="AD57" s="440"/>
      <c r="AE57" s="448">
        <v>0.47443569004915187</v>
      </c>
      <c r="AF57" s="440"/>
      <c r="AG57" s="448">
        <v>2.836796260429264</v>
      </c>
      <c r="AH57" s="440"/>
      <c r="AI57" s="448">
        <v>0.87199275339094229</v>
      </c>
      <c r="AJ57" s="440"/>
    </row>
    <row r="58" spans="1:36" ht="10.5" customHeight="1" x14ac:dyDescent="0.25">
      <c r="A58" s="515" t="s">
        <v>313</v>
      </c>
      <c r="B58" s="515"/>
      <c r="C58" s="515"/>
      <c r="D58" s="515"/>
      <c r="E58" s="515"/>
      <c r="F58" s="515"/>
      <c r="G58" s="515"/>
      <c r="H58" s="515"/>
      <c r="I58" s="515"/>
      <c r="J58" s="515"/>
      <c r="K58" s="516">
        <v>16485.661129035099</v>
      </c>
      <c r="L58" s="516"/>
      <c r="M58" s="516"/>
      <c r="N58" s="271">
        <f t="shared" si="1"/>
        <v>1.6485661129035101</v>
      </c>
      <c r="O58" s="440">
        <v>-1.4174461635030169</v>
      </c>
      <c r="P58" s="440"/>
      <c r="Q58" s="440">
        <v>5.2678977753565928</v>
      </c>
      <c r="R58" s="440"/>
      <c r="S58" s="440">
        <v>0.6266059812649285</v>
      </c>
      <c r="T58" s="440"/>
      <c r="U58" s="440">
        <v>2.2365512645418804</v>
      </c>
      <c r="V58" s="440"/>
      <c r="W58" s="440">
        <v>1.8978828463258122</v>
      </c>
      <c r="X58" s="440"/>
      <c r="Y58" s="440">
        <v>1.8105258439095999</v>
      </c>
      <c r="Z58" s="440"/>
      <c r="AA58" s="440">
        <v>1.1152232429150959</v>
      </c>
      <c r="AB58" s="440"/>
      <c r="AC58" s="440">
        <v>-0.33130674251521841</v>
      </c>
      <c r="AD58" s="440"/>
      <c r="AE58" s="440">
        <v>1.0313222467726286</v>
      </c>
      <c r="AF58" s="440"/>
      <c r="AG58" s="440">
        <v>4.5725567892793633</v>
      </c>
      <c r="AH58" s="440"/>
      <c r="AI58" s="440">
        <v>1.2564126743901682</v>
      </c>
      <c r="AJ58" s="440"/>
    </row>
    <row r="59" spans="1:36" ht="10.5" customHeight="1" x14ac:dyDescent="0.25">
      <c r="A59" s="515" t="s">
        <v>338</v>
      </c>
      <c r="B59" s="515"/>
      <c r="C59" s="515"/>
      <c r="D59" s="515"/>
      <c r="E59" s="515"/>
      <c r="F59" s="515"/>
      <c r="G59" s="515"/>
      <c r="H59" s="515"/>
      <c r="I59" s="515"/>
      <c r="J59" s="515"/>
      <c r="K59" s="516">
        <v>34666.752021358341</v>
      </c>
      <c r="L59" s="516"/>
      <c r="M59" s="516"/>
      <c r="N59" s="271">
        <f t="shared" si="1"/>
        <v>3.4666752021358342</v>
      </c>
      <c r="O59" s="440">
        <v>-10.30476682862669</v>
      </c>
      <c r="P59" s="440"/>
      <c r="Q59" s="440">
        <v>-0.3730368971865638</v>
      </c>
      <c r="R59" s="440"/>
      <c r="S59" s="440">
        <v>-1.6838420345536615</v>
      </c>
      <c r="T59" s="440"/>
      <c r="U59" s="440">
        <v>-2.1335229359486076</v>
      </c>
      <c r="V59" s="440"/>
      <c r="W59" s="440">
        <v>-2.2704967170163797</v>
      </c>
      <c r="X59" s="440"/>
      <c r="Y59" s="440">
        <v>-0.48510618739915179</v>
      </c>
      <c r="Z59" s="440"/>
      <c r="AA59" s="440">
        <v>-0.70417991447371597</v>
      </c>
      <c r="AB59" s="440"/>
      <c r="AC59" s="440">
        <v>-1.2494807558365864E-2</v>
      </c>
      <c r="AD59" s="440"/>
      <c r="AE59" s="440">
        <v>0.20961009993323382</v>
      </c>
      <c r="AF59" s="440"/>
      <c r="AG59" s="440">
        <v>2.0113609885541277</v>
      </c>
      <c r="AH59" s="440"/>
      <c r="AI59" s="440">
        <v>0.68918311074142224</v>
      </c>
      <c r="AJ59" s="440"/>
    </row>
    <row r="60" spans="1:36" ht="10.5" customHeight="1" x14ac:dyDescent="0.25">
      <c r="A60" s="515"/>
      <c r="B60" s="515"/>
      <c r="C60" s="515"/>
      <c r="D60" s="515"/>
      <c r="E60" s="515"/>
      <c r="F60" s="515"/>
      <c r="G60" s="515"/>
      <c r="H60" s="515"/>
      <c r="I60" s="515"/>
      <c r="J60" s="515"/>
      <c r="K60" s="516"/>
      <c r="L60" s="516"/>
      <c r="M60" s="516"/>
      <c r="N60" s="271" t="str">
        <f t="shared" si="1"/>
        <v/>
      </c>
      <c r="O60" s="440"/>
      <c r="P60" s="440"/>
      <c r="Q60" s="440"/>
      <c r="R60" s="440"/>
      <c r="S60" s="440"/>
      <c r="T60" s="440"/>
      <c r="U60" s="440"/>
      <c r="V60" s="440"/>
      <c r="W60" s="440"/>
      <c r="X60" s="440"/>
      <c r="Y60" s="440"/>
      <c r="Z60" s="440"/>
      <c r="AA60" s="440"/>
      <c r="AB60" s="440"/>
      <c r="AC60" s="440"/>
      <c r="AD60" s="440"/>
      <c r="AE60" s="440"/>
      <c r="AF60" s="440"/>
      <c r="AG60" s="440"/>
      <c r="AH60" s="440"/>
      <c r="AI60" s="440"/>
      <c r="AJ60" s="440"/>
    </row>
    <row r="61" spans="1:36" ht="10.5" customHeight="1" x14ac:dyDescent="0.25">
      <c r="A61" s="515"/>
      <c r="B61" s="515"/>
      <c r="C61" s="515"/>
      <c r="D61" s="515"/>
      <c r="E61" s="515"/>
      <c r="F61" s="515"/>
      <c r="G61" s="515"/>
      <c r="H61" s="515"/>
      <c r="I61" s="515"/>
      <c r="J61" s="515"/>
      <c r="K61" s="516"/>
      <c r="L61" s="516"/>
      <c r="M61" s="516"/>
      <c r="N61" s="271" t="str">
        <f t="shared" si="1"/>
        <v/>
      </c>
      <c r="O61" s="440"/>
      <c r="P61" s="440"/>
      <c r="Q61" s="440"/>
      <c r="R61" s="440"/>
      <c r="S61" s="440"/>
      <c r="T61" s="440"/>
      <c r="U61" s="440"/>
      <c r="V61" s="440"/>
      <c r="W61" s="440"/>
      <c r="X61" s="440"/>
      <c r="Y61" s="440"/>
      <c r="Z61" s="440"/>
      <c r="AA61" s="440"/>
      <c r="AB61" s="440"/>
      <c r="AC61" s="440"/>
      <c r="AD61" s="440"/>
      <c r="AE61" s="440"/>
      <c r="AF61" s="440"/>
      <c r="AG61" s="440"/>
      <c r="AH61" s="440"/>
      <c r="AI61" s="440"/>
      <c r="AJ61" s="440"/>
    </row>
    <row r="62" spans="1:36" ht="10.5" customHeight="1" x14ac:dyDescent="0.25">
      <c r="A62" s="515"/>
      <c r="B62" s="515"/>
      <c r="C62" s="515"/>
      <c r="D62" s="515"/>
      <c r="E62" s="515"/>
      <c r="F62" s="515"/>
      <c r="G62" s="515"/>
      <c r="H62" s="515"/>
      <c r="I62" s="515"/>
      <c r="J62" s="515"/>
      <c r="K62" s="516"/>
      <c r="L62" s="516"/>
      <c r="M62" s="516"/>
      <c r="N62" s="271" t="str">
        <f t="shared" si="1"/>
        <v/>
      </c>
      <c r="O62" s="440"/>
      <c r="P62" s="440"/>
      <c r="Q62" s="440"/>
      <c r="R62" s="440"/>
      <c r="S62" s="440"/>
      <c r="T62" s="440"/>
      <c r="U62" s="440"/>
      <c r="V62" s="440"/>
      <c r="W62" s="440"/>
      <c r="X62" s="440"/>
      <c r="Y62" s="440"/>
      <c r="Z62" s="440"/>
      <c r="AA62" s="440"/>
      <c r="AB62" s="440"/>
      <c r="AC62" s="440"/>
      <c r="AD62" s="440"/>
      <c r="AE62" s="440"/>
      <c r="AF62" s="440"/>
      <c r="AG62" s="440"/>
      <c r="AH62" s="440"/>
      <c r="AI62" s="440"/>
      <c r="AJ62" s="440"/>
    </row>
    <row r="63" spans="1:36" ht="10.5" customHeight="1" x14ac:dyDescent="0.25">
      <c r="A63" s="515"/>
      <c r="B63" s="515"/>
      <c r="C63" s="515"/>
      <c r="D63" s="515"/>
      <c r="E63" s="515"/>
      <c r="F63" s="515"/>
      <c r="G63" s="515"/>
      <c r="H63" s="515"/>
      <c r="I63" s="515"/>
      <c r="J63" s="515"/>
      <c r="K63" s="516"/>
      <c r="L63" s="516"/>
      <c r="M63" s="516"/>
      <c r="N63" s="271" t="str">
        <f t="shared" si="1"/>
        <v/>
      </c>
      <c r="O63" s="440"/>
      <c r="P63" s="440"/>
      <c r="Q63" s="440"/>
      <c r="R63" s="440"/>
      <c r="S63" s="440"/>
      <c r="T63" s="440"/>
      <c r="U63" s="440"/>
      <c r="V63" s="440"/>
      <c r="W63" s="440"/>
      <c r="X63" s="440"/>
      <c r="Y63" s="440"/>
      <c r="Z63" s="440"/>
      <c r="AA63" s="440"/>
      <c r="AB63" s="440"/>
      <c r="AC63" s="440"/>
      <c r="AD63" s="440"/>
      <c r="AE63" s="440"/>
      <c r="AF63" s="440"/>
      <c r="AG63" s="440"/>
      <c r="AH63" s="440"/>
      <c r="AI63" s="440"/>
      <c r="AJ63" s="440"/>
    </row>
    <row r="64" spans="1:36" ht="10.5" customHeight="1" x14ac:dyDescent="0.25">
      <c r="A64" s="515"/>
      <c r="B64" s="515"/>
      <c r="C64" s="515"/>
      <c r="D64" s="515"/>
      <c r="E64" s="515"/>
      <c r="F64" s="515"/>
      <c r="G64" s="515"/>
      <c r="H64" s="515"/>
      <c r="I64" s="515"/>
      <c r="J64" s="515"/>
      <c r="K64" s="516"/>
      <c r="L64" s="516"/>
      <c r="M64" s="516"/>
      <c r="N64" s="271" t="str">
        <f t="shared" ref="N64:N69" si="2">IF(ISBLANK(K64)=TRUE,"",K64/$K$14*100)</f>
        <v/>
      </c>
      <c r="O64" s="440"/>
      <c r="P64" s="440"/>
      <c r="Q64" s="440"/>
      <c r="R64" s="440"/>
      <c r="S64" s="440"/>
      <c r="T64" s="440"/>
      <c r="U64" s="440"/>
      <c r="V64" s="440"/>
      <c r="W64" s="440"/>
      <c r="X64" s="440"/>
      <c r="Y64" s="440"/>
      <c r="Z64" s="440"/>
      <c r="AA64" s="440"/>
      <c r="AB64" s="440"/>
      <c r="AC64" s="440"/>
      <c r="AD64" s="440"/>
      <c r="AE64" s="440"/>
      <c r="AF64" s="440"/>
      <c r="AG64" s="440"/>
      <c r="AH64" s="440"/>
      <c r="AI64" s="440"/>
      <c r="AJ64" s="440"/>
    </row>
    <row r="65" spans="1:36" ht="10.5" customHeight="1" x14ac:dyDescent="0.25">
      <c r="A65" s="515"/>
      <c r="B65" s="515"/>
      <c r="C65" s="515"/>
      <c r="D65" s="515"/>
      <c r="E65" s="515"/>
      <c r="F65" s="515"/>
      <c r="G65" s="515"/>
      <c r="H65" s="515"/>
      <c r="I65" s="515"/>
      <c r="J65" s="515"/>
      <c r="K65" s="516"/>
      <c r="L65" s="516"/>
      <c r="M65" s="516"/>
      <c r="N65" s="271" t="str">
        <f t="shared" si="2"/>
        <v/>
      </c>
      <c r="O65" s="440"/>
      <c r="P65" s="440"/>
      <c r="Q65" s="440"/>
      <c r="R65" s="440"/>
      <c r="S65" s="440"/>
      <c r="T65" s="440"/>
      <c r="U65" s="440"/>
      <c r="V65" s="440"/>
      <c r="W65" s="440"/>
      <c r="X65" s="440"/>
      <c r="Y65" s="440"/>
      <c r="Z65" s="440"/>
      <c r="AA65" s="440"/>
      <c r="AB65" s="440"/>
      <c r="AC65" s="440"/>
      <c r="AD65" s="440"/>
      <c r="AE65" s="440"/>
      <c r="AF65" s="440"/>
      <c r="AG65" s="440"/>
      <c r="AH65" s="440"/>
      <c r="AI65" s="440"/>
      <c r="AJ65" s="440"/>
    </row>
    <row r="66" spans="1:36" ht="10.5" customHeight="1" x14ac:dyDescent="0.25">
      <c r="A66" s="515"/>
      <c r="B66" s="515"/>
      <c r="C66" s="515"/>
      <c r="D66" s="515"/>
      <c r="E66" s="515"/>
      <c r="F66" s="515"/>
      <c r="G66" s="515"/>
      <c r="H66" s="515"/>
      <c r="I66" s="515"/>
      <c r="J66" s="515"/>
      <c r="K66" s="516"/>
      <c r="L66" s="516"/>
      <c r="M66" s="516"/>
      <c r="N66" s="271" t="str">
        <f t="shared" si="2"/>
        <v/>
      </c>
      <c r="O66" s="440"/>
      <c r="P66" s="440"/>
      <c r="Q66" s="440"/>
      <c r="R66" s="440"/>
      <c r="S66" s="440"/>
      <c r="T66" s="440"/>
      <c r="U66" s="440"/>
      <c r="V66" s="440"/>
      <c r="W66" s="440"/>
      <c r="X66" s="440"/>
      <c r="Y66" s="440"/>
      <c r="Z66" s="440"/>
      <c r="AA66" s="440"/>
      <c r="AB66" s="440"/>
      <c r="AC66" s="440"/>
      <c r="AD66" s="440"/>
      <c r="AE66" s="440"/>
      <c r="AF66" s="440"/>
      <c r="AG66" s="440"/>
      <c r="AH66" s="440"/>
      <c r="AI66" s="440"/>
      <c r="AJ66" s="440"/>
    </row>
    <row r="67" spans="1:36" ht="10.5" customHeight="1" x14ac:dyDescent="0.25">
      <c r="A67" s="515"/>
      <c r="B67" s="515"/>
      <c r="C67" s="515"/>
      <c r="D67" s="515"/>
      <c r="E67" s="515"/>
      <c r="F67" s="515"/>
      <c r="G67" s="515"/>
      <c r="H67" s="515"/>
      <c r="I67" s="515"/>
      <c r="J67" s="515"/>
      <c r="K67" s="516"/>
      <c r="L67" s="516"/>
      <c r="M67" s="516"/>
      <c r="N67" s="271" t="str">
        <f t="shared" si="2"/>
        <v/>
      </c>
      <c r="O67" s="440"/>
      <c r="P67" s="440"/>
      <c r="Q67" s="440"/>
      <c r="R67" s="440"/>
      <c r="S67" s="440"/>
      <c r="T67" s="440"/>
      <c r="U67" s="440"/>
      <c r="V67" s="440"/>
      <c r="W67" s="440"/>
      <c r="X67" s="440"/>
      <c r="Y67" s="440"/>
      <c r="Z67" s="440"/>
      <c r="AA67" s="440"/>
      <c r="AB67" s="440"/>
      <c r="AC67" s="440"/>
      <c r="AD67" s="440"/>
      <c r="AE67" s="440"/>
      <c r="AF67" s="440"/>
      <c r="AG67" s="440"/>
      <c r="AH67" s="440"/>
      <c r="AI67" s="440"/>
      <c r="AJ67" s="440"/>
    </row>
    <row r="68" spans="1:36" ht="10.5" customHeight="1" x14ac:dyDescent="0.25">
      <c r="A68" s="515"/>
      <c r="B68" s="515"/>
      <c r="C68" s="515"/>
      <c r="D68" s="515"/>
      <c r="E68" s="515"/>
      <c r="F68" s="515"/>
      <c r="G68" s="515"/>
      <c r="H68" s="515"/>
      <c r="I68" s="515"/>
      <c r="J68" s="515"/>
      <c r="K68" s="516"/>
      <c r="L68" s="516"/>
      <c r="M68" s="516"/>
      <c r="N68" s="271" t="str">
        <f t="shared" si="2"/>
        <v/>
      </c>
      <c r="O68" s="440"/>
      <c r="P68" s="440"/>
      <c r="Q68" s="440"/>
      <c r="R68" s="440"/>
      <c r="S68" s="440"/>
      <c r="T68" s="440"/>
      <c r="U68" s="440"/>
      <c r="V68" s="440"/>
      <c r="W68" s="440"/>
      <c r="X68" s="440"/>
      <c r="Y68" s="440"/>
      <c r="Z68" s="440"/>
      <c r="AA68" s="440"/>
      <c r="AB68" s="440"/>
      <c r="AC68" s="440"/>
      <c r="AD68" s="440"/>
      <c r="AE68" s="440"/>
      <c r="AF68" s="440"/>
      <c r="AG68" s="440"/>
      <c r="AH68" s="440"/>
      <c r="AI68" s="440"/>
      <c r="AJ68" s="440"/>
    </row>
    <row r="69" spans="1:36" ht="10.5" customHeight="1" x14ac:dyDescent="0.25">
      <c r="A69" s="515"/>
      <c r="B69" s="515"/>
      <c r="C69" s="515"/>
      <c r="D69" s="515"/>
      <c r="E69" s="515"/>
      <c r="F69" s="515"/>
      <c r="G69" s="515"/>
      <c r="H69" s="515"/>
      <c r="I69" s="515"/>
      <c r="J69" s="515"/>
      <c r="K69" s="516"/>
      <c r="L69" s="516"/>
      <c r="M69" s="516"/>
      <c r="N69" s="271" t="str">
        <f t="shared" si="2"/>
        <v/>
      </c>
      <c r="O69" s="440"/>
      <c r="P69" s="440"/>
      <c r="Q69" s="440"/>
      <c r="R69" s="440"/>
      <c r="S69" s="440"/>
      <c r="T69" s="440"/>
      <c r="U69" s="440"/>
      <c r="V69" s="440"/>
      <c r="W69" s="440"/>
      <c r="X69" s="440"/>
      <c r="Y69" s="440"/>
      <c r="Z69" s="440"/>
      <c r="AA69" s="440"/>
      <c r="AB69" s="440"/>
      <c r="AC69" s="440"/>
      <c r="AD69" s="440"/>
      <c r="AE69" s="440"/>
      <c r="AF69" s="440"/>
      <c r="AG69" s="440"/>
      <c r="AH69" s="440"/>
      <c r="AI69" s="440"/>
      <c r="AJ69" s="440"/>
    </row>
    <row r="70" spans="1:36" ht="10.5" customHeight="1" x14ac:dyDescent="0.25">
      <c r="A70" s="515"/>
      <c r="B70" s="515"/>
      <c r="C70" s="515"/>
      <c r="D70" s="515"/>
      <c r="E70" s="515"/>
      <c r="F70" s="515"/>
      <c r="G70" s="515"/>
      <c r="H70" s="515"/>
      <c r="I70" s="515"/>
      <c r="J70" s="515"/>
      <c r="K70" s="516"/>
      <c r="L70" s="516"/>
      <c r="M70" s="516"/>
      <c r="N70" s="271" t="str">
        <f t="shared" ref="N70:N83" si="3">IF(ISBLANK(K70)=TRUE,"",K70/$K$14*100)</f>
        <v/>
      </c>
      <c r="O70" s="440"/>
      <c r="P70" s="440"/>
      <c r="Q70" s="440"/>
      <c r="R70" s="440"/>
      <c r="S70" s="440"/>
      <c r="T70" s="440"/>
      <c r="U70" s="440"/>
      <c r="V70" s="440"/>
      <c r="W70" s="440"/>
      <c r="X70" s="440"/>
      <c r="Y70" s="440"/>
      <c r="Z70" s="440"/>
      <c r="AA70" s="440"/>
      <c r="AB70" s="440"/>
      <c r="AC70" s="440"/>
      <c r="AD70" s="440"/>
      <c r="AE70" s="440"/>
      <c r="AF70" s="440"/>
      <c r="AG70" s="440"/>
      <c r="AH70" s="440"/>
      <c r="AI70" s="440"/>
      <c r="AJ70" s="440"/>
    </row>
    <row r="71" spans="1:36" ht="10.5" customHeight="1" x14ac:dyDescent="0.25">
      <c r="A71" s="515"/>
      <c r="B71" s="515"/>
      <c r="C71" s="515"/>
      <c r="D71" s="515"/>
      <c r="E71" s="515"/>
      <c r="F71" s="515"/>
      <c r="G71" s="515"/>
      <c r="H71" s="515"/>
      <c r="I71" s="515"/>
      <c r="J71" s="515"/>
      <c r="K71" s="516"/>
      <c r="L71" s="516"/>
      <c r="M71" s="516"/>
      <c r="N71" s="271" t="str">
        <f t="shared" si="3"/>
        <v/>
      </c>
      <c r="O71" s="440"/>
      <c r="P71" s="440"/>
      <c r="Q71" s="440"/>
      <c r="R71" s="440"/>
      <c r="S71" s="440"/>
      <c r="T71" s="440"/>
      <c r="U71" s="440"/>
      <c r="V71" s="440"/>
      <c r="W71" s="440"/>
      <c r="X71" s="440"/>
      <c r="Y71" s="440"/>
      <c r="Z71" s="440"/>
      <c r="AA71" s="440"/>
      <c r="AB71" s="440"/>
      <c r="AC71" s="440"/>
      <c r="AD71" s="440"/>
      <c r="AE71" s="440"/>
      <c r="AF71" s="440"/>
      <c r="AG71" s="440"/>
      <c r="AH71" s="440"/>
      <c r="AI71" s="440"/>
      <c r="AJ71" s="440"/>
    </row>
    <row r="72" spans="1:36" ht="10.5" customHeight="1" x14ac:dyDescent="0.25">
      <c r="A72" s="515"/>
      <c r="B72" s="515"/>
      <c r="C72" s="515"/>
      <c r="D72" s="515"/>
      <c r="E72" s="515"/>
      <c r="F72" s="515"/>
      <c r="G72" s="515"/>
      <c r="H72" s="515"/>
      <c r="I72" s="515"/>
      <c r="J72" s="515"/>
      <c r="K72" s="516"/>
      <c r="L72" s="516"/>
      <c r="M72" s="516"/>
      <c r="N72" s="271" t="str">
        <f t="shared" si="3"/>
        <v/>
      </c>
      <c r="O72" s="440"/>
      <c r="P72" s="440"/>
      <c r="Q72" s="440"/>
      <c r="R72" s="440"/>
      <c r="S72" s="440"/>
      <c r="T72" s="440"/>
      <c r="U72" s="440"/>
      <c r="V72" s="440"/>
      <c r="W72" s="440"/>
      <c r="X72" s="440"/>
      <c r="Y72" s="440"/>
      <c r="Z72" s="440"/>
      <c r="AA72" s="440"/>
      <c r="AB72" s="440"/>
      <c r="AC72" s="440"/>
      <c r="AD72" s="440"/>
      <c r="AE72" s="440"/>
      <c r="AF72" s="440"/>
      <c r="AG72" s="440"/>
      <c r="AH72" s="440"/>
      <c r="AI72" s="440"/>
      <c r="AJ72" s="440"/>
    </row>
    <row r="73" spans="1:36" ht="10.5" customHeight="1" x14ac:dyDescent="0.25">
      <c r="A73" s="515"/>
      <c r="B73" s="515"/>
      <c r="C73" s="515"/>
      <c r="D73" s="515"/>
      <c r="E73" s="515"/>
      <c r="F73" s="515"/>
      <c r="G73" s="515"/>
      <c r="H73" s="515"/>
      <c r="I73" s="515"/>
      <c r="J73" s="515"/>
      <c r="K73" s="516"/>
      <c r="L73" s="516"/>
      <c r="M73" s="516"/>
      <c r="N73" s="271" t="str">
        <f t="shared" si="3"/>
        <v/>
      </c>
      <c r="O73" s="440"/>
      <c r="P73" s="440"/>
      <c r="Q73" s="440"/>
      <c r="R73" s="440"/>
      <c r="S73" s="440"/>
      <c r="T73" s="440"/>
      <c r="U73" s="440"/>
      <c r="V73" s="440"/>
      <c r="W73" s="440"/>
      <c r="X73" s="440"/>
      <c r="Y73" s="440"/>
      <c r="Z73" s="440"/>
      <c r="AA73" s="440"/>
      <c r="AB73" s="440"/>
      <c r="AC73" s="440"/>
      <c r="AD73" s="440"/>
      <c r="AE73" s="440"/>
      <c r="AF73" s="440"/>
      <c r="AG73" s="440"/>
      <c r="AH73" s="440"/>
      <c r="AI73" s="440"/>
      <c r="AJ73" s="440"/>
    </row>
    <row r="74" spans="1:36" ht="10.5" customHeight="1" x14ac:dyDescent="0.25">
      <c r="A74" s="515"/>
      <c r="B74" s="515"/>
      <c r="C74" s="515"/>
      <c r="D74" s="515"/>
      <c r="E74" s="515"/>
      <c r="F74" s="515"/>
      <c r="G74" s="515"/>
      <c r="H74" s="515"/>
      <c r="I74" s="515"/>
      <c r="J74" s="515"/>
      <c r="K74" s="516"/>
      <c r="L74" s="516"/>
      <c r="M74" s="516"/>
      <c r="N74" s="271" t="str">
        <f t="shared" si="3"/>
        <v/>
      </c>
      <c r="O74" s="440"/>
      <c r="P74" s="440"/>
      <c r="Q74" s="440"/>
      <c r="R74" s="440"/>
      <c r="S74" s="440"/>
      <c r="T74" s="440"/>
      <c r="U74" s="440"/>
      <c r="V74" s="440"/>
      <c r="W74" s="440"/>
      <c r="X74" s="440"/>
      <c r="Y74" s="440"/>
      <c r="Z74" s="440"/>
      <c r="AA74" s="440"/>
      <c r="AB74" s="440"/>
      <c r="AC74" s="440"/>
      <c r="AD74" s="440"/>
      <c r="AE74" s="440"/>
      <c r="AF74" s="440"/>
      <c r="AG74" s="440"/>
      <c r="AH74" s="440"/>
      <c r="AI74" s="440"/>
      <c r="AJ74" s="440"/>
    </row>
    <row r="75" spans="1:36" ht="10.5" customHeight="1" x14ac:dyDescent="0.25">
      <c r="A75" s="515"/>
      <c r="B75" s="515"/>
      <c r="C75" s="515"/>
      <c r="D75" s="515"/>
      <c r="E75" s="515"/>
      <c r="F75" s="515"/>
      <c r="G75" s="515"/>
      <c r="H75" s="515"/>
      <c r="I75" s="515"/>
      <c r="J75" s="515"/>
      <c r="K75" s="516"/>
      <c r="L75" s="516"/>
      <c r="M75" s="516"/>
      <c r="N75" s="271" t="str">
        <f t="shared" si="3"/>
        <v/>
      </c>
      <c r="O75" s="440"/>
      <c r="P75" s="440"/>
      <c r="Q75" s="440"/>
      <c r="R75" s="440"/>
      <c r="S75" s="440"/>
      <c r="T75" s="440"/>
      <c r="U75" s="440"/>
      <c r="V75" s="440"/>
      <c r="W75" s="440"/>
      <c r="X75" s="440"/>
      <c r="Y75" s="440"/>
      <c r="Z75" s="440"/>
      <c r="AA75" s="440"/>
      <c r="AB75" s="440"/>
      <c r="AC75" s="440"/>
      <c r="AD75" s="440"/>
      <c r="AE75" s="440"/>
      <c r="AF75" s="440"/>
      <c r="AG75" s="440"/>
      <c r="AH75" s="440"/>
      <c r="AI75" s="440"/>
      <c r="AJ75" s="440"/>
    </row>
    <row r="76" spans="1:36" ht="10.5" customHeight="1" x14ac:dyDescent="0.25">
      <c r="A76" s="515"/>
      <c r="B76" s="515"/>
      <c r="C76" s="515"/>
      <c r="D76" s="515"/>
      <c r="E76" s="515"/>
      <c r="F76" s="515"/>
      <c r="G76" s="515"/>
      <c r="H76" s="515"/>
      <c r="I76" s="515"/>
      <c r="J76" s="515"/>
      <c r="K76" s="516"/>
      <c r="L76" s="516"/>
      <c r="M76" s="516"/>
      <c r="N76" s="271" t="str">
        <f t="shared" si="3"/>
        <v/>
      </c>
      <c r="O76" s="440"/>
      <c r="P76" s="440"/>
      <c r="Q76" s="440"/>
      <c r="R76" s="440"/>
      <c r="S76" s="440"/>
      <c r="T76" s="440"/>
      <c r="U76" s="440"/>
      <c r="V76" s="440"/>
      <c r="W76" s="440"/>
      <c r="X76" s="440"/>
      <c r="Y76" s="440"/>
      <c r="Z76" s="440"/>
      <c r="AA76" s="440"/>
      <c r="AB76" s="440"/>
      <c r="AC76" s="440"/>
      <c r="AD76" s="440"/>
      <c r="AE76" s="440"/>
      <c r="AF76" s="440"/>
      <c r="AG76" s="440"/>
      <c r="AH76" s="440"/>
      <c r="AI76" s="440"/>
      <c r="AJ76" s="440"/>
    </row>
    <row r="77" spans="1:36" ht="10.5" customHeight="1" x14ac:dyDescent="0.25">
      <c r="A77" s="515"/>
      <c r="B77" s="515"/>
      <c r="C77" s="515"/>
      <c r="D77" s="515"/>
      <c r="E77" s="515"/>
      <c r="F77" s="515"/>
      <c r="G77" s="515"/>
      <c r="H77" s="515"/>
      <c r="I77" s="515"/>
      <c r="J77" s="515"/>
      <c r="K77" s="516"/>
      <c r="L77" s="516"/>
      <c r="M77" s="516"/>
      <c r="N77" s="271" t="str">
        <f t="shared" si="3"/>
        <v/>
      </c>
      <c r="O77" s="440"/>
      <c r="P77" s="440"/>
      <c r="Q77" s="440"/>
      <c r="R77" s="440"/>
      <c r="S77" s="440"/>
      <c r="T77" s="440"/>
      <c r="U77" s="440"/>
      <c r="V77" s="440"/>
      <c r="W77" s="440"/>
      <c r="X77" s="440"/>
      <c r="Y77" s="440"/>
      <c r="Z77" s="440"/>
      <c r="AA77" s="440"/>
      <c r="AB77" s="440"/>
      <c r="AC77" s="440"/>
      <c r="AD77" s="440"/>
      <c r="AE77" s="440"/>
      <c r="AF77" s="440"/>
      <c r="AG77" s="440"/>
      <c r="AH77" s="440"/>
      <c r="AI77" s="440"/>
      <c r="AJ77" s="440"/>
    </row>
    <row r="78" spans="1:36" ht="10.5" customHeight="1" x14ac:dyDescent="0.25">
      <c r="A78" s="515"/>
      <c r="B78" s="515"/>
      <c r="C78" s="515"/>
      <c r="D78" s="515"/>
      <c r="E78" s="515"/>
      <c r="F78" s="515"/>
      <c r="G78" s="515"/>
      <c r="H78" s="515"/>
      <c r="I78" s="515"/>
      <c r="J78" s="515"/>
      <c r="K78" s="516"/>
      <c r="L78" s="516"/>
      <c r="M78" s="516"/>
      <c r="N78" s="271" t="str">
        <f t="shared" si="3"/>
        <v/>
      </c>
      <c r="O78" s="440"/>
      <c r="P78" s="440"/>
      <c r="Q78" s="440"/>
      <c r="R78" s="440"/>
      <c r="S78" s="440"/>
      <c r="T78" s="440"/>
      <c r="U78" s="440"/>
      <c r="V78" s="440"/>
      <c r="W78" s="440"/>
      <c r="X78" s="440"/>
      <c r="Y78" s="440"/>
      <c r="Z78" s="440"/>
      <c r="AA78" s="440"/>
      <c r="AB78" s="440"/>
      <c r="AC78" s="440"/>
      <c r="AD78" s="440"/>
      <c r="AE78" s="440"/>
      <c r="AF78" s="440"/>
      <c r="AG78" s="440"/>
      <c r="AH78" s="440"/>
      <c r="AI78" s="440"/>
      <c r="AJ78" s="440"/>
    </row>
    <row r="79" spans="1:36" ht="10.5" customHeight="1" x14ac:dyDescent="0.25">
      <c r="A79" s="515"/>
      <c r="B79" s="515"/>
      <c r="C79" s="515"/>
      <c r="D79" s="515"/>
      <c r="E79" s="515"/>
      <c r="F79" s="515"/>
      <c r="G79" s="515"/>
      <c r="H79" s="515"/>
      <c r="I79" s="515"/>
      <c r="J79" s="515"/>
      <c r="K79" s="516"/>
      <c r="L79" s="516"/>
      <c r="M79" s="516"/>
      <c r="N79" s="271" t="str">
        <f t="shared" si="3"/>
        <v/>
      </c>
      <c r="O79" s="440"/>
      <c r="P79" s="440"/>
      <c r="Q79" s="440"/>
      <c r="R79" s="440"/>
      <c r="S79" s="440"/>
      <c r="T79" s="440"/>
      <c r="U79" s="440"/>
      <c r="V79" s="440"/>
      <c r="W79" s="440"/>
      <c r="X79" s="440"/>
      <c r="Y79" s="440"/>
      <c r="Z79" s="440"/>
      <c r="AA79" s="440"/>
      <c r="AB79" s="440"/>
      <c r="AC79" s="440"/>
      <c r="AD79" s="440"/>
      <c r="AE79" s="440"/>
      <c r="AF79" s="440"/>
      <c r="AG79" s="440"/>
      <c r="AH79" s="440"/>
      <c r="AI79" s="440"/>
      <c r="AJ79" s="440"/>
    </row>
    <row r="80" spans="1:36" ht="10.5" customHeight="1" x14ac:dyDescent="0.25">
      <c r="A80" s="515"/>
      <c r="B80" s="515"/>
      <c r="C80" s="515"/>
      <c r="D80" s="515"/>
      <c r="E80" s="515"/>
      <c r="F80" s="515"/>
      <c r="G80" s="515"/>
      <c r="H80" s="515"/>
      <c r="I80" s="515"/>
      <c r="J80" s="515"/>
      <c r="K80" s="516"/>
      <c r="L80" s="516"/>
      <c r="M80" s="516"/>
      <c r="N80" s="271" t="str">
        <f t="shared" si="3"/>
        <v/>
      </c>
      <c r="O80" s="440"/>
      <c r="P80" s="440"/>
      <c r="Q80" s="440"/>
      <c r="R80" s="440"/>
      <c r="S80" s="440"/>
      <c r="T80" s="440"/>
      <c r="U80" s="440"/>
      <c r="V80" s="440"/>
      <c r="W80" s="440"/>
      <c r="X80" s="440"/>
      <c r="Y80" s="440"/>
      <c r="Z80" s="440"/>
      <c r="AA80" s="440"/>
      <c r="AB80" s="440"/>
      <c r="AC80" s="440"/>
      <c r="AD80" s="440"/>
      <c r="AE80" s="440"/>
      <c r="AF80" s="440"/>
      <c r="AG80" s="440"/>
      <c r="AH80" s="440"/>
      <c r="AI80" s="440"/>
      <c r="AJ80" s="440"/>
    </row>
    <row r="81" spans="1:36" ht="10.5" customHeight="1" x14ac:dyDescent="0.25">
      <c r="A81" s="515"/>
      <c r="B81" s="515"/>
      <c r="C81" s="515"/>
      <c r="D81" s="515"/>
      <c r="E81" s="515"/>
      <c r="F81" s="515"/>
      <c r="G81" s="515"/>
      <c r="H81" s="515"/>
      <c r="I81" s="515"/>
      <c r="J81" s="515"/>
      <c r="K81" s="516"/>
      <c r="L81" s="516"/>
      <c r="M81" s="516"/>
      <c r="N81" s="271" t="str">
        <f t="shared" si="3"/>
        <v/>
      </c>
      <c r="O81" s="440"/>
      <c r="P81" s="440"/>
      <c r="Q81" s="440"/>
      <c r="R81" s="440"/>
      <c r="S81" s="440"/>
      <c r="T81" s="440"/>
      <c r="U81" s="440"/>
      <c r="V81" s="440"/>
      <c r="W81" s="440"/>
      <c r="X81" s="440"/>
      <c r="Y81" s="440"/>
      <c r="Z81" s="440"/>
      <c r="AA81" s="440"/>
      <c r="AB81" s="440"/>
      <c r="AC81" s="440"/>
      <c r="AD81" s="440"/>
      <c r="AE81" s="440"/>
      <c r="AF81" s="440"/>
      <c r="AG81" s="440"/>
      <c r="AH81" s="440"/>
      <c r="AI81" s="440"/>
      <c r="AJ81" s="440"/>
    </row>
    <row r="82" spans="1:36" ht="10.5" customHeight="1" x14ac:dyDescent="0.25">
      <c r="A82" s="515"/>
      <c r="B82" s="515"/>
      <c r="C82" s="515"/>
      <c r="D82" s="515"/>
      <c r="E82" s="515"/>
      <c r="F82" s="515"/>
      <c r="G82" s="515"/>
      <c r="H82" s="515"/>
      <c r="I82" s="515"/>
      <c r="J82" s="515"/>
      <c r="K82" s="516"/>
      <c r="L82" s="516"/>
      <c r="M82" s="516"/>
      <c r="N82" s="271" t="str">
        <f t="shared" si="3"/>
        <v/>
      </c>
      <c r="O82" s="440"/>
      <c r="P82" s="440"/>
      <c r="Q82" s="440"/>
      <c r="R82" s="440"/>
      <c r="S82" s="440"/>
      <c r="T82" s="440"/>
      <c r="U82" s="440"/>
      <c r="V82" s="440"/>
      <c r="W82" s="440"/>
      <c r="X82" s="440"/>
      <c r="Y82" s="440"/>
      <c r="Z82" s="440"/>
      <c r="AA82" s="440"/>
      <c r="AB82" s="440"/>
      <c r="AC82" s="440"/>
      <c r="AD82" s="440"/>
      <c r="AE82" s="440"/>
      <c r="AF82" s="440"/>
      <c r="AG82" s="440"/>
      <c r="AH82" s="440"/>
      <c r="AI82" s="440"/>
      <c r="AJ82" s="440"/>
    </row>
    <row r="83" spans="1:36" ht="10.5" customHeight="1" x14ac:dyDescent="0.25">
      <c r="A83" s="515"/>
      <c r="B83" s="515"/>
      <c r="C83" s="515"/>
      <c r="D83" s="515"/>
      <c r="E83" s="515"/>
      <c r="F83" s="515"/>
      <c r="G83" s="515"/>
      <c r="H83" s="515"/>
      <c r="I83" s="515"/>
      <c r="J83" s="515"/>
      <c r="K83" s="516"/>
      <c r="L83" s="516"/>
      <c r="M83" s="516"/>
      <c r="N83" s="271" t="str">
        <f t="shared" si="3"/>
        <v/>
      </c>
      <c r="O83" s="440"/>
      <c r="P83" s="440"/>
      <c r="Q83" s="440"/>
      <c r="R83" s="440"/>
      <c r="S83" s="440"/>
      <c r="T83" s="440"/>
      <c r="U83" s="440"/>
      <c r="V83" s="440"/>
      <c r="W83" s="440"/>
      <c r="X83" s="440"/>
      <c r="Y83" s="440"/>
      <c r="Z83" s="440"/>
      <c r="AA83" s="440"/>
      <c r="AB83" s="440"/>
      <c r="AC83" s="440"/>
      <c r="AD83" s="440"/>
      <c r="AE83" s="440"/>
      <c r="AF83" s="440"/>
      <c r="AG83" s="440"/>
      <c r="AH83" s="440"/>
      <c r="AI83" s="440"/>
      <c r="AJ83" s="440"/>
    </row>
    <row r="84" spans="1:36" x14ac:dyDescent="0.25">
      <c r="K84" s="299"/>
      <c r="L84" s="299"/>
      <c r="M84" s="299"/>
      <c r="N84" s="299"/>
      <c r="O84" s="299"/>
      <c r="P84" s="299"/>
      <c r="Q84" s="299"/>
      <c r="R84" s="299"/>
      <c r="S84" s="299"/>
      <c r="T84" s="299"/>
      <c r="U84" s="299"/>
      <c r="V84" s="299"/>
      <c r="W84" s="299"/>
      <c r="X84" s="299"/>
      <c r="Y84" s="299"/>
      <c r="Z84" s="299"/>
      <c r="AA84" s="299"/>
      <c r="AB84" s="299"/>
      <c r="AC84" s="299"/>
      <c r="AD84" s="299"/>
      <c r="AE84" s="299"/>
      <c r="AF84" s="299"/>
      <c r="AG84" s="299"/>
      <c r="AH84" s="299"/>
      <c r="AI84" s="299"/>
      <c r="AJ84" s="299"/>
    </row>
    <row r="85" spans="1:36" x14ac:dyDescent="0.25">
      <c r="K85" s="299"/>
      <c r="L85" s="299"/>
      <c r="M85" s="299"/>
      <c r="N85" s="299"/>
      <c r="O85" s="299"/>
      <c r="P85" s="299"/>
      <c r="Q85" s="299"/>
      <c r="R85" s="299"/>
      <c r="S85" s="299"/>
      <c r="T85" s="299"/>
      <c r="U85" s="299"/>
      <c r="V85" s="299"/>
      <c r="W85" s="299"/>
      <c r="X85" s="299"/>
      <c r="Y85" s="299"/>
      <c r="Z85" s="299"/>
      <c r="AA85" s="299"/>
      <c r="AB85" s="299"/>
      <c r="AC85" s="299"/>
      <c r="AD85" s="299"/>
      <c r="AE85" s="299"/>
      <c r="AF85" s="299"/>
      <c r="AG85" s="299"/>
      <c r="AH85" s="299"/>
      <c r="AI85" s="299"/>
      <c r="AJ85" s="299"/>
    </row>
  </sheetData>
  <mergeCells count="933">
    <mergeCell ref="Y67:Z67"/>
    <mergeCell ref="AA67:AB67"/>
    <mergeCell ref="AC67:AD67"/>
    <mergeCell ref="AE67:AF67"/>
    <mergeCell ref="Q68:R68"/>
    <mergeCell ref="Q67:R67"/>
    <mergeCell ref="O67:P67"/>
    <mergeCell ref="O68:P68"/>
    <mergeCell ref="AC65:AD65"/>
    <mergeCell ref="AE65:AF65"/>
    <mergeCell ref="Q66:R66"/>
    <mergeCell ref="Q65:R65"/>
    <mergeCell ref="O65:P65"/>
    <mergeCell ref="O66:P66"/>
    <mergeCell ref="AG67:AH67"/>
    <mergeCell ref="AI67:AJ67"/>
    <mergeCell ref="A68:J68"/>
    <mergeCell ref="K68:M68"/>
    <mergeCell ref="S68:T68"/>
    <mergeCell ref="U68:V68"/>
    <mergeCell ref="W68:X68"/>
    <mergeCell ref="Y68:Z68"/>
    <mergeCell ref="AA68:AB68"/>
    <mergeCell ref="AC68:AD68"/>
    <mergeCell ref="AE68:AF68"/>
    <mergeCell ref="AG68:AH68"/>
    <mergeCell ref="AI68:AJ68"/>
    <mergeCell ref="A67:J67"/>
    <mergeCell ref="K67:M67"/>
    <mergeCell ref="S67:T67"/>
    <mergeCell ref="U67:V67"/>
    <mergeCell ref="W67:X67"/>
    <mergeCell ref="O63:P63"/>
    <mergeCell ref="O64:P64"/>
    <mergeCell ref="Q64:R64"/>
    <mergeCell ref="Q63:R63"/>
    <mergeCell ref="AG65:AH65"/>
    <mergeCell ref="AI65:AJ65"/>
    <mergeCell ref="A66:J66"/>
    <mergeCell ref="K66:M66"/>
    <mergeCell ref="S66:T66"/>
    <mergeCell ref="U66:V66"/>
    <mergeCell ref="W66:X66"/>
    <mergeCell ref="Y66:Z66"/>
    <mergeCell ref="AA66:AB66"/>
    <mergeCell ref="AC66:AD66"/>
    <mergeCell ref="AE66:AF66"/>
    <mergeCell ref="AG66:AH66"/>
    <mergeCell ref="AI66:AJ66"/>
    <mergeCell ref="A65:J65"/>
    <mergeCell ref="K65:M65"/>
    <mergeCell ref="S65:T65"/>
    <mergeCell ref="U65:V65"/>
    <mergeCell ref="W65:X65"/>
    <mergeCell ref="Y65:Z65"/>
    <mergeCell ref="AA65:AB65"/>
    <mergeCell ref="Q62:R62"/>
    <mergeCell ref="Q61:R61"/>
    <mergeCell ref="AG63:AH63"/>
    <mergeCell ref="AI63:AJ63"/>
    <mergeCell ref="A64:J64"/>
    <mergeCell ref="K64:M64"/>
    <mergeCell ref="S64:T64"/>
    <mergeCell ref="U64:V64"/>
    <mergeCell ref="W64:X64"/>
    <mergeCell ref="Y64:Z64"/>
    <mergeCell ref="AA64:AB64"/>
    <mergeCell ref="AC64:AD64"/>
    <mergeCell ref="AE64:AF64"/>
    <mergeCell ref="AG64:AH64"/>
    <mergeCell ref="AI64:AJ64"/>
    <mergeCell ref="A63:J63"/>
    <mergeCell ref="K63:M63"/>
    <mergeCell ref="S63:T63"/>
    <mergeCell ref="U63:V63"/>
    <mergeCell ref="W63:X63"/>
    <mergeCell ref="Y63:Z63"/>
    <mergeCell ref="AA63:AB63"/>
    <mergeCell ref="AC63:AD63"/>
    <mergeCell ref="AE63:AF63"/>
    <mergeCell ref="AG61:AH61"/>
    <mergeCell ref="AI61:AJ61"/>
    <mergeCell ref="A62:J62"/>
    <mergeCell ref="K62:M62"/>
    <mergeCell ref="S62:T62"/>
    <mergeCell ref="U62:V62"/>
    <mergeCell ref="W62:X62"/>
    <mergeCell ref="Y62:Z62"/>
    <mergeCell ref="AA62:AB62"/>
    <mergeCell ref="AC62:AD62"/>
    <mergeCell ref="AE62:AF62"/>
    <mergeCell ref="AG62:AH62"/>
    <mergeCell ref="AI62:AJ62"/>
    <mergeCell ref="A61:J61"/>
    <mergeCell ref="K61:M61"/>
    <mergeCell ref="S61:T61"/>
    <mergeCell ref="U61:V61"/>
    <mergeCell ref="W61:X61"/>
    <mergeCell ref="Y61:Z61"/>
    <mergeCell ref="AA61:AB61"/>
    <mergeCell ref="AC61:AD61"/>
    <mergeCell ref="AE61:AF61"/>
    <mergeCell ref="O61:P61"/>
    <mergeCell ref="O62:P62"/>
    <mergeCell ref="AI59:AJ59"/>
    <mergeCell ref="A60:J60"/>
    <mergeCell ref="K60:M60"/>
    <mergeCell ref="S60:T60"/>
    <mergeCell ref="U60:V60"/>
    <mergeCell ref="W60:X60"/>
    <mergeCell ref="Y60:Z60"/>
    <mergeCell ref="AA60:AB60"/>
    <mergeCell ref="AC60:AD60"/>
    <mergeCell ref="AE60:AF60"/>
    <mergeCell ref="AG60:AH60"/>
    <mergeCell ref="AI60:AJ60"/>
    <mergeCell ref="A59:J59"/>
    <mergeCell ref="K59:M59"/>
    <mergeCell ref="S59:T59"/>
    <mergeCell ref="U59:V59"/>
    <mergeCell ref="W59:X59"/>
    <mergeCell ref="Y59:Z59"/>
    <mergeCell ref="AA59:AB59"/>
    <mergeCell ref="AC59:AD59"/>
    <mergeCell ref="AE59:AF59"/>
    <mergeCell ref="O60:P60"/>
    <mergeCell ref="O59:P59"/>
    <mergeCell ref="Q60:R60"/>
    <mergeCell ref="Y57:Z57"/>
    <mergeCell ref="AA57:AB57"/>
    <mergeCell ref="AC57:AD57"/>
    <mergeCell ref="AE57:AF57"/>
    <mergeCell ref="O57:P57"/>
    <mergeCell ref="O58:P58"/>
    <mergeCell ref="Q58:R58"/>
    <mergeCell ref="Q57:R57"/>
    <mergeCell ref="AG59:AH59"/>
    <mergeCell ref="Q59:R59"/>
    <mergeCell ref="O55:P55"/>
    <mergeCell ref="O56:P56"/>
    <mergeCell ref="Q56:R56"/>
    <mergeCell ref="U55:V55"/>
    <mergeCell ref="Q55:R55"/>
    <mergeCell ref="U56:V56"/>
    <mergeCell ref="AG57:AH57"/>
    <mergeCell ref="AI57:AJ57"/>
    <mergeCell ref="A58:J58"/>
    <mergeCell ref="K58:M58"/>
    <mergeCell ref="S58:T58"/>
    <mergeCell ref="U58:V58"/>
    <mergeCell ref="W58:X58"/>
    <mergeCell ref="Y58:Z58"/>
    <mergeCell ref="AA58:AB58"/>
    <mergeCell ref="AC58:AD58"/>
    <mergeCell ref="AE58:AF58"/>
    <mergeCell ref="AG58:AH58"/>
    <mergeCell ref="AI58:AJ58"/>
    <mergeCell ref="A57:J57"/>
    <mergeCell ref="K57:M57"/>
    <mergeCell ref="S57:T57"/>
    <mergeCell ref="U57:V57"/>
    <mergeCell ref="W57:X57"/>
    <mergeCell ref="Q53:R53"/>
    <mergeCell ref="U52:V52"/>
    <mergeCell ref="S52:T52"/>
    <mergeCell ref="W52:X52"/>
    <mergeCell ref="AI55:AJ55"/>
    <mergeCell ref="A56:J56"/>
    <mergeCell ref="K56:M56"/>
    <mergeCell ref="S56:T56"/>
    <mergeCell ref="W56:X56"/>
    <mergeCell ref="Y56:Z56"/>
    <mergeCell ref="AA56:AB56"/>
    <mergeCell ref="AC56:AD56"/>
    <mergeCell ref="AE56:AF56"/>
    <mergeCell ref="AG56:AH56"/>
    <mergeCell ref="AI56:AJ56"/>
    <mergeCell ref="A55:J55"/>
    <mergeCell ref="K55:M55"/>
    <mergeCell ref="S55:T55"/>
    <mergeCell ref="W55:X55"/>
    <mergeCell ref="Y55:Z55"/>
    <mergeCell ref="AA55:AB55"/>
    <mergeCell ref="AC55:AD55"/>
    <mergeCell ref="AE55:AF55"/>
    <mergeCell ref="AG55:AH55"/>
    <mergeCell ref="AI53:AJ53"/>
    <mergeCell ref="AI54:AJ54"/>
    <mergeCell ref="A53:J53"/>
    <mergeCell ref="K53:M53"/>
    <mergeCell ref="S53:T53"/>
    <mergeCell ref="W53:X53"/>
    <mergeCell ref="Y53:Z53"/>
    <mergeCell ref="AA53:AB53"/>
    <mergeCell ref="AC53:AD53"/>
    <mergeCell ref="AE53:AF53"/>
    <mergeCell ref="AG53:AH53"/>
    <mergeCell ref="O54:P54"/>
    <mergeCell ref="A54:J54"/>
    <mergeCell ref="K54:M54"/>
    <mergeCell ref="S54:T54"/>
    <mergeCell ref="W54:X54"/>
    <mergeCell ref="Y54:Z54"/>
    <mergeCell ref="AA54:AB54"/>
    <mergeCell ref="AC54:AD54"/>
    <mergeCell ref="AE54:AF54"/>
    <mergeCell ref="AG54:AH54"/>
    <mergeCell ref="U54:V54"/>
    <mergeCell ref="Q54:R54"/>
    <mergeCell ref="U53:V53"/>
    <mergeCell ref="AA50:AB50"/>
    <mergeCell ref="AC50:AD50"/>
    <mergeCell ref="AE50:AF50"/>
    <mergeCell ref="Q51:R51"/>
    <mergeCell ref="Q50:R50"/>
    <mergeCell ref="AE52:AF52"/>
    <mergeCell ref="AG52:AH52"/>
    <mergeCell ref="AI52:AJ52"/>
    <mergeCell ref="Q52:R52"/>
    <mergeCell ref="AA48:AB48"/>
    <mergeCell ref="AC48:AD48"/>
    <mergeCell ref="AE48:AF48"/>
    <mergeCell ref="Q49:R49"/>
    <mergeCell ref="Q48:R48"/>
    <mergeCell ref="AG50:AH50"/>
    <mergeCell ref="AI50:AJ50"/>
    <mergeCell ref="A51:J51"/>
    <mergeCell ref="K51:M51"/>
    <mergeCell ref="S51:T51"/>
    <mergeCell ref="U51:V51"/>
    <mergeCell ref="W51:X51"/>
    <mergeCell ref="Y51:Z51"/>
    <mergeCell ref="AA51:AB51"/>
    <mergeCell ref="AC51:AD51"/>
    <mergeCell ref="AE51:AF51"/>
    <mergeCell ref="AG51:AH51"/>
    <mergeCell ref="AI51:AJ51"/>
    <mergeCell ref="A50:J50"/>
    <mergeCell ref="K50:M50"/>
    <mergeCell ref="S50:T50"/>
    <mergeCell ref="U50:V50"/>
    <mergeCell ref="W50:X50"/>
    <mergeCell ref="Y50:Z50"/>
    <mergeCell ref="AA46:AB46"/>
    <mergeCell ref="AC46:AD46"/>
    <mergeCell ref="AE46:AF46"/>
    <mergeCell ref="Q47:R47"/>
    <mergeCell ref="Q46:R46"/>
    <mergeCell ref="AG48:AH48"/>
    <mergeCell ref="AI48:AJ48"/>
    <mergeCell ref="A49:J49"/>
    <mergeCell ref="K49:M49"/>
    <mergeCell ref="S49:T49"/>
    <mergeCell ref="U49:V49"/>
    <mergeCell ref="W49:X49"/>
    <mergeCell ref="Y49:Z49"/>
    <mergeCell ref="AA49:AB49"/>
    <mergeCell ref="AC49:AD49"/>
    <mergeCell ref="AE49:AF49"/>
    <mergeCell ref="AG49:AH49"/>
    <mergeCell ref="AI49:AJ49"/>
    <mergeCell ref="A48:J48"/>
    <mergeCell ref="K48:M48"/>
    <mergeCell ref="S48:T48"/>
    <mergeCell ref="U48:V48"/>
    <mergeCell ref="W48:X48"/>
    <mergeCell ref="Y48:Z48"/>
    <mergeCell ref="Y44:Z44"/>
    <mergeCell ref="AA44:AB44"/>
    <mergeCell ref="AC44:AD44"/>
    <mergeCell ref="O44:P44"/>
    <mergeCell ref="Q45:R45"/>
    <mergeCell ref="AG46:AH46"/>
    <mergeCell ref="AI46:AJ46"/>
    <mergeCell ref="A47:J47"/>
    <mergeCell ref="K47:M47"/>
    <mergeCell ref="S47:T47"/>
    <mergeCell ref="U47:V47"/>
    <mergeCell ref="W47:X47"/>
    <mergeCell ref="Y47:Z47"/>
    <mergeCell ref="AA47:AB47"/>
    <mergeCell ref="AC47:AD47"/>
    <mergeCell ref="AE47:AF47"/>
    <mergeCell ref="AG47:AH47"/>
    <mergeCell ref="AI47:AJ47"/>
    <mergeCell ref="A46:J46"/>
    <mergeCell ref="K46:M46"/>
    <mergeCell ref="S46:T46"/>
    <mergeCell ref="U46:V46"/>
    <mergeCell ref="W46:X46"/>
    <mergeCell ref="Y46:Z46"/>
    <mergeCell ref="W42:X42"/>
    <mergeCell ref="Y42:Z42"/>
    <mergeCell ref="AA42:AB42"/>
    <mergeCell ref="AC42:AD42"/>
    <mergeCell ref="AE44:AF44"/>
    <mergeCell ref="AG44:AH44"/>
    <mergeCell ref="AI44:AJ44"/>
    <mergeCell ref="A45:J45"/>
    <mergeCell ref="K45:M45"/>
    <mergeCell ref="S45:T45"/>
    <mergeCell ref="U45:V45"/>
    <mergeCell ref="W45:X45"/>
    <mergeCell ref="Y45:Z45"/>
    <mergeCell ref="AA45:AB45"/>
    <mergeCell ref="AC45:AD45"/>
    <mergeCell ref="AE45:AF45"/>
    <mergeCell ref="AG45:AH45"/>
    <mergeCell ref="AI45:AJ45"/>
    <mergeCell ref="A44:J44"/>
    <mergeCell ref="K44:M44"/>
    <mergeCell ref="Q44:R44"/>
    <mergeCell ref="S44:T44"/>
    <mergeCell ref="U44:V44"/>
    <mergeCell ref="W44:X44"/>
    <mergeCell ref="A38:J38"/>
    <mergeCell ref="A39:J39"/>
    <mergeCell ref="W36:X36"/>
    <mergeCell ref="AE42:AF42"/>
    <mergeCell ref="AG42:AH42"/>
    <mergeCell ref="AI42:AJ42"/>
    <mergeCell ref="A43:J43"/>
    <mergeCell ref="K43:M43"/>
    <mergeCell ref="O43:P43"/>
    <mergeCell ref="Q43:R43"/>
    <mergeCell ref="S43:T43"/>
    <mergeCell ref="U43:V43"/>
    <mergeCell ref="W43:X43"/>
    <mergeCell ref="Y43:Z43"/>
    <mergeCell ref="AA43:AB43"/>
    <mergeCell ref="AC43:AD43"/>
    <mergeCell ref="AE43:AF43"/>
    <mergeCell ref="AG43:AH43"/>
    <mergeCell ref="AI43:AJ43"/>
    <mergeCell ref="K42:M42"/>
    <mergeCell ref="O42:P42"/>
    <mergeCell ref="Q42:R42"/>
    <mergeCell ref="S42:T42"/>
    <mergeCell ref="U42:V42"/>
    <mergeCell ref="A30:J30"/>
    <mergeCell ref="A31:J31"/>
    <mergeCell ref="A32:J32"/>
    <mergeCell ref="Y52:Z52"/>
    <mergeCell ref="AA52:AB52"/>
    <mergeCell ref="AC52:AD52"/>
    <mergeCell ref="A41:J41"/>
    <mergeCell ref="O53:P53"/>
    <mergeCell ref="O52:P52"/>
    <mergeCell ref="O47:P47"/>
    <mergeCell ref="O46:P46"/>
    <mergeCell ref="O45:P45"/>
    <mergeCell ref="O51:P51"/>
    <mergeCell ref="O50:P50"/>
    <mergeCell ref="O49:P49"/>
    <mergeCell ref="A42:J42"/>
    <mergeCell ref="O48:P48"/>
    <mergeCell ref="K41:M41"/>
    <mergeCell ref="A52:J52"/>
    <mergeCell ref="K52:M52"/>
    <mergeCell ref="A34:J34"/>
    <mergeCell ref="A35:J35"/>
    <mergeCell ref="A36:J36"/>
    <mergeCell ref="A37:J37"/>
    <mergeCell ref="A40:J40"/>
    <mergeCell ref="AG16:AH16"/>
    <mergeCell ref="U16:V16"/>
    <mergeCell ref="W16:X16"/>
    <mergeCell ref="Y16:Z16"/>
    <mergeCell ref="AA16:AB16"/>
    <mergeCell ref="O16:P16"/>
    <mergeCell ref="K31:M31"/>
    <mergeCell ref="W32:X32"/>
    <mergeCell ref="Y32:Z32"/>
    <mergeCell ref="AA31:AB31"/>
    <mergeCell ref="AC31:AD31"/>
    <mergeCell ref="A28:J28"/>
    <mergeCell ref="A29:J29"/>
    <mergeCell ref="W39:X39"/>
    <mergeCell ref="Y39:Z39"/>
    <mergeCell ref="Y34:Z34"/>
    <mergeCell ref="W38:X38"/>
    <mergeCell ref="Y38:Z38"/>
    <mergeCell ref="K33:M33"/>
    <mergeCell ref="A33:J33"/>
    <mergeCell ref="K25:M25"/>
    <mergeCell ref="K26:M26"/>
    <mergeCell ref="K27:M27"/>
    <mergeCell ref="A16:J16"/>
    <mergeCell ref="A17:J17"/>
    <mergeCell ref="K13:M13"/>
    <mergeCell ref="K14:M14"/>
    <mergeCell ref="K15:M15"/>
    <mergeCell ref="K16:M16"/>
    <mergeCell ref="K17:M17"/>
    <mergeCell ref="K30:M30"/>
    <mergeCell ref="K19:M19"/>
    <mergeCell ref="K20:M20"/>
    <mergeCell ref="K21:M21"/>
    <mergeCell ref="K22:M22"/>
    <mergeCell ref="K23:M23"/>
    <mergeCell ref="A21:J21"/>
    <mergeCell ref="A22:J22"/>
    <mergeCell ref="A23:J23"/>
    <mergeCell ref="A24:J24"/>
    <mergeCell ref="A25:J25"/>
    <mergeCell ref="A26:J26"/>
    <mergeCell ref="A27:J27"/>
    <mergeCell ref="K18:M18"/>
    <mergeCell ref="A18:J18"/>
    <mergeCell ref="A19:J19"/>
    <mergeCell ref="A20:J20"/>
    <mergeCell ref="K37:M37"/>
    <mergeCell ref="K38:M38"/>
    <mergeCell ref="K39:M39"/>
    <mergeCell ref="K40:M40"/>
    <mergeCell ref="W13:X13"/>
    <mergeCell ref="AE16:AF16"/>
    <mergeCell ref="AA15:AB15"/>
    <mergeCell ref="AC15:AD15"/>
    <mergeCell ref="S14:T14"/>
    <mergeCell ref="AC16:AD16"/>
    <mergeCell ref="Q16:R16"/>
    <mergeCell ref="S16:T16"/>
    <mergeCell ref="U13:V13"/>
    <mergeCell ref="W30:X30"/>
    <mergeCell ref="Y30:Z30"/>
    <mergeCell ref="AA29:AB29"/>
    <mergeCell ref="K32:M32"/>
    <mergeCell ref="K28:M28"/>
    <mergeCell ref="K29:M29"/>
    <mergeCell ref="W28:X28"/>
    <mergeCell ref="K24:M24"/>
    <mergeCell ref="O39:P39"/>
    <mergeCell ref="Y28:Z28"/>
    <mergeCell ref="W26:X26"/>
    <mergeCell ref="AI39:AJ39"/>
    <mergeCell ref="O40:P40"/>
    <mergeCell ref="AE37:AF37"/>
    <mergeCell ref="AG37:AH37"/>
    <mergeCell ref="AI37:AJ37"/>
    <mergeCell ref="O38:P38"/>
    <mergeCell ref="AE41:AF41"/>
    <mergeCell ref="AG41:AH41"/>
    <mergeCell ref="AE39:AF39"/>
    <mergeCell ref="AG39:AH39"/>
    <mergeCell ref="Q38:R38"/>
    <mergeCell ref="S38:T38"/>
    <mergeCell ref="AG38:AH38"/>
    <mergeCell ref="AI41:AJ41"/>
    <mergeCell ref="AG40:AH40"/>
    <mergeCell ref="AI40:AJ40"/>
    <mergeCell ref="O41:P41"/>
    <mergeCell ref="Q41:R41"/>
    <mergeCell ref="S41:T41"/>
    <mergeCell ref="U41:V41"/>
    <mergeCell ref="W41:X41"/>
    <mergeCell ref="Y41:Z41"/>
    <mergeCell ref="U40:V40"/>
    <mergeCell ref="W40:X40"/>
    <mergeCell ref="Y40:Z40"/>
    <mergeCell ref="AA40:AB40"/>
    <mergeCell ref="AC40:AD40"/>
    <mergeCell ref="AE40:AF40"/>
    <mergeCell ref="AA41:AB41"/>
    <mergeCell ref="AC41:AD41"/>
    <mergeCell ref="Q40:R40"/>
    <mergeCell ref="S40:T40"/>
    <mergeCell ref="AA39:AB39"/>
    <mergeCell ref="AC39:AD39"/>
    <mergeCell ref="AA37:AB37"/>
    <mergeCell ref="AC37:AD37"/>
    <mergeCell ref="Q39:R39"/>
    <mergeCell ref="S39:T39"/>
    <mergeCell ref="U39:V39"/>
    <mergeCell ref="W29:X29"/>
    <mergeCell ref="Y29:Z29"/>
    <mergeCell ref="U30:V30"/>
    <mergeCell ref="AI38:AJ38"/>
    <mergeCell ref="AA38:AB38"/>
    <mergeCell ref="AC38:AD38"/>
    <mergeCell ref="AE38:AF38"/>
    <mergeCell ref="O37:P37"/>
    <mergeCell ref="Q37:R37"/>
    <mergeCell ref="S37:T37"/>
    <mergeCell ref="U37:V37"/>
    <mergeCell ref="W37:X37"/>
    <mergeCell ref="Y37:Z37"/>
    <mergeCell ref="U38:V38"/>
    <mergeCell ref="AI35:AJ35"/>
    <mergeCell ref="O36:P36"/>
    <mergeCell ref="Q36:R36"/>
    <mergeCell ref="S36:T36"/>
    <mergeCell ref="AG36:AH36"/>
    <mergeCell ref="AI36:AJ36"/>
    <mergeCell ref="AA36:AB36"/>
    <mergeCell ref="AC36:AD36"/>
    <mergeCell ref="AE36:AF36"/>
    <mergeCell ref="O35:P35"/>
    <mergeCell ref="Q35:R35"/>
    <mergeCell ref="S35:T35"/>
    <mergeCell ref="U35:V35"/>
    <mergeCell ref="W35:X35"/>
    <mergeCell ref="Y35:Z35"/>
    <mergeCell ref="U36:V36"/>
    <mergeCell ref="AA35:AB35"/>
    <mergeCell ref="AC35:AD35"/>
    <mergeCell ref="Y36:Z36"/>
    <mergeCell ref="AE35:AF35"/>
    <mergeCell ref="AG35:AH35"/>
    <mergeCell ref="AI33:AJ33"/>
    <mergeCell ref="O34:P34"/>
    <mergeCell ref="Q34:R34"/>
    <mergeCell ref="S34:T34"/>
    <mergeCell ref="AG34:AH34"/>
    <mergeCell ref="AI34:AJ34"/>
    <mergeCell ref="AA34:AB34"/>
    <mergeCell ref="AC34:AD34"/>
    <mergeCell ref="AE34:AF34"/>
    <mergeCell ref="O33:P33"/>
    <mergeCell ref="Q33:R33"/>
    <mergeCell ref="S33:T33"/>
    <mergeCell ref="U33:V33"/>
    <mergeCell ref="W33:X33"/>
    <mergeCell ref="Y33:Z33"/>
    <mergeCell ref="U34:V34"/>
    <mergeCell ref="W34:X34"/>
    <mergeCell ref="AA33:AB33"/>
    <mergeCell ref="AC33:AD33"/>
    <mergeCell ref="AE33:AF33"/>
    <mergeCell ref="AG33:AH33"/>
    <mergeCell ref="AC29:AD29"/>
    <mergeCell ref="AE29:AF29"/>
    <mergeCell ref="AG29:AH29"/>
    <mergeCell ref="AI29:AJ29"/>
    <mergeCell ref="O30:P30"/>
    <mergeCell ref="Q30:R30"/>
    <mergeCell ref="S30:T30"/>
    <mergeCell ref="AG30:AH30"/>
    <mergeCell ref="AI30:AJ30"/>
    <mergeCell ref="AA30:AB30"/>
    <mergeCell ref="AC30:AD30"/>
    <mergeCell ref="AE30:AF30"/>
    <mergeCell ref="O29:P29"/>
    <mergeCell ref="Q29:R29"/>
    <mergeCell ref="S29:T29"/>
    <mergeCell ref="U29:V29"/>
    <mergeCell ref="AI31:AJ31"/>
    <mergeCell ref="O32:P32"/>
    <mergeCell ref="Q32:R32"/>
    <mergeCell ref="S32:T32"/>
    <mergeCell ref="AG32:AH32"/>
    <mergeCell ref="AI32:AJ32"/>
    <mergeCell ref="AA32:AB32"/>
    <mergeCell ref="AC32:AD32"/>
    <mergeCell ref="AE32:AF32"/>
    <mergeCell ref="O31:P31"/>
    <mergeCell ref="Q31:R31"/>
    <mergeCell ref="S31:T31"/>
    <mergeCell ref="U31:V31"/>
    <mergeCell ref="W31:X31"/>
    <mergeCell ref="Y31:Z31"/>
    <mergeCell ref="U32:V32"/>
    <mergeCell ref="AE31:AF31"/>
    <mergeCell ref="AG31:AH31"/>
    <mergeCell ref="AI25:AJ25"/>
    <mergeCell ref="O26:P26"/>
    <mergeCell ref="Q26:R26"/>
    <mergeCell ref="S26:T26"/>
    <mergeCell ref="AG26:AH26"/>
    <mergeCell ref="AI26:AJ26"/>
    <mergeCell ref="AA26:AB26"/>
    <mergeCell ref="AC26:AD26"/>
    <mergeCell ref="AE26:AF26"/>
    <mergeCell ref="O25:P25"/>
    <mergeCell ref="Q25:R25"/>
    <mergeCell ref="S25:T25"/>
    <mergeCell ref="Y26:Z26"/>
    <mergeCell ref="AI27:AJ27"/>
    <mergeCell ref="O28:P28"/>
    <mergeCell ref="Q28:R28"/>
    <mergeCell ref="S28:T28"/>
    <mergeCell ref="AG28:AH28"/>
    <mergeCell ref="AI28:AJ28"/>
    <mergeCell ref="AA28:AB28"/>
    <mergeCell ref="AC28:AD28"/>
    <mergeCell ref="AE28:AF28"/>
    <mergeCell ref="O27:P27"/>
    <mergeCell ref="Q27:R27"/>
    <mergeCell ref="S27:T27"/>
    <mergeCell ref="U27:V27"/>
    <mergeCell ref="W27:X27"/>
    <mergeCell ref="Y27:Z27"/>
    <mergeCell ref="U28:V28"/>
    <mergeCell ref="AA27:AB27"/>
    <mergeCell ref="AC27:AD27"/>
    <mergeCell ref="AE27:AF27"/>
    <mergeCell ref="AG27:AH27"/>
    <mergeCell ref="AI23:AJ23"/>
    <mergeCell ref="O24:P24"/>
    <mergeCell ref="Q24:R24"/>
    <mergeCell ref="S24:T24"/>
    <mergeCell ref="AG24:AH24"/>
    <mergeCell ref="AI24:AJ24"/>
    <mergeCell ref="AA24:AB24"/>
    <mergeCell ref="AC24:AD24"/>
    <mergeCell ref="AE24:AF24"/>
    <mergeCell ref="O23:P23"/>
    <mergeCell ref="Q23:R23"/>
    <mergeCell ref="S23:T23"/>
    <mergeCell ref="U23:V23"/>
    <mergeCell ref="W23:X23"/>
    <mergeCell ref="Y23:Z23"/>
    <mergeCell ref="U24:V24"/>
    <mergeCell ref="W25:X25"/>
    <mergeCell ref="Y25:Z25"/>
    <mergeCell ref="U26:V26"/>
    <mergeCell ref="W24:X24"/>
    <mergeCell ref="Y24:Z24"/>
    <mergeCell ref="AA23:AB23"/>
    <mergeCell ref="AC23:AD23"/>
    <mergeCell ref="AE23:AF23"/>
    <mergeCell ref="AG23:AH23"/>
    <mergeCell ref="AA25:AB25"/>
    <mergeCell ref="AC25:AD25"/>
    <mergeCell ref="AE25:AF25"/>
    <mergeCell ref="AG25:AH25"/>
    <mergeCell ref="W22:X22"/>
    <mergeCell ref="Y22:Z22"/>
    <mergeCell ref="AA21:AB21"/>
    <mergeCell ref="AC21:AD21"/>
    <mergeCell ref="AE21:AF21"/>
    <mergeCell ref="AG21:AH21"/>
    <mergeCell ref="AI21:AJ21"/>
    <mergeCell ref="O22:P22"/>
    <mergeCell ref="Q22:R22"/>
    <mergeCell ref="S22:T22"/>
    <mergeCell ref="AG22:AH22"/>
    <mergeCell ref="AI22:AJ22"/>
    <mergeCell ref="AA22:AB22"/>
    <mergeCell ref="AC22:AD22"/>
    <mergeCell ref="AE22:AF22"/>
    <mergeCell ref="O21:P21"/>
    <mergeCell ref="Q21:R21"/>
    <mergeCell ref="S21:T21"/>
    <mergeCell ref="U21:V21"/>
    <mergeCell ref="W21:X21"/>
    <mergeCell ref="Y21:Z21"/>
    <mergeCell ref="U22:V22"/>
    <mergeCell ref="W17:X17"/>
    <mergeCell ref="Y17:Z17"/>
    <mergeCell ref="AA17:AB17"/>
    <mergeCell ref="AC17:AD17"/>
    <mergeCell ref="AE17:AF17"/>
    <mergeCell ref="AI16:AJ16"/>
    <mergeCell ref="W20:X20"/>
    <mergeCell ref="Y20:Z20"/>
    <mergeCell ref="AA19:AB19"/>
    <mergeCell ref="AC19:AD19"/>
    <mergeCell ref="AE19:AF19"/>
    <mergeCell ref="AG19:AH19"/>
    <mergeCell ref="AI19:AJ19"/>
    <mergeCell ref="AG20:AH20"/>
    <mergeCell ref="AI20:AJ20"/>
    <mergeCell ref="AA20:AB20"/>
    <mergeCell ref="AC20:AD20"/>
    <mergeCell ref="AE20:AF20"/>
    <mergeCell ref="W19:X19"/>
    <mergeCell ref="Y19:Z19"/>
    <mergeCell ref="AG14:AH14"/>
    <mergeCell ref="AI14:AJ14"/>
    <mergeCell ref="O15:P15"/>
    <mergeCell ref="Q15:R15"/>
    <mergeCell ref="S15:T15"/>
    <mergeCell ref="AA14:AB14"/>
    <mergeCell ref="AC14:AD14"/>
    <mergeCell ref="AE14:AF14"/>
    <mergeCell ref="W18:X18"/>
    <mergeCell ref="Y18:Z18"/>
    <mergeCell ref="AG17:AH17"/>
    <mergeCell ref="AI17:AJ17"/>
    <mergeCell ref="O18:P18"/>
    <mergeCell ref="Q18:R18"/>
    <mergeCell ref="S18:T18"/>
    <mergeCell ref="AG18:AH18"/>
    <mergeCell ref="AI18:AJ18"/>
    <mergeCell ref="AA18:AB18"/>
    <mergeCell ref="AC18:AD18"/>
    <mergeCell ref="AE18:AF18"/>
    <mergeCell ref="O17:P17"/>
    <mergeCell ref="Q17:R17"/>
    <mergeCell ref="S17:T17"/>
    <mergeCell ref="U17:V17"/>
    <mergeCell ref="W15:X15"/>
    <mergeCell ref="Y15:Z15"/>
    <mergeCell ref="U14:V14"/>
    <mergeCell ref="W14:X14"/>
    <mergeCell ref="Y14:Z14"/>
    <mergeCell ref="A5:AJ7"/>
    <mergeCell ref="A4:AJ4"/>
    <mergeCell ref="Y13:Z13"/>
    <mergeCell ref="AA13:AB13"/>
    <mergeCell ref="AC13:AD13"/>
    <mergeCell ref="AE13:AF13"/>
    <mergeCell ref="AG13:AH13"/>
    <mergeCell ref="AI13:AJ13"/>
    <mergeCell ref="O13:P13"/>
    <mergeCell ref="Q13:R13"/>
    <mergeCell ref="S13:T13"/>
    <mergeCell ref="AE15:AF15"/>
    <mergeCell ref="AG15:AH15"/>
    <mergeCell ref="AI15:AJ15"/>
    <mergeCell ref="O14:P14"/>
    <mergeCell ref="Q14:R14"/>
    <mergeCell ref="A13:J13"/>
    <mergeCell ref="A14:J14"/>
    <mergeCell ref="A15:J15"/>
    <mergeCell ref="Q69:R69"/>
    <mergeCell ref="Q70:R70"/>
    <mergeCell ref="O69:P69"/>
    <mergeCell ref="O70:P70"/>
    <mergeCell ref="B1:J2"/>
    <mergeCell ref="U18:V18"/>
    <mergeCell ref="A9:E9"/>
    <mergeCell ref="A10:E10"/>
    <mergeCell ref="G9:J9"/>
    <mergeCell ref="G10:J10"/>
    <mergeCell ref="U15:V15"/>
    <mergeCell ref="F11:J11"/>
    <mergeCell ref="O20:P20"/>
    <mergeCell ref="Q20:R20"/>
    <mergeCell ref="S20:T20"/>
    <mergeCell ref="O19:P19"/>
    <mergeCell ref="Q19:R19"/>
    <mergeCell ref="S19:T19"/>
    <mergeCell ref="U19:V19"/>
    <mergeCell ref="U20:V20"/>
    <mergeCell ref="U25:V25"/>
    <mergeCell ref="K34:M34"/>
    <mergeCell ref="K35:M35"/>
    <mergeCell ref="K36:M36"/>
    <mergeCell ref="O72:P72"/>
    <mergeCell ref="O71:P71"/>
    <mergeCell ref="AG69:AH69"/>
    <mergeCell ref="AI69:AJ69"/>
    <mergeCell ref="A70:J70"/>
    <mergeCell ref="K70:M70"/>
    <mergeCell ref="S70:T70"/>
    <mergeCell ref="U70:V70"/>
    <mergeCell ref="W70:X70"/>
    <mergeCell ref="Y70:Z70"/>
    <mergeCell ref="AA70:AB70"/>
    <mergeCell ref="AC70:AD70"/>
    <mergeCell ref="AE70:AF70"/>
    <mergeCell ref="AG70:AH70"/>
    <mergeCell ref="AI70:AJ70"/>
    <mergeCell ref="A69:J69"/>
    <mergeCell ref="K69:M69"/>
    <mergeCell ref="S69:T69"/>
    <mergeCell ref="U69:V69"/>
    <mergeCell ref="W69:X69"/>
    <mergeCell ref="Y69:Z69"/>
    <mergeCell ref="AA69:AB69"/>
    <mergeCell ref="AC69:AD69"/>
    <mergeCell ref="AE69:AF69"/>
    <mergeCell ref="AG71:AH71"/>
    <mergeCell ref="AI71:AJ71"/>
    <mergeCell ref="A72:J72"/>
    <mergeCell ref="K72:M72"/>
    <mergeCell ref="Q72:R72"/>
    <mergeCell ref="S72:T72"/>
    <mergeCell ref="U72:V72"/>
    <mergeCell ref="W72:X72"/>
    <mergeCell ref="Y72:Z72"/>
    <mergeCell ref="AA72:AB72"/>
    <mergeCell ref="AC72:AD72"/>
    <mergeCell ref="AE72:AF72"/>
    <mergeCell ref="AG72:AH72"/>
    <mergeCell ref="AI72:AJ72"/>
    <mergeCell ref="A71:J71"/>
    <mergeCell ref="K71:M71"/>
    <mergeCell ref="S71:T71"/>
    <mergeCell ref="U71:V71"/>
    <mergeCell ref="W71:X71"/>
    <mergeCell ref="Y71:Z71"/>
    <mergeCell ref="AA71:AB71"/>
    <mergeCell ref="AC71:AD71"/>
    <mergeCell ref="AE71:AF71"/>
    <mergeCell ref="Q71:R71"/>
    <mergeCell ref="AI73:AJ73"/>
    <mergeCell ref="A74:J74"/>
    <mergeCell ref="K74:M74"/>
    <mergeCell ref="O74:P74"/>
    <mergeCell ref="Q74:R74"/>
    <mergeCell ref="S74:T74"/>
    <mergeCell ref="U74:V74"/>
    <mergeCell ref="W74:X74"/>
    <mergeCell ref="Y74:Z74"/>
    <mergeCell ref="AA74:AB74"/>
    <mergeCell ref="AC74:AD74"/>
    <mergeCell ref="AE74:AF74"/>
    <mergeCell ref="AG74:AH74"/>
    <mergeCell ref="AI74:AJ74"/>
    <mergeCell ref="A73:J73"/>
    <mergeCell ref="K73:M73"/>
    <mergeCell ref="O73:P73"/>
    <mergeCell ref="Q73:R73"/>
    <mergeCell ref="S73:T73"/>
    <mergeCell ref="U73:V73"/>
    <mergeCell ref="W73:X73"/>
    <mergeCell ref="Y73:Z73"/>
    <mergeCell ref="AA73:AB73"/>
    <mergeCell ref="Q75:R75"/>
    <mergeCell ref="S75:T75"/>
    <mergeCell ref="U75:V75"/>
    <mergeCell ref="W75:X75"/>
    <mergeCell ref="Y75:Z75"/>
    <mergeCell ref="AA75:AB75"/>
    <mergeCell ref="AC73:AD73"/>
    <mergeCell ref="AE73:AF73"/>
    <mergeCell ref="AG73:AH73"/>
    <mergeCell ref="U77:V77"/>
    <mergeCell ref="W77:X77"/>
    <mergeCell ref="Y77:Z77"/>
    <mergeCell ref="AA77:AB77"/>
    <mergeCell ref="AC75:AD75"/>
    <mergeCell ref="AE75:AF75"/>
    <mergeCell ref="AG75:AH75"/>
    <mergeCell ref="AI75:AJ75"/>
    <mergeCell ref="A76:J76"/>
    <mergeCell ref="K76:M76"/>
    <mergeCell ref="O76:P76"/>
    <mergeCell ref="Q76:R76"/>
    <mergeCell ref="S76:T76"/>
    <mergeCell ref="U76:V76"/>
    <mergeCell ref="W76:X76"/>
    <mergeCell ref="Y76:Z76"/>
    <mergeCell ref="AA76:AB76"/>
    <mergeCell ref="AC76:AD76"/>
    <mergeCell ref="AE76:AF76"/>
    <mergeCell ref="AG76:AH76"/>
    <mergeCell ref="AI76:AJ76"/>
    <mergeCell ref="A75:J75"/>
    <mergeCell ref="K75:M75"/>
    <mergeCell ref="O75:P75"/>
    <mergeCell ref="Y79:Z79"/>
    <mergeCell ref="AA79:AB79"/>
    <mergeCell ref="AC77:AD77"/>
    <mergeCell ref="AE77:AF77"/>
    <mergeCell ref="AG77:AH77"/>
    <mergeCell ref="AI77:AJ77"/>
    <mergeCell ref="A78:J78"/>
    <mergeCell ref="K78:M78"/>
    <mergeCell ref="O78:P78"/>
    <mergeCell ref="Q78:R78"/>
    <mergeCell ref="S78:T78"/>
    <mergeCell ref="U78:V78"/>
    <mergeCell ref="W78:X78"/>
    <mergeCell ref="Y78:Z78"/>
    <mergeCell ref="AA78:AB78"/>
    <mergeCell ref="AC78:AD78"/>
    <mergeCell ref="AE78:AF78"/>
    <mergeCell ref="AG78:AH78"/>
    <mergeCell ref="AI78:AJ78"/>
    <mergeCell ref="A77:J77"/>
    <mergeCell ref="K77:M77"/>
    <mergeCell ref="O77:P77"/>
    <mergeCell ref="Q77:R77"/>
    <mergeCell ref="S77:T77"/>
    <mergeCell ref="AC79:AD79"/>
    <mergeCell ref="AE79:AF79"/>
    <mergeCell ref="AG79:AH79"/>
    <mergeCell ref="AI79:AJ79"/>
    <mergeCell ref="A80:J80"/>
    <mergeCell ref="K80:M80"/>
    <mergeCell ref="O80:P80"/>
    <mergeCell ref="Q80:R80"/>
    <mergeCell ref="S80:T80"/>
    <mergeCell ref="U80:V80"/>
    <mergeCell ref="W80:X80"/>
    <mergeCell ref="Y80:Z80"/>
    <mergeCell ref="AA80:AB80"/>
    <mergeCell ref="AC80:AD80"/>
    <mergeCell ref="AE80:AF80"/>
    <mergeCell ref="AG80:AH80"/>
    <mergeCell ref="AI80:AJ80"/>
    <mergeCell ref="A79:J79"/>
    <mergeCell ref="K79:M79"/>
    <mergeCell ref="O79:P79"/>
    <mergeCell ref="Q79:R79"/>
    <mergeCell ref="S79:T79"/>
    <mergeCell ref="U79:V79"/>
    <mergeCell ref="W79:X79"/>
    <mergeCell ref="U82:V82"/>
    <mergeCell ref="W82:X82"/>
    <mergeCell ref="Y82:Z82"/>
    <mergeCell ref="AA82:AB82"/>
    <mergeCell ref="AC82:AD82"/>
    <mergeCell ref="AE82:AF82"/>
    <mergeCell ref="AG82:AH82"/>
    <mergeCell ref="AI82:AJ82"/>
    <mergeCell ref="A81:J81"/>
    <mergeCell ref="K81:M81"/>
    <mergeCell ref="O81:P81"/>
    <mergeCell ref="Q81:R81"/>
    <mergeCell ref="S81:T81"/>
    <mergeCell ref="U81:V81"/>
    <mergeCell ref="W81:X81"/>
    <mergeCell ref="Y81:Z81"/>
    <mergeCell ref="AA81:AB81"/>
    <mergeCell ref="A11:E11"/>
    <mergeCell ref="O8:AJ11"/>
    <mergeCell ref="AC83:AD83"/>
    <mergeCell ref="AE83:AF83"/>
    <mergeCell ref="AG83:AH83"/>
    <mergeCell ref="AI83:AJ83"/>
    <mergeCell ref="A83:J83"/>
    <mergeCell ref="K83:M83"/>
    <mergeCell ref="O83:P83"/>
    <mergeCell ref="Q83:R83"/>
    <mergeCell ref="S83:T83"/>
    <mergeCell ref="U83:V83"/>
    <mergeCell ref="W83:X83"/>
    <mergeCell ref="Y83:Z83"/>
    <mergeCell ref="AA83:AB83"/>
    <mergeCell ref="AC81:AD81"/>
    <mergeCell ref="AE81:AF81"/>
    <mergeCell ref="AG81:AH81"/>
    <mergeCell ref="AI81:AJ81"/>
    <mergeCell ref="A82:J82"/>
    <mergeCell ref="K82:M82"/>
    <mergeCell ref="O82:P82"/>
    <mergeCell ref="Q82:R82"/>
    <mergeCell ref="S82:T82"/>
  </mergeCells>
  <conditionalFormatting sqref="A14:AJ83">
    <cfRule type="expression" dxfId="109" priority="6">
      <formula>ISBLANK($A14)</formula>
    </cfRule>
  </conditionalFormatting>
  <conditionalFormatting sqref="K13:N13">
    <cfRule type="cellIs" dxfId="108" priority="9" operator="equal">
      <formula>"%scenario"</formula>
    </cfRule>
  </conditionalFormatting>
  <conditionalFormatting sqref="O13:AJ13">
    <cfRule type="cellIs" dxfId="107" priority="7" operator="equal">
      <formula>"%scenario"</formula>
    </cfRule>
  </conditionalFormatting>
  <pageMargins left="0.7" right="0.7" top="0" bottom="0" header="0" footer="0"/>
  <pageSetup scale="64" fitToHeight="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Y51"/>
  <sheetViews>
    <sheetView showGridLines="0" view="pageLayout" zoomScaleNormal="100" workbookViewId="0">
      <selection activeCell="E1" sqref="E1"/>
    </sheetView>
  </sheetViews>
  <sheetFormatPr defaultRowHeight="15" x14ac:dyDescent="0.25"/>
  <cols>
    <col min="1" max="1" width="27.5703125" customWidth="1"/>
    <col min="2" max="25" width="4.5703125" customWidth="1"/>
  </cols>
  <sheetData>
    <row r="1" spans="1:25" x14ac:dyDescent="0.25">
      <c r="A1" s="534" t="s">
        <v>20</v>
      </c>
      <c r="B1" s="534"/>
      <c r="C1" s="534"/>
      <c r="D1" s="534"/>
    </row>
    <row r="2" spans="1:25" x14ac:dyDescent="0.25">
      <c r="A2" s="534"/>
      <c r="B2" s="534"/>
      <c r="C2" s="534"/>
      <c r="D2" s="534"/>
    </row>
    <row r="3" spans="1:25" ht="12" customHeight="1" x14ac:dyDescent="0.25">
      <c r="A3" s="15"/>
      <c r="B3" s="15"/>
      <c r="C3" s="15"/>
      <c r="D3" s="15"/>
    </row>
    <row r="4" spans="1:25" x14ac:dyDescent="0.25">
      <c r="B4" s="531"/>
      <c r="C4" s="531"/>
      <c r="D4" s="531"/>
      <c r="E4" s="531"/>
      <c r="F4" s="531"/>
      <c r="G4" s="531"/>
      <c r="H4" s="531"/>
      <c r="I4" s="531"/>
      <c r="J4" s="531"/>
      <c r="K4" s="531"/>
      <c r="L4" s="531"/>
      <c r="M4" s="531"/>
      <c r="N4" s="531"/>
      <c r="O4" s="531"/>
      <c r="P4" s="531"/>
      <c r="Q4" s="531"/>
      <c r="R4" s="531"/>
      <c r="S4" s="531"/>
      <c r="T4" s="531"/>
      <c r="U4" s="531"/>
      <c r="V4" s="531"/>
      <c r="W4" s="531"/>
      <c r="X4" s="531"/>
      <c r="Y4" s="531"/>
    </row>
    <row r="5" spans="1:25" x14ac:dyDescent="0.25">
      <c r="B5" s="532"/>
      <c r="C5" s="532"/>
      <c r="D5" s="532"/>
      <c r="E5" s="532"/>
      <c r="F5" s="532"/>
      <c r="G5" s="532"/>
      <c r="H5" s="532"/>
      <c r="I5" s="532"/>
      <c r="J5" s="532"/>
      <c r="K5" s="532"/>
      <c r="L5" s="532"/>
      <c r="M5" s="532"/>
      <c r="N5" s="532"/>
      <c r="O5" s="532"/>
      <c r="P5" s="532"/>
      <c r="Q5" s="532"/>
      <c r="R5" s="532"/>
      <c r="S5" s="532"/>
      <c r="T5" s="532"/>
      <c r="U5" s="532"/>
      <c r="V5" s="532"/>
      <c r="W5" s="532"/>
      <c r="X5" s="532"/>
      <c r="Y5" s="532"/>
    </row>
    <row r="6" spans="1:25" ht="14.25" customHeight="1" x14ac:dyDescent="0.25">
      <c r="B6" s="2"/>
      <c r="C6" s="2"/>
      <c r="D6" s="2"/>
      <c r="E6" s="2"/>
      <c r="F6" s="2"/>
      <c r="G6" s="2"/>
      <c r="H6" s="2"/>
      <c r="I6" s="2"/>
      <c r="J6" s="2"/>
      <c r="K6" s="2"/>
      <c r="L6" s="2"/>
      <c r="M6" s="2"/>
      <c r="N6" s="2"/>
      <c r="O6" s="2"/>
      <c r="P6" s="2"/>
      <c r="Q6" s="2"/>
      <c r="R6" s="2"/>
      <c r="S6" s="2"/>
      <c r="T6" s="2"/>
      <c r="U6" s="2"/>
      <c r="V6" s="2"/>
      <c r="W6" s="2"/>
      <c r="X6" s="2"/>
      <c r="Y6" s="2"/>
    </row>
    <row r="7" spans="1:25" ht="11.25" customHeight="1" x14ac:dyDescent="0.25">
      <c r="A7" s="3" t="s">
        <v>31</v>
      </c>
      <c r="B7" s="4"/>
      <c r="C7" s="4"/>
      <c r="D7" s="4"/>
      <c r="E7" s="5"/>
      <c r="F7" s="6"/>
      <c r="G7" s="4"/>
      <c r="H7" s="4"/>
      <c r="I7" s="5"/>
      <c r="J7" s="6"/>
      <c r="K7" s="4"/>
      <c r="L7" s="4"/>
      <c r="M7" s="5"/>
      <c r="N7" s="6"/>
      <c r="O7" s="4"/>
      <c r="P7" s="4"/>
      <c r="Q7" s="5"/>
      <c r="R7" s="6"/>
      <c r="S7" s="4"/>
      <c r="T7" s="4"/>
      <c r="U7" s="5"/>
      <c r="V7" s="6"/>
      <c r="W7" s="4"/>
      <c r="X7" s="4"/>
      <c r="Y7" s="5"/>
    </row>
    <row r="8" spans="1:25" ht="11.25" customHeight="1" x14ac:dyDescent="0.25">
      <c r="A8" s="7"/>
      <c r="B8" s="8"/>
      <c r="C8" s="8"/>
      <c r="D8" s="8"/>
      <c r="E8" s="9"/>
      <c r="F8" s="10"/>
      <c r="G8" s="8"/>
      <c r="H8" s="8"/>
      <c r="I8" s="9"/>
      <c r="J8" s="10"/>
      <c r="K8" s="8"/>
      <c r="L8" s="8"/>
      <c r="M8" s="9"/>
      <c r="N8" s="10"/>
      <c r="O8" s="8"/>
      <c r="P8" s="8"/>
      <c r="Q8" s="9"/>
      <c r="R8" s="10"/>
      <c r="S8" s="8"/>
      <c r="T8" s="8"/>
      <c r="U8" s="9"/>
      <c r="V8" s="10"/>
      <c r="W8" s="8"/>
      <c r="X8" s="8"/>
      <c r="Y8" s="9"/>
    </row>
    <row r="9" spans="1:25" ht="11.25" customHeight="1" x14ac:dyDescent="0.25">
      <c r="A9" s="3"/>
      <c r="B9" s="4"/>
      <c r="C9" s="4"/>
      <c r="D9" s="4"/>
      <c r="E9" s="5"/>
      <c r="F9" s="6"/>
      <c r="G9" s="4"/>
      <c r="H9" s="4"/>
      <c r="I9" s="5"/>
      <c r="J9" s="6"/>
      <c r="K9" s="4"/>
      <c r="L9" s="4"/>
      <c r="M9" s="5"/>
      <c r="N9" s="6"/>
      <c r="O9" s="4"/>
      <c r="P9" s="4"/>
      <c r="Q9" s="5"/>
      <c r="R9" s="6"/>
      <c r="S9" s="4"/>
      <c r="T9" s="4"/>
      <c r="U9" s="5"/>
      <c r="V9" s="6"/>
      <c r="W9" s="4"/>
      <c r="X9" s="4"/>
      <c r="Y9" s="5"/>
    </row>
    <row r="10" spans="1:25" ht="11.25" customHeight="1" x14ac:dyDescent="0.25">
      <c r="A10" s="7"/>
      <c r="B10" s="8"/>
      <c r="C10" s="8"/>
      <c r="D10" s="8"/>
      <c r="E10" s="9"/>
      <c r="F10" s="10"/>
      <c r="G10" s="8"/>
      <c r="H10" s="8"/>
      <c r="I10" s="9"/>
      <c r="J10" s="10"/>
      <c r="K10" s="8"/>
      <c r="L10" s="8"/>
      <c r="M10" s="9"/>
      <c r="N10" s="10"/>
      <c r="O10" s="8"/>
      <c r="P10" s="8"/>
      <c r="Q10" s="9"/>
      <c r="R10" s="10"/>
      <c r="S10" s="8"/>
      <c r="T10" s="8"/>
      <c r="U10" s="9"/>
      <c r="V10" s="10"/>
      <c r="W10" s="8"/>
      <c r="X10" s="8"/>
      <c r="Y10" s="9"/>
    </row>
    <row r="11" spans="1:25" ht="11.25" customHeight="1" x14ac:dyDescent="0.25">
      <c r="A11" s="3"/>
      <c r="B11" s="4"/>
      <c r="C11" s="4"/>
      <c r="D11" s="4"/>
      <c r="E11" s="5"/>
      <c r="F11" s="6"/>
      <c r="G11" s="4"/>
      <c r="H11" s="4"/>
      <c r="I11" s="5"/>
      <c r="J11" s="6"/>
      <c r="K11" s="4"/>
      <c r="L11" s="4"/>
      <c r="M11" s="5"/>
      <c r="N11" s="6"/>
      <c r="O11" s="4"/>
      <c r="P11" s="4"/>
      <c r="Q11" s="5"/>
      <c r="R11" s="6"/>
      <c r="S11" s="4"/>
      <c r="T11" s="4"/>
      <c r="U11" s="5"/>
      <c r="V11" s="6"/>
      <c r="W11" s="4"/>
      <c r="X11" s="4"/>
      <c r="Y11" s="5"/>
    </row>
    <row r="12" spans="1:25" ht="11.25" customHeight="1" x14ac:dyDescent="0.25">
      <c r="A12" s="7"/>
      <c r="B12" s="8"/>
      <c r="C12" s="8"/>
      <c r="D12" s="8"/>
      <c r="E12" s="9"/>
      <c r="F12" s="10"/>
      <c r="G12" s="8"/>
      <c r="H12" s="8"/>
      <c r="I12" s="9"/>
      <c r="J12" s="10"/>
      <c r="K12" s="8"/>
      <c r="L12" s="8"/>
      <c r="M12" s="9"/>
      <c r="N12" s="10"/>
      <c r="O12" s="8"/>
      <c r="P12" s="8"/>
      <c r="Q12" s="9"/>
      <c r="R12" s="10"/>
      <c r="S12" s="8"/>
      <c r="T12" s="8"/>
      <c r="U12" s="9"/>
      <c r="V12" s="10"/>
      <c r="W12" s="8"/>
      <c r="X12" s="8"/>
      <c r="Y12" s="9"/>
    </row>
    <row r="13" spans="1:25" ht="11.25" customHeight="1" x14ac:dyDescent="0.25">
      <c r="A13" s="3"/>
      <c r="B13" s="4"/>
      <c r="C13" s="4"/>
      <c r="D13" s="4"/>
      <c r="E13" s="5"/>
      <c r="F13" s="6"/>
      <c r="G13" s="4"/>
      <c r="H13" s="4"/>
      <c r="I13" s="5"/>
      <c r="J13" s="6"/>
      <c r="K13" s="4"/>
      <c r="L13" s="4"/>
      <c r="M13" s="5"/>
      <c r="N13" s="6"/>
      <c r="O13" s="4"/>
      <c r="P13" s="4"/>
      <c r="Q13" s="5"/>
      <c r="R13" s="6"/>
      <c r="S13" s="4"/>
      <c r="T13" s="4"/>
      <c r="U13" s="5"/>
      <c r="V13" s="6"/>
      <c r="W13" s="4"/>
      <c r="X13" s="4"/>
      <c r="Y13" s="5"/>
    </row>
    <row r="14" spans="1:25" ht="11.25" customHeight="1" x14ac:dyDescent="0.25">
      <c r="A14" s="7"/>
      <c r="B14" s="8"/>
      <c r="C14" s="8"/>
      <c r="D14" s="8"/>
      <c r="E14" s="9"/>
      <c r="F14" s="10"/>
      <c r="G14" s="8"/>
      <c r="H14" s="8"/>
      <c r="I14" s="9"/>
      <c r="J14" s="10"/>
      <c r="K14" s="8"/>
      <c r="L14" s="8"/>
      <c r="M14" s="9"/>
      <c r="N14" s="10"/>
      <c r="O14" s="8"/>
      <c r="P14" s="8"/>
      <c r="Q14" s="9"/>
      <c r="R14" s="10"/>
      <c r="S14" s="8"/>
      <c r="T14" s="8"/>
      <c r="U14" s="9"/>
      <c r="V14" s="10"/>
      <c r="W14" s="8"/>
      <c r="X14" s="8"/>
      <c r="Y14" s="9"/>
    </row>
    <row r="15" spans="1:25" ht="11.25" customHeight="1" x14ac:dyDescent="0.25">
      <c r="A15" s="3"/>
      <c r="B15" s="4"/>
      <c r="C15" s="4"/>
      <c r="D15" s="4"/>
      <c r="E15" s="5"/>
      <c r="F15" s="6"/>
      <c r="G15" s="4"/>
      <c r="H15" s="4"/>
      <c r="I15" s="5"/>
      <c r="J15" s="6"/>
      <c r="K15" s="4"/>
      <c r="L15" s="4"/>
      <c r="M15" s="5"/>
      <c r="N15" s="6"/>
      <c r="O15" s="4"/>
      <c r="P15" s="4"/>
      <c r="Q15" s="5"/>
      <c r="R15" s="6"/>
      <c r="S15" s="4"/>
      <c r="T15" s="4"/>
      <c r="U15" s="5"/>
      <c r="V15" s="6"/>
      <c r="W15" s="4"/>
      <c r="X15" s="4"/>
      <c r="Y15" s="5"/>
    </row>
    <row r="16" spans="1:25" ht="11.25" customHeight="1" x14ac:dyDescent="0.25">
      <c r="A16" s="7"/>
      <c r="B16" s="8"/>
      <c r="C16" s="8"/>
      <c r="D16" s="8"/>
      <c r="E16" s="9"/>
      <c r="F16" s="10"/>
      <c r="G16" s="8"/>
      <c r="H16" s="8"/>
      <c r="I16" s="9"/>
      <c r="J16" s="10"/>
      <c r="K16" s="8"/>
      <c r="L16" s="8"/>
      <c r="M16" s="9"/>
      <c r="N16" s="10"/>
      <c r="O16" s="8"/>
      <c r="P16" s="8"/>
      <c r="Q16" s="9"/>
      <c r="R16" s="10"/>
      <c r="S16" s="8"/>
      <c r="T16" s="8"/>
      <c r="U16" s="9"/>
      <c r="V16" s="10"/>
      <c r="W16" s="8"/>
      <c r="X16" s="8"/>
      <c r="Y16" s="9"/>
    </row>
    <row r="17" spans="1:25" ht="11.25" customHeight="1" x14ac:dyDescent="0.25">
      <c r="A17" s="3"/>
      <c r="B17" s="4"/>
      <c r="C17" s="4"/>
      <c r="D17" s="4"/>
      <c r="E17" s="5"/>
      <c r="F17" s="6"/>
      <c r="G17" s="4"/>
      <c r="H17" s="4"/>
      <c r="I17" s="5"/>
      <c r="J17" s="6"/>
      <c r="K17" s="4"/>
      <c r="L17" s="4"/>
      <c r="M17" s="5"/>
      <c r="N17" s="6"/>
      <c r="O17" s="4"/>
      <c r="P17" s="4"/>
      <c r="Q17" s="5"/>
      <c r="R17" s="6"/>
      <c r="S17" s="4"/>
      <c r="T17" s="4"/>
      <c r="U17" s="5"/>
      <c r="V17" s="6"/>
      <c r="W17" s="4"/>
      <c r="X17" s="4"/>
      <c r="Y17" s="5"/>
    </row>
    <row r="18" spans="1:25" ht="11.25" customHeight="1" x14ac:dyDescent="0.25">
      <c r="A18" s="7"/>
      <c r="B18" s="8"/>
      <c r="C18" s="8"/>
      <c r="D18" s="8"/>
      <c r="E18" s="9"/>
      <c r="F18" s="10"/>
      <c r="G18" s="8"/>
      <c r="H18" s="8"/>
      <c r="I18" s="9"/>
      <c r="J18" s="10"/>
      <c r="K18" s="8"/>
      <c r="L18" s="8"/>
      <c r="M18" s="9"/>
      <c r="N18" s="10"/>
      <c r="O18" s="8"/>
      <c r="P18" s="8"/>
      <c r="Q18" s="9"/>
      <c r="R18" s="10"/>
      <c r="S18" s="8"/>
      <c r="T18" s="8"/>
      <c r="U18" s="9"/>
      <c r="V18" s="10"/>
      <c r="W18" s="8"/>
      <c r="X18" s="8"/>
      <c r="Y18" s="9"/>
    </row>
    <row r="19" spans="1:25" ht="11.25" customHeight="1" x14ac:dyDescent="0.25">
      <c r="A19" s="3"/>
      <c r="B19" s="4"/>
      <c r="C19" s="4"/>
      <c r="D19" s="4"/>
      <c r="E19" s="5"/>
      <c r="F19" s="6"/>
      <c r="G19" s="4"/>
      <c r="H19" s="4"/>
      <c r="I19" s="5"/>
      <c r="J19" s="6"/>
      <c r="K19" s="4"/>
      <c r="L19" s="4"/>
      <c r="M19" s="5"/>
      <c r="N19" s="6"/>
      <c r="O19" s="4"/>
      <c r="P19" s="4"/>
      <c r="Q19" s="5"/>
      <c r="R19" s="6"/>
      <c r="S19" s="4"/>
      <c r="T19" s="4"/>
      <c r="U19" s="5"/>
      <c r="V19" s="6"/>
      <c r="W19" s="4"/>
      <c r="X19" s="4"/>
      <c r="Y19" s="5"/>
    </row>
    <row r="20" spans="1:25" ht="11.25" customHeight="1" x14ac:dyDescent="0.25">
      <c r="A20" s="7"/>
      <c r="B20" s="8"/>
      <c r="C20" s="8"/>
      <c r="D20" s="8"/>
      <c r="E20" s="9"/>
      <c r="F20" s="10"/>
      <c r="G20" s="8"/>
      <c r="H20" s="8"/>
      <c r="I20" s="9"/>
      <c r="J20" s="10"/>
      <c r="K20" s="8"/>
      <c r="L20" s="8"/>
      <c r="M20" s="9"/>
      <c r="N20" s="10"/>
      <c r="O20" s="8"/>
      <c r="P20" s="8"/>
      <c r="Q20" s="9"/>
      <c r="R20" s="10"/>
      <c r="S20" s="8"/>
      <c r="T20" s="8"/>
      <c r="U20" s="9"/>
      <c r="V20" s="10"/>
      <c r="W20" s="8"/>
      <c r="X20" s="8"/>
      <c r="Y20" s="9"/>
    </row>
    <row r="21" spans="1:25" ht="11.25" customHeight="1" x14ac:dyDescent="0.25">
      <c r="A21" s="3"/>
      <c r="B21" s="4"/>
      <c r="C21" s="4"/>
      <c r="D21" s="4"/>
      <c r="E21" s="5"/>
      <c r="F21" s="6"/>
      <c r="G21" s="4"/>
      <c r="H21" s="4"/>
      <c r="I21" s="5"/>
      <c r="J21" s="6"/>
      <c r="K21" s="4"/>
      <c r="L21" s="4"/>
      <c r="M21" s="5"/>
      <c r="N21" s="6"/>
      <c r="O21" s="4"/>
      <c r="P21" s="4"/>
      <c r="Q21" s="5"/>
      <c r="R21" s="6"/>
      <c r="S21" s="4"/>
      <c r="T21" s="4"/>
      <c r="U21" s="5"/>
      <c r="V21" s="6"/>
      <c r="W21" s="4"/>
      <c r="X21" s="4"/>
      <c r="Y21" s="5"/>
    </row>
    <row r="22" spans="1:25" ht="11.25" customHeight="1" x14ac:dyDescent="0.25">
      <c r="A22" s="7"/>
      <c r="B22" s="8"/>
      <c r="C22" s="8"/>
      <c r="D22" s="8"/>
      <c r="E22" s="9"/>
      <c r="F22" s="10"/>
      <c r="G22" s="8"/>
      <c r="H22" s="8"/>
      <c r="I22" s="9"/>
      <c r="J22" s="10"/>
      <c r="K22" s="8"/>
      <c r="L22" s="8"/>
      <c r="M22" s="9"/>
      <c r="N22" s="10"/>
      <c r="O22" s="8"/>
      <c r="P22" s="8"/>
      <c r="Q22" s="9"/>
      <c r="R22" s="10"/>
      <c r="S22" s="8"/>
      <c r="T22" s="8"/>
      <c r="U22" s="9"/>
      <c r="V22" s="10"/>
      <c r="W22" s="8"/>
      <c r="X22" s="8"/>
      <c r="Y22" s="9"/>
    </row>
    <row r="23" spans="1:25" ht="11.25" customHeight="1" x14ac:dyDescent="0.25">
      <c r="A23" s="3"/>
      <c r="B23" s="4"/>
      <c r="C23" s="4"/>
      <c r="D23" s="4"/>
      <c r="E23" s="5"/>
      <c r="F23" s="6"/>
      <c r="G23" s="4"/>
      <c r="H23" s="4"/>
      <c r="I23" s="5"/>
      <c r="J23" s="6"/>
      <c r="K23" s="4"/>
      <c r="L23" s="4"/>
      <c r="M23" s="5"/>
      <c r="N23" s="6"/>
      <c r="O23" s="4"/>
      <c r="P23" s="4"/>
      <c r="Q23" s="5"/>
      <c r="R23" s="6"/>
      <c r="S23" s="4"/>
      <c r="T23" s="4"/>
      <c r="U23" s="5"/>
      <c r="V23" s="6"/>
      <c r="W23" s="4"/>
      <c r="X23" s="4"/>
      <c r="Y23" s="5"/>
    </row>
    <row r="24" spans="1:25" ht="11.25" customHeight="1" x14ac:dyDescent="0.25">
      <c r="A24" s="7"/>
      <c r="B24" s="8"/>
      <c r="C24" s="8"/>
      <c r="D24" s="8"/>
      <c r="E24" s="9"/>
      <c r="F24" s="10"/>
      <c r="G24" s="8"/>
      <c r="H24" s="8"/>
      <c r="I24" s="9"/>
      <c r="J24" s="10"/>
      <c r="K24" s="8"/>
      <c r="L24" s="8"/>
      <c r="M24" s="9"/>
      <c r="N24" s="10"/>
      <c r="O24" s="8"/>
      <c r="P24" s="8"/>
      <c r="Q24" s="9"/>
      <c r="R24" s="10"/>
      <c r="S24" s="8"/>
      <c r="T24" s="8"/>
      <c r="U24" s="9"/>
      <c r="V24" s="10"/>
      <c r="W24" s="8"/>
      <c r="X24" s="8"/>
      <c r="Y24" s="9"/>
    </row>
    <row r="25" spans="1:25" ht="11.25" customHeight="1" x14ac:dyDescent="0.25">
      <c r="A25" s="3"/>
      <c r="B25" s="4"/>
      <c r="C25" s="4"/>
      <c r="D25" s="4"/>
      <c r="E25" s="5"/>
      <c r="F25" s="6"/>
      <c r="G25" s="4"/>
      <c r="H25" s="4"/>
      <c r="I25" s="5"/>
      <c r="J25" s="6"/>
      <c r="K25" s="4"/>
      <c r="L25" s="4"/>
      <c r="M25" s="5"/>
      <c r="N25" s="6"/>
      <c r="O25" s="4"/>
      <c r="P25" s="4"/>
      <c r="Q25" s="5"/>
      <c r="R25" s="6"/>
      <c r="S25" s="4"/>
      <c r="T25" s="4"/>
      <c r="U25" s="5"/>
      <c r="V25" s="6"/>
      <c r="W25" s="4"/>
      <c r="X25" s="4"/>
      <c r="Y25" s="5"/>
    </row>
    <row r="26" spans="1:25" ht="11.25" customHeight="1" x14ac:dyDescent="0.25">
      <c r="A26" s="7"/>
      <c r="B26" s="8"/>
      <c r="C26" s="8"/>
      <c r="D26" s="8"/>
      <c r="E26" s="9"/>
      <c r="F26" s="10"/>
      <c r="G26" s="8"/>
      <c r="H26" s="8"/>
      <c r="I26" s="9"/>
      <c r="J26" s="10"/>
      <c r="K26" s="8"/>
      <c r="L26" s="8"/>
      <c r="M26" s="9"/>
      <c r="N26" s="10"/>
      <c r="O26" s="8"/>
      <c r="P26" s="8"/>
      <c r="Q26" s="9"/>
      <c r="R26" s="10"/>
      <c r="S26" s="8"/>
      <c r="T26" s="8"/>
      <c r="U26" s="9"/>
      <c r="V26" s="10"/>
      <c r="W26" s="8"/>
      <c r="X26" s="8"/>
      <c r="Y26" s="9"/>
    </row>
    <row r="27" spans="1:25" ht="11.25" customHeight="1" x14ac:dyDescent="0.25">
      <c r="A27" s="3"/>
      <c r="B27" s="4"/>
      <c r="C27" s="4"/>
      <c r="D27" s="4"/>
      <c r="E27" s="5"/>
      <c r="F27" s="6"/>
      <c r="G27" s="4"/>
      <c r="H27" s="4"/>
      <c r="I27" s="5"/>
      <c r="J27" s="6"/>
      <c r="K27" s="4"/>
      <c r="L27" s="4"/>
      <c r="M27" s="5"/>
      <c r="N27" s="6"/>
      <c r="O27" s="4"/>
      <c r="P27" s="4"/>
      <c r="Q27" s="5"/>
      <c r="R27" s="6"/>
      <c r="S27" s="4"/>
      <c r="T27" s="4"/>
      <c r="U27" s="5"/>
      <c r="V27" s="6"/>
      <c r="W27" s="4"/>
      <c r="X27" s="4"/>
      <c r="Y27" s="5"/>
    </row>
    <row r="28" spans="1:25" ht="11.25" customHeight="1" x14ac:dyDescent="0.25">
      <c r="A28" s="7"/>
      <c r="B28" s="8"/>
      <c r="C28" s="8"/>
      <c r="D28" s="8"/>
      <c r="E28" s="9"/>
      <c r="F28" s="10"/>
      <c r="G28" s="8"/>
      <c r="H28" s="8"/>
      <c r="I28" s="9"/>
      <c r="J28" s="10"/>
      <c r="K28" s="8"/>
      <c r="L28" s="8"/>
      <c r="M28" s="9"/>
      <c r="N28" s="10"/>
      <c r="O28" s="8"/>
      <c r="P28" s="8"/>
      <c r="Q28" s="9"/>
      <c r="R28" s="10"/>
      <c r="S28" s="8"/>
      <c r="T28" s="8"/>
      <c r="U28" s="9"/>
      <c r="V28" s="10"/>
      <c r="W28" s="8"/>
      <c r="X28" s="8"/>
      <c r="Y28" s="9"/>
    </row>
    <row r="29" spans="1:25" ht="11.25" customHeight="1" x14ac:dyDescent="0.25">
      <c r="A29" s="3"/>
      <c r="B29" s="4"/>
      <c r="C29" s="4"/>
      <c r="D29" s="4"/>
      <c r="E29" s="5"/>
      <c r="F29" s="6"/>
      <c r="G29" s="4"/>
      <c r="H29" s="4"/>
      <c r="I29" s="5"/>
      <c r="J29" s="6"/>
      <c r="K29" s="4"/>
      <c r="L29" s="4"/>
      <c r="M29" s="5"/>
      <c r="N29" s="6"/>
      <c r="O29" s="4"/>
      <c r="P29" s="4"/>
      <c r="Q29" s="5"/>
      <c r="R29" s="6"/>
      <c r="S29" s="4"/>
      <c r="T29" s="4"/>
      <c r="U29" s="5"/>
      <c r="V29" s="6"/>
      <c r="W29" s="4"/>
      <c r="X29" s="4"/>
      <c r="Y29" s="5"/>
    </row>
    <row r="30" spans="1:25" ht="11.25" customHeight="1" x14ac:dyDescent="0.25">
      <c r="A30" s="7"/>
      <c r="B30" s="8"/>
      <c r="C30" s="8"/>
      <c r="D30" s="8"/>
      <c r="E30" s="9"/>
      <c r="F30" s="10"/>
      <c r="G30" s="8"/>
      <c r="H30" s="8"/>
      <c r="I30" s="9"/>
      <c r="J30" s="10"/>
      <c r="K30" s="8"/>
      <c r="L30" s="8"/>
      <c r="M30" s="9"/>
      <c r="N30" s="10"/>
      <c r="O30" s="8"/>
      <c r="P30" s="8"/>
      <c r="Q30" s="9"/>
      <c r="R30" s="10"/>
      <c r="S30" s="8"/>
      <c r="T30" s="8"/>
      <c r="U30" s="9"/>
      <c r="V30" s="10"/>
      <c r="W30" s="8"/>
      <c r="X30" s="8"/>
      <c r="Y30" s="9"/>
    </row>
    <row r="31" spans="1:25" ht="11.25" customHeight="1" x14ac:dyDescent="0.25">
      <c r="A31" s="3"/>
      <c r="B31" s="4"/>
      <c r="C31" s="4"/>
      <c r="D31" s="4"/>
      <c r="E31" s="5"/>
      <c r="F31" s="6"/>
      <c r="G31" s="4"/>
      <c r="H31" s="4"/>
      <c r="I31" s="5"/>
      <c r="J31" s="6"/>
      <c r="K31" s="4"/>
      <c r="L31" s="4"/>
      <c r="M31" s="5"/>
      <c r="N31" s="6"/>
      <c r="O31" s="4"/>
      <c r="P31" s="4"/>
      <c r="Q31" s="5"/>
      <c r="R31" s="6"/>
      <c r="S31" s="4"/>
      <c r="T31" s="4"/>
      <c r="U31" s="5"/>
      <c r="V31" s="6"/>
      <c r="W31" s="4"/>
      <c r="X31" s="4"/>
      <c r="Y31" s="5"/>
    </row>
    <row r="32" spans="1:25" ht="11.25" customHeight="1" x14ac:dyDescent="0.25">
      <c r="A32" s="7"/>
      <c r="B32" s="8"/>
      <c r="C32" s="8"/>
      <c r="D32" s="8"/>
      <c r="E32" s="9"/>
      <c r="F32" s="10"/>
      <c r="G32" s="8"/>
      <c r="H32" s="8"/>
      <c r="I32" s="9"/>
      <c r="J32" s="10"/>
      <c r="K32" s="8"/>
      <c r="L32" s="8"/>
      <c r="M32" s="9"/>
      <c r="N32" s="10"/>
      <c r="O32" s="8"/>
      <c r="P32" s="8"/>
      <c r="Q32" s="9"/>
      <c r="R32" s="10"/>
      <c r="S32" s="8"/>
      <c r="T32" s="8"/>
      <c r="U32" s="9"/>
      <c r="V32" s="10"/>
      <c r="W32" s="8"/>
      <c r="X32" s="8"/>
      <c r="Y32" s="9"/>
    </row>
    <row r="33" spans="1:25" ht="11.25" customHeight="1" x14ac:dyDescent="0.25">
      <c r="A33" s="3"/>
      <c r="B33" s="4"/>
      <c r="C33" s="4"/>
      <c r="D33" s="4"/>
      <c r="E33" s="5"/>
      <c r="F33" s="6"/>
      <c r="G33" s="4"/>
      <c r="H33" s="4"/>
      <c r="I33" s="5"/>
      <c r="J33" s="6"/>
      <c r="K33" s="4"/>
      <c r="L33" s="4"/>
      <c r="M33" s="5"/>
      <c r="N33" s="6"/>
      <c r="O33" s="4"/>
      <c r="P33" s="4"/>
      <c r="Q33" s="5"/>
      <c r="R33" s="6"/>
      <c r="S33" s="4"/>
      <c r="T33" s="4"/>
      <c r="U33" s="5"/>
      <c r="V33" s="6"/>
      <c r="W33" s="4"/>
      <c r="X33" s="4"/>
      <c r="Y33" s="5"/>
    </row>
    <row r="34" spans="1:25" ht="11.25" customHeight="1" x14ac:dyDescent="0.25">
      <c r="A34" s="7"/>
      <c r="B34" s="8"/>
      <c r="C34" s="8"/>
      <c r="D34" s="8"/>
      <c r="E34" s="9"/>
      <c r="F34" s="10"/>
      <c r="G34" s="8"/>
      <c r="H34" s="8"/>
      <c r="I34" s="9"/>
      <c r="J34" s="10"/>
      <c r="K34" s="8"/>
      <c r="L34" s="8"/>
      <c r="M34" s="9"/>
      <c r="N34" s="10"/>
      <c r="O34" s="8"/>
      <c r="P34" s="8"/>
      <c r="Q34" s="9"/>
      <c r="R34" s="10"/>
      <c r="S34" s="8"/>
      <c r="T34" s="8"/>
      <c r="U34" s="9"/>
      <c r="V34" s="10"/>
      <c r="W34" s="8"/>
      <c r="X34" s="8"/>
      <c r="Y34" s="9"/>
    </row>
    <row r="35" spans="1:25" ht="11.25" customHeight="1" x14ac:dyDescent="0.25">
      <c r="A35" s="3"/>
      <c r="B35" s="4"/>
      <c r="C35" s="4"/>
      <c r="D35" s="4"/>
      <c r="E35" s="5"/>
      <c r="F35" s="6"/>
      <c r="G35" s="4"/>
      <c r="H35" s="4"/>
      <c r="I35" s="5"/>
      <c r="J35" s="6"/>
      <c r="K35" s="4"/>
      <c r="L35" s="4"/>
      <c r="M35" s="5"/>
      <c r="N35" s="6"/>
      <c r="O35" s="4"/>
      <c r="P35" s="4"/>
      <c r="Q35" s="5"/>
      <c r="R35" s="6"/>
      <c r="S35" s="4"/>
      <c r="T35" s="4"/>
      <c r="U35" s="5"/>
      <c r="V35" s="6"/>
      <c r="W35" s="4"/>
      <c r="X35" s="4"/>
      <c r="Y35" s="5"/>
    </row>
    <row r="36" spans="1:25" ht="11.25" customHeight="1" x14ac:dyDescent="0.25">
      <c r="A36" s="7"/>
      <c r="B36" s="8"/>
      <c r="C36" s="8"/>
      <c r="D36" s="8"/>
      <c r="E36" s="9"/>
      <c r="F36" s="10"/>
      <c r="G36" s="8"/>
      <c r="H36" s="8"/>
      <c r="I36" s="9"/>
      <c r="J36" s="10"/>
      <c r="K36" s="8"/>
      <c r="L36" s="8"/>
      <c r="M36" s="9"/>
      <c r="N36" s="10"/>
      <c r="O36" s="8"/>
      <c r="P36" s="8"/>
      <c r="Q36" s="9"/>
      <c r="R36" s="10"/>
      <c r="S36" s="8"/>
      <c r="T36" s="8"/>
      <c r="U36" s="9"/>
      <c r="V36" s="10"/>
      <c r="W36" s="8"/>
      <c r="X36" s="8"/>
      <c r="Y36" s="9"/>
    </row>
    <row r="37" spans="1:25" ht="11.25" customHeight="1" x14ac:dyDescent="0.25">
      <c r="A37" s="3"/>
      <c r="B37" s="4"/>
      <c r="C37" s="4"/>
      <c r="D37" s="4"/>
      <c r="E37" s="5"/>
      <c r="F37" s="6"/>
      <c r="G37" s="4"/>
      <c r="H37" s="4"/>
      <c r="I37" s="5"/>
      <c r="J37" s="6"/>
      <c r="K37" s="4"/>
      <c r="L37" s="4"/>
      <c r="M37" s="5"/>
      <c r="N37" s="6"/>
      <c r="O37" s="4"/>
      <c r="P37" s="4"/>
      <c r="Q37" s="5"/>
      <c r="R37" s="6"/>
      <c r="S37" s="4"/>
      <c r="T37" s="4"/>
      <c r="U37" s="5"/>
      <c r="V37" s="6"/>
      <c r="W37" s="4"/>
      <c r="X37" s="4"/>
      <c r="Y37" s="5"/>
    </row>
    <row r="38" spans="1:25" ht="11.25" customHeight="1" x14ac:dyDescent="0.25">
      <c r="A38" s="7"/>
      <c r="B38" s="8"/>
      <c r="C38" s="8"/>
      <c r="D38" s="8"/>
      <c r="E38" s="9"/>
      <c r="F38" s="10"/>
      <c r="G38" s="8"/>
      <c r="H38" s="8"/>
      <c r="I38" s="9"/>
      <c r="J38" s="10"/>
      <c r="K38" s="8"/>
      <c r="L38" s="8"/>
      <c r="M38" s="9"/>
      <c r="N38" s="10"/>
      <c r="O38" s="8"/>
      <c r="P38" s="8"/>
      <c r="Q38" s="9"/>
      <c r="R38" s="10"/>
      <c r="S38" s="8"/>
      <c r="T38" s="8"/>
      <c r="U38" s="9"/>
      <c r="V38" s="10"/>
      <c r="W38" s="8"/>
      <c r="X38" s="8"/>
      <c r="Y38" s="9"/>
    </row>
    <row r="39" spans="1:25" ht="11.25" customHeight="1" x14ac:dyDescent="0.25">
      <c r="A39" s="3"/>
      <c r="B39" s="4"/>
      <c r="C39" s="4"/>
      <c r="D39" s="4"/>
      <c r="E39" s="5"/>
      <c r="F39" s="6"/>
      <c r="G39" s="4"/>
      <c r="H39" s="4"/>
      <c r="I39" s="5"/>
      <c r="J39" s="6"/>
      <c r="K39" s="4"/>
      <c r="L39" s="4"/>
      <c r="M39" s="5"/>
      <c r="N39" s="6"/>
      <c r="O39" s="4"/>
      <c r="P39" s="4"/>
      <c r="Q39" s="5"/>
      <c r="R39" s="6"/>
      <c r="S39" s="4"/>
      <c r="T39" s="4"/>
      <c r="U39" s="5"/>
      <c r="V39" s="6"/>
      <c r="W39" s="4"/>
      <c r="X39" s="4"/>
      <c r="Y39" s="5"/>
    </row>
    <row r="40" spans="1:25" ht="11.25" customHeight="1" x14ac:dyDescent="0.25">
      <c r="A40" s="7"/>
      <c r="B40" s="8"/>
      <c r="C40" s="8"/>
      <c r="D40" s="8"/>
      <c r="E40" s="9"/>
      <c r="F40" s="10"/>
      <c r="G40" s="8"/>
      <c r="H40" s="8"/>
      <c r="I40" s="9"/>
      <c r="J40" s="10"/>
      <c r="K40" s="8"/>
      <c r="L40" s="8"/>
      <c r="M40" s="9"/>
      <c r="N40" s="10"/>
      <c r="O40" s="8"/>
      <c r="P40" s="8"/>
      <c r="Q40" s="9"/>
      <c r="R40" s="10"/>
      <c r="S40" s="8"/>
      <c r="T40" s="8"/>
      <c r="U40" s="9"/>
      <c r="V40" s="10"/>
      <c r="W40" s="8"/>
      <c r="X40" s="8"/>
      <c r="Y40" s="9"/>
    </row>
    <row r="41" spans="1:25" ht="11.25" customHeight="1" x14ac:dyDescent="0.25">
      <c r="A41" s="3"/>
      <c r="B41" s="4"/>
      <c r="C41" s="4"/>
      <c r="D41" s="4"/>
      <c r="E41" s="5"/>
      <c r="F41" s="6"/>
      <c r="G41" s="4"/>
      <c r="H41" s="4"/>
      <c r="I41" s="5"/>
      <c r="J41" s="6"/>
      <c r="K41" s="4"/>
      <c r="L41" s="4"/>
      <c r="M41" s="5"/>
      <c r="N41" s="6"/>
      <c r="O41" s="4"/>
      <c r="P41" s="4"/>
      <c r="Q41" s="5"/>
      <c r="R41" s="6"/>
      <c r="S41" s="4"/>
      <c r="T41" s="4"/>
      <c r="U41" s="5"/>
      <c r="V41" s="6"/>
      <c r="W41" s="4"/>
      <c r="X41" s="4"/>
      <c r="Y41" s="5"/>
    </row>
    <row r="42" spans="1:25" ht="11.25" customHeight="1" x14ac:dyDescent="0.25">
      <c r="A42" s="7"/>
      <c r="B42" s="8"/>
      <c r="C42" s="8"/>
      <c r="D42" s="8"/>
      <c r="E42" s="9"/>
      <c r="F42" s="10"/>
      <c r="G42" s="8"/>
      <c r="H42" s="8"/>
      <c r="I42" s="9"/>
      <c r="J42" s="10"/>
      <c r="K42" s="8"/>
      <c r="L42" s="8"/>
      <c r="M42" s="9"/>
      <c r="N42" s="10"/>
      <c r="O42" s="8"/>
      <c r="P42" s="8"/>
      <c r="Q42" s="9"/>
      <c r="R42" s="10"/>
      <c r="S42" s="8"/>
      <c r="T42" s="8"/>
      <c r="U42" s="9"/>
      <c r="V42" s="10"/>
      <c r="W42" s="8"/>
      <c r="X42" s="8"/>
      <c r="Y42" s="9"/>
    </row>
    <row r="43" spans="1:25" ht="11.25" customHeight="1" x14ac:dyDescent="0.25">
      <c r="A43" s="3"/>
      <c r="B43" s="4"/>
      <c r="C43" s="4"/>
      <c r="D43" s="4"/>
      <c r="E43" s="5"/>
      <c r="F43" s="6"/>
      <c r="G43" s="4"/>
      <c r="H43" s="4"/>
      <c r="I43" s="5"/>
      <c r="J43" s="6"/>
      <c r="K43" s="4"/>
      <c r="L43" s="4"/>
      <c r="M43" s="5"/>
      <c r="N43" s="6"/>
      <c r="O43" s="4"/>
      <c r="P43" s="4"/>
      <c r="Q43" s="5"/>
      <c r="R43" s="6"/>
      <c r="S43" s="4"/>
      <c r="T43" s="4"/>
      <c r="U43" s="5"/>
      <c r="V43" s="6"/>
      <c r="W43" s="4"/>
      <c r="X43" s="4"/>
      <c r="Y43" s="5"/>
    </row>
    <row r="44" spans="1:25" ht="11.25" customHeight="1" x14ac:dyDescent="0.25">
      <c r="A44" s="7"/>
      <c r="B44" s="8"/>
      <c r="C44" s="8"/>
      <c r="D44" s="8"/>
      <c r="E44" s="9"/>
      <c r="F44" s="10"/>
      <c r="G44" s="8"/>
      <c r="H44" s="8"/>
      <c r="I44" s="9"/>
      <c r="J44" s="10"/>
      <c r="K44" s="8"/>
      <c r="L44" s="8"/>
      <c r="M44" s="9"/>
      <c r="N44" s="10"/>
      <c r="O44" s="8"/>
      <c r="P44" s="8"/>
      <c r="Q44" s="9"/>
      <c r="R44" s="10"/>
      <c r="S44" s="8"/>
      <c r="T44" s="8"/>
      <c r="U44" s="9"/>
      <c r="V44" s="10"/>
      <c r="W44" s="8"/>
      <c r="X44" s="8"/>
      <c r="Y44" s="9"/>
    </row>
    <row r="45" spans="1:25" ht="11.25" customHeight="1" x14ac:dyDescent="0.25">
      <c r="A45" s="3"/>
      <c r="B45" s="4"/>
      <c r="C45" s="4"/>
      <c r="D45" s="4"/>
      <c r="E45" s="5"/>
      <c r="F45" s="6"/>
      <c r="G45" s="4"/>
      <c r="H45" s="4"/>
      <c r="I45" s="5"/>
      <c r="J45" s="6"/>
      <c r="K45" s="4"/>
      <c r="L45" s="4"/>
      <c r="M45" s="5"/>
      <c r="N45" s="6"/>
      <c r="O45" s="4"/>
      <c r="P45" s="4"/>
      <c r="Q45" s="5"/>
      <c r="R45" s="6"/>
      <c r="S45" s="4"/>
      <c r="T45" s="4"/>
      <c r="U45" s="5"/>
      <c r="V45" s="6"/>
      <c r="W45" s="4"/>
      <c r="X45" s="4"/>
      <c r="Y45" s="5"/>
    </row>
    <row r="46" spans="1:25" ht="11.25" customHeight="1" x14ac:dyDescent="0.25">
      <c r="A46" s="7"/>
      <c r="B46" s="8"/>
      <c r="C46" s="8"/>
      <c r="D46" s="8"/>
      <c r="E46" s="9"/>
      <c r="F46" s="10"/>
      <c r="G46" s="8"/>
      <c r="H46" s="8"/>
      <c r="I46" s="9"/>
      <c r="J46" s="10"/>
      <c r="K46" s="8"/>
      <c r="L46" s="8"/>
      <c r="M46" s="9"/>
      <c r="N46" s="10"/>
      <c r="O46" s="8"/>
      <c r="P46" s="8"/>
      <c r="Q46" s="9"/>
      <c r="R46" s="10"/>
      <c r="S46" s="8"/>
      <c r="T46" s="8"/>
      <c r="U46" s="9"/>
      <c r="V46" s="10"/>
      <c r="W46" s="8"/>
      <c r="X46" s="8"/>
      <c r="Y46" s="9"/>
    </row>
    <row r="47" spans="1:25" ht="11.25" customHeight="1" x14ac:dyDescent="0.25">
      <c r="A47" s="3"/>
      <c r="B47" s="4"/>
      <c r="C47" s="4"/>
      <c r="D47" s="4"/>
      <c r="E47" s="5"/>
      <c r="F47" s="6"/>
      <c r="G47" s="4"/>
      <c r="H47" s="4"/>
      <c r="I47" s="5"/>
      <c r="J47" s="6"/>
      <c r="K47" s="4"/>
      <c r="L47" s="4"/>
      <c r="M47" s="5"/>
      <c r="N47" s="6"/>
      <c r="O47" s="4"/>
      <c r="P47" s="4"/>
      <c r="Q47" s="5"/>
      <c r="R47" s="6"/>
      <c r="S47" s="4"/>
      <c r="T47" s="4"/>
      <c r="U47" s="5"/>
      <c r="V47" s="6"/>
      <c r="W47" s="4"/>
      <c r="X47" s="4"/>
      <c r="Y47" s="5"/>
    </row>
    <row r="48" spans="1:25" ht="11.25" customHeight="1" x14ac:dyDescent="0.25">
      <c r="A48" s="11"/>
      <c r="B48" s="12"/>
      <c r="C48" s="12"/>
      <c r="D48" s="12"/>
      <c r="E48" s="13"/>
      <c r="F48" s="14"/>
      <c r="G48" s="12"/>
      <c r="H48" s="12"/>
      <c r="I48" s="13"/>
      <c r="J48" s="14"/>
      <c r="K48" s="12"/>
      <c r="L48" s="12"/>
      <c r="M48" s="13"/>
      <c r="N48" s="14"/>
      <c r="O48" s="12"/>
      <c r="P48" s="12"/>
      <c r="Q48" s="13"/>
      <c r="R48" s="14"/>
      <c r="S48" s="12"/>
      <c r="T48" s="12"/>
      <c r="U48" s="13"/>
      <c r="V48" s="14"/>
      <c r="W48" s="12"/>
      <c r="X48" s="12"/>
      <c r="Y48" s="13"/>
    </row>
    <row r="49" spans="1:25" ht="12" customHeight="1" x14ac:dyDescent="0.25">
      <c r="A49" s="7"/>
      <c r="B49" s="9"/>
      <c r="C49" s="9"/>
      <c r="D49" s="9"/>
      <c r="E49" s="9"/>
      <c r="F49" s="9"/>
      <c r="G49" s="9"/>
      <c r="H49" s="9"/>
      <c r="I49" s="9"/>
      <c r="J49" s="9"/>
      <c r="K49" s="9"/>
      <c r="L49" s="9"/>
      <c r="M49" s="9"/>
      <c r="N49" s="9"/>
      <c r="O49" s="9"/>
      <c r="P49" s="9"/>
      <c r="Q49" s="9"/>
      <c r="R49" s="9"/>
      <c r="S49" s="9"/>
      <c r="T49" s="9"/>
      <c r="U49" s="9"/>
      <c r="V49" s="9"/>
      <c r="W49" s="9"/>
      <c r="X49" s="9"/>
      <c r="Y49" s="9"/>
    </row>
    <row r="50" spans="1:25" ht="14.25" customHeight="1" x14ac:dyDescent="0.25">
      <c r="A50" s="533" t="s">
        <v>6</v>
      </c>
      <c r="B50" s="533"/>
      <c r="C50" s="533"/>
      <c r="D50" s="533"/>
      <c r="E50" s="533"/>
      <c r="F50" s="533"/>
      <c r="G50" s="533"/>
      <c r="H50" s="533"/>
      <c r="I50" s="533"/>
      <c r="J50" s="533"/>
      <c r="K50" s="533"/>
      <c r="L50" s="533"/>
      <c r="M50" s="533"/>
      <c r="N50" s="533"/>
      <c r="O50" s="533"/>
      <c r="P50" s="533"/>
      <c r="Q50" s="533"/>
      <c r="R50" s="533"/>
      <c r="S50" s="533"/>
      <c r="T50" s="533"/>
      <c r="U50" s="7"/>
    </row>
    <row r="51" spans="1:25" x14ac:dyDescent="0.25">
      <c r="A51" s="533"/>
      <c r="B51" s="533"/>
      <c r="C51" s="533"/>
      <c r="D51" s="533"/>
      <c r="E51" s="533"/>
      <c r="F51" s="533"/>
      <c r="G51" s="533"/>
      <c r="H51" s="533"/>
      <c r="I51" s="533"/>
      <c r="J51" s="533"/>
      <c r="K51" s="533"/>
      <c r="L51" s="533"/>
      <c r="M51" s="533"/>
      <c r="N51" s="533"/>
      <c r="O51" s="533"/>
      <c r="P51" s="533"/>
      <c r="Q51" s="533"/>
      <c r="R51" s="533"/>
      <c r="S51" s="533"/>
      <c r="T51" s="533"/>
    </row>
  </sheetData>
  <mergeCells count="8">
    <mergeCell ref="V4:Y5"/>
    <mergeCell ref="A50:T51"/>
    <mergeCell ref="A1:D2"/>
    <mergeCell ref="B4:E5"/>
    <mergeCell ref="F4:I5"/>
    <mergeCell ref="J4:M5"/>
    <mergeCell ref="N4:Q5"/>
    <mergeCell ref="R4:U5"/>
  </mergeCells>
  <pageMargins left="0.118110236220472" right="0.118110236220472" top="0.15748031496063" bottom="0.35433070866141703" header="0" footer="0"/>
  <pageSetup orientation="landscape" horizontalDpi="1200" verticalDpi="1200" r:id="rId1"/>
  <headerFooter>
    <oddHeader>&amp;C&amp;G</oddHeader>
    <oddFooter>&amp;R&amp;G</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pageSetUpPr fitToPage="1"/>
  </sheetPr>
  <dimension ref="A1:BG53"/>
  <sheetViews>
    <sheetView showGridLines="0" zoomScaleNormal="100" workbookViewId="0"/>
  </sheetViews>
  <sheetFormatPr defaultRowHeight="15" x14ac:dyDescent="0.25"/>
  <cols>
    <col min="1" max="4" width="4.42578125" style="183" customWidth="1"/>
    <col min="5" max="5" width="4.28515625" style="183" customWidth="1"/>
    <col min="6" max="8" width="4.42578125" style="183" customWidth="1"/>
    <col min="9" max="9" width="4.42578125" style="184" customWidth="1"/>
    <col min="10" max="23" width="5.28515625" style="183" customWidth="1"/>
    <col min="24" max="31" width="5.28515625" style="185" customWidth="1"/>
    <col min="32" max="32" width="13.28515625" style="197" bestFit="1" customWidth="1"/>
    <col min="33" max="33" width="9.140625" style="197"/>
    <col min="34" max="34" width="16.140625" style="197" bestFit="1" customWidth="1"/>
    <col min="35" max="35" width="9.140625" style="197"/>
    <col min="36" max="36" width="13.28515625" style="197" bestFit="1" customWidth="1"/>
    <col min="37" max="37" width="9.140625" style="197"/>
    <col min="38" max="38" width="9.85546875" style="197" bestFit="1" customWidth="1"/>
    <col min="39" max="39" width="9.140625" style="197"/>
    <col min="40" max="40" width="10.85546875" style="197" bestFit="1" customWidth="1"/>
    <col min="41" max="41" width="9.140625" style="197"/>
    <col min="42" max="42" width="12.28515625" style="197" bestFit="1" customWidth="1"/>
    <col min="43" max="43" width="9.140625" style="197"/>
    <col min="44" max="44" width="12.28515625" style="197" bestFit="1" customWidth="1"/>
    <col min="45" max="45" width="9.140625" style="197"/>
    <col min="46" max="46" width="12.5703125" style="197" bestFit="1" customWidth="1"/>
    <col min="47" max="47" width="9.140625" style="197"/>
    <col min="48" max="48" width="12.28515625" style="197" bestFit="1" customWidth="1"/>
    <col min="49" max="49" width="9.140625" style="197"/>
    <col min="50" max="50" width="12.28515625" style="197" bestFit="1" customWidth="1"/>
    <col min="51" max="51" width="9.140625" style="197"/>
    <col min="52" max="52" width="10.85546875" style="197" bestFit="1" customWidth="1"/>
    <col min="53" max="53" width="9.140625" style="197"/>
    <col min="54" max="54" width="12.28515625" style="197" bestFit="1" customWidth="1"/>
    <col min="55" max="55" width="9.140625" style="197"/>
    <col min="56" max="16384" width="9.140625" style="186"/>
  </cols>
  <sheetData>
    <row r="1" spans="1:59" x14ac:dyDescent="0.25">
      <c r="G1" s="184"/>
      <c r="I1" s="183"/>
      <c r="U1" s="185"/>
      <c r="V1" s="185"/>
      <c r="W1" s="185"/>
      <c r="AE1" s="186"/>
      <c r="AF1" s="187"/>
      <c r="AG1" s="187"/>
      <c r="AH1" s="187"/>
      <c r="AI1" s="187"/>
      <c r="AJ1" s="187"/>
      <c r="AK1" s="187"/>
      <c r="AL1" s="187"/>
      <c r="AM1" s="187"/>
      <c r="AN1" s="187"/>
      <c r="AO1" s="187"/>
      <c r="AP1" s="187"/>
      <c r="AQ1" s="187"/>
      <c r="AR1" s="187"/>
      <c r="AS1" s="187"/>
      <c r="AT1" s="187"/>
      <c r="AU1" s="187"/>
      <c r="AV1" s="187"/>
      <c r="AW1" s="187"/>
      <c r="AX1" s="187"/>
      <c r="AY1" s="187"/>
      <c r="AZ1" s="187"/>
      <c r="BA1" s="187"/>
      <c r="BB1" s="187"/>
      <c r="BC1" s="187"/>
      <c r="BD1" s="188"/>
      <c r="BE1" s="188"/>
      <c r="BF1" s="188"/>
      <c r="BG1" s="188"/>
    </row>
    <row r="2" spans="1:59" ht="15" customHeight="1" x14ac:dyDescent="0.25">
      <c r="G2" s="184"/>
      <c r="I2" s="183"/>
      <c r="U2" s="185"/>
      <c r="V2" s="185"/>
      <c r="W2" s="185"/>
      <c r="AE2" s="186"/>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90"/>
      <c r="BE2" s="190"/>
      <c r="BF2" s="190"/>
      <c r="BG2" s="190"/>
    </row>
    <row r="3" spans="1:59" s="196" customFormat="1" ht="11.25" customHeight="1" thickBot="1" x14ac:dyDescent="0.2">
      <c r="A3" s="579"/>
      <c r="B3" s="579"/>
      <c r="C3" s="579"/>
      <c r="D3" s="579"/>
      <c r="E3" s="579"/>
      <c r="F3" s="580"/>
      <c r="G3" s="580"/>
      <c r="H3" s="580"/>
      <c r="I3" s="580"/>
      <c r="J3" s="581"/>
      <c r="K3" s="581"/>
      <c r="L3" s="581"/>
      <c r="M3" s="581"/>
      <c r="N3" s="581"/>
      <c r="O3" s="191"/>
      <c r="P3" s="192"/>
      <c r="Q3" s="192"/>
      <c r="R3" s="193"/>
      <c r="S3" s="193"/>
      <c r="T3" s="193"/>
      <c r="U3" s="193"/>
      <c r="V3" s="193"/>
      <c r="W3" s="582"/>
      <c r="X3" s="582"/>
      <c r="Y3" s="582"/>
      <c r="Z3" s="582"/>
      <c r="AA3" s="583"/>
      <c r="AB3" s="583"/>
      <c r="AC3" s="583"/>
      <c r="AD3" s="583"/>
      <c r="AE3" s="583"/>
      <c r="AF3" s="194"/>
      <c r="AG3" s="194"/>
      <c r="AH3" s="195"/>
      <c r="AI3" s="194"/>
      <c r="AJ3" s="194"/>
      <c r="AK3" s="195"/>
      <c r="AL3" s="194"/>
      <c r="AM3" s="194"/>
      <c r="AN3" s="194"/>
      <c r="AO3" s="194"/>
      <c r="AP3" s="195"/>
      <c r="AQ3" s="195"/>
      <c r="AR3" s="194"/>
      <c r="AS3" s="194"/>
      <c r="AT3" s="194"/>
      <c r="AU3" s="194"/>
      <c r="AV3" s="195"/>
      <c r="AW3" s="195"/>
      <c r="AX3" s="195"/>
      <c r="AY3" s="195"/>
      <c r="AZ3" s="195"/>
      <c r="BA3" s="195"/>
      <c r="BB3" s="195"/>
      <c r="BC3" s="187"/>
      <c r="BD3" s="188"/>
      <c r="BE3" s="188"/>
      <c r="BF3" s="188"/>
      <c r="BG3" s="188"/>
    </row>
    <row r="4" spans="1:59" s="198" customFormat="1" ht="15" customHeight="1" thickTop="1" x14ac:dyDescent="0.25">
      <c r="A4" s="552" t="s">
        <v>199</v>
      </c>
      <c r="B4" s="553"/>
      <c r="C4" s="553"/>
      <c r="D4" s="553"/>
      <c r="E4" s="553"/>
      <c r="F4" s="553"/>
      <c r="G4" s="553"/>
      <c r="H4" s="553"/>
      <c r="I4" s="553"/>
      <c r="J4" s="553"/>
      <c r="K4" s="553"/>
      <c r="L4" s="553"/>
      <c r="M4" s="553"/>
      <c r="N4" s="553"/>
      <c r="O4" s="553"/>
      <c r="P4" s="553"/>
      <c r="Q4" s="553"/>
      <c r="R4" s="553"/>
      <c r="S4" s="584"/>
      <c r="T4" s="584"/>
      <c r="U4" s="584"/>
      <c r="V4" s="584"/>
      <c r="W4" s="584"/>
      <c r="X4" s="584"/>
      <c r="Y4" s="584"/>
      <c r="Z4" s="584"/>
      <c r="AA4" s="584"/>
      <c r="AB4" s="584"/>
      <c r="AC4" s="584"/>
      <c r="AD4" s="584"/>
      <c r="AE4" s="585"/>
      <c r="AF4" s="195"/>
      <c r="AG4" s="195"/>
      <c r="AH4" s="194"/>
      <c r="AI4" s="194"/>
      <c r="AJ4" s="195"/>
      <c r="AK4" s="194"/>
      <c r="AL4" s="195"/>
      <c r="AM4" s="195"/>
      <c r="AN4" s="195"/>
      <c r="AO4" s="195"/>
      <c r="AP4" s="194"/>
      <c r="AQ4" s="194"/>
      <c r="AR4" s="194"/>
      <c r="AS4" s="194"/>
      <c r="AT4" s="195"/>
      <c r="AU4" s="195"/>
      <c r="AV4" s="194"/>
      <c r="AW4" s="194"/>
      <c r="AX4" s="194"/>
      <c r="AY4" s="194"/>
      <c r="AZ4" s="195"/>
      <c r="BA4" s="195"/>
      <c r="BB4" s="194"/>
      <c r="BC4" s="197"/>
      <c r="BD4" s="186"/>
      <c r="BE4" s="186"/>
      <c r="BF4" s="186"/>
      <c r="BG4" s="186"/>
    </row>
    <row r="5" spans="1:59" s="201" customFormat="1" ht="9" x14ac:dyDescent="0.15">
      <c r="A5" s="574" t="s">
        <v>204</v>
      </c>
      <c r="B5" s="574"/>
      <c r="C5" s="574"/>
      <c r="D5" s="574"/>
      <c r="E5" s="574"/>
      <c r="F5" s="574"/>
      <c r="G5" s="574"/>
      <c r="H5" s="574"/>
      <c r="I5" s="574" t="s">
        <v>205</v>
      </c>
      <c r="J5" s="574"/>
      <c r="K5" s="574"/>
      <c r="L5" s="574"/>
      <c r="M5" s="574"/>
      <c r="N5" s="574"/>
      <c r="O5" s="574"/>
      <c r="P5" s="574"/>
      <c r="Q5" s="574" t="s">
        <v>206</v>
      </c>
      <c r="R5" s="574"/>
      <c r="S5" s="574"/>
      <c r="T5" s="574"/>
      <c r="U5" s="574"/>
      <c r="V5" s="574"/>
      <c r="W5" s="574"/>
      <c r="X5" s="574" t="s">
        <v>4</v>
      </c>
      <c r="Y5" s="574"/>
      <c r="Z5" s="574"/>
      <c r="AA5" s="574"/>
      <c r="AB5" s="574"/>
      <c r="AC5" s="574"/>
      <c r="AD5" s="574"/>
      <c r="AE5" s="574"/>
      <c r="AF5" s="195"/>
      <c r="AG5" s="195"/>
      <c r="AH5" s="194"/>
      <c r="AI5" s="194"/>
      <c r="AJ5" s="195"/>
      <c r="AK5" s="194"/>
      <c r="AL5" s="195"/>
      <c r="AM5" s="195"/>
      <c r="AN5" s="195"/>
      <c r="AO5" s="195"/>
      <c r="AP5" s="194"/>
      <c r="AQ5" s="194"/>
      <c r="AR5" s="194"/>
      <c r="AS5" s="194"/>
      <c r="AT5" s="195"/>
      <c r="AU5" s="195"/>
      <c r="AV5" s="194"/>
      <c r="AW5" s="194"/>
      <c r="AX5" s="194"/>
      <c r="AY5" s="194"/>
      <c r="AZ5" s="195"/>
      <c r="BA5" s="195"/>
      <c r="BB5" s="194"/>
      <c r="BC5" s="199"/>
      <c r="BD5" s="200"/>
      <c r="BE5" s="200"/>
      <c r="BF5" s="200"/>
      <c r="BG5" s="200"/>
    </row>
    <row r="6" spans="1:59" s="206" customFormat="1" ht="7.5" customHeight="1" x14ac:dyDescent="0.25">
      <c r="A6" s="575">
        <f>F18/100</f>
        <v>-3.5256818272930805E-2</v>
      </c>
      <c r="B6" s="575"/>
      <c r="C6" s="575"/>
      <c r="D6" s="575"/>
      <c r="E6" s="575"/>
      <c r="F6" s="575"/>
      <c r="G6" s="575"/>
      <c r="H6" s="575"/>
      <c r="I6" s="576">
        <f>F20</f>
        <v>964743.1817270692</v>
      </c>
      <c r="J6" s="576"/>
      <c r="K6" s="576"/>
      <c r="L6" s="576"/>
      <c r="M6" s="576"/>
      <c r="N6" s="576"/>
      <c r="O6" s="576"/>
      <c r="P6" s="576"/>
      <c r="Q6" s="577">
        <f>F36/100</f>
        <v>1.1043835732221835E-2</v>
      </c>
      <c r="R6" s="577"/>
      <c r="S6" s="577"/>
      <c r="T6" s="577"/>
      <c r="U6" s="577"/>
      <c r="V6" s="577"/>
      <c r="W6" s="577"/>
      <c r="X6" s="578">
        <f>F38</f>
        <v>1011043.8357322218</v>
      </c>
      <c r="Y6" s="578"/>
      <c r="Z6" s="578"/>
      <c r="AA6" s="578"/>
      <c r="AB6" s="578"/>
      <c r="AC6" s="578"/>
      <c r="AD6" s="578"/>
      <c r="AE6" s="578"/>
      <c r="AF6" s="202"/>
      <c r="AG6" s="202"/>
      <c r="AH6" s="203"/>
      <c r="AI6" s="203"/>
      <c r="AJ6" s="202"/>
      <c r="AK6" s="203"/>
      <c r="AL6" s="202"/>
      <c r="AM6" s="202"/>
      <c r="AN6" s="202"/>
      <c r="AO6" s="202"/>
      <c r="AP6" s="203"/>
      <c r="AQ6" s="203"/>
      <c r="AR6" s="203"/>
      <c r="AS6" s="203"/>
      <c r="AT6" s="202"/>
      <c r="AU6" s="202"/>
      <c r="AV6" s="203"/>
      <c r="AW6" s="203"/>
      <c r="AX6" s="203"/>
      <c r="AY6" s="203"/>
      <c r="AZ6" s="202"/>
      <c r="BA6" s="202"/>
      <c r="BB6" s="203"/>
      <c r="BC6" s="204"/>
      <c r="BD6" s="205"/>
      <c r="BE6" s="205"/>
      <c r="BF6" s="205"/>
      <c r="BG6" s="205"/>
    </row>
    <row r="7" spans="1:59" s="206" customFormat="1" ht="7.5" customHeight="1" x14ac:dyDescent="0.25">
      <c r="A7" s="575"/>
      <c r="B7" s="575"/>
      <c r="C7" s="575"/>
      <c r="D7" s="575"/>
      <c r="E7" s="575"/>
      <c r="F7" s="575"/>
      <c r="G7" s="575"/>
      <c r="H7" s="575"/>
      <c r="I7" s="576"/>
      <c r="J7" s="576"/>
      <c r="K7" s="576"/>
      <c r="L7" s="576"/>
      <c r="M7" s="576"/>
      <c r="N7" s="576"/>
      <c r="O7" s="576"/>
      <c r="P7" s="576"/>
      <c r="Q7" s="577"/>
      <c r="R7" s="577"/>
      <c r="S7" s="577"/>
      <c r="T7" s="577"/>
      <c r="U7" s="577"/>
      <c r="V7" s="577"/>
      <c r="W7" s="577"/>
      <c r="X7" s="578"/>
      <c r="Y7" s="578"/>
      <c r="Z7" s="578"/>
      <c r="AA7" s="578"/>
      <c r="AB7" s="578"/>
      <c r="AC7" s="578"/>
      <c r="AD7" s="578"/>
      <c r="AE7" s="578"/>
      <c r="AF7" s="202"/>
      <c r="AG7" s="202"/>
      <c r="AH7" s="203"/>
      <c r="AI7" s="203"/>
      <c r="AJ7" s="202"/>
      <c r="AK7" s="203"/>
      <c r="AL7" s="202"/>
      <c r="AM7" s="202"/>
      <c r="AN7" s="202"/>
      <c r="AO7" s="202"/>
      <c r="AP7" s="203"/>
      <c r="AQ7" s="203"/>
      <c r="AR7" s="203"/>
      <c r="AS7" s="203"/>
      <c r="AT7" s="202"/>
      <c r="AU7" s="202"/>
      <c r="AV7" s="203"/>
      <c r="AW7" s="203"/>
      <c r="AX7" s="203"/>
      <c r="AY7" s="203"/>
      <c r="AZ7" s="202"/>
      <c r="BA7" s="202"/>
      <c r="BB7" s="203"/>
      <c r="BC7" s="204"/>
      <c r="BD7" s="205"/>
      <c r="BE7" s="205"/>
      <c r="BF7" s="205"/>
      <c r="BG7" s="205"/>
    </row>
    <row r="8" spans="1:59" s="207" customFormat="1" ht="12.75" customHeight="1" thickBot="1" x14ac:dyDescent="0.3">
      <c r="A8" s="567"/>
      <c r="B8" s="568"/>
      <c r="C8" s="568"/>
      <c r="D8" s="568"/>
      <c r="E8" s="568"/>
      <c r="F8" s="568"/>
      <c r="G8" s="568"/>
      <c r="H8" s="568"/>
      <c r="I8" s="569" t="str">
        <f>A18</f>
        <v>2008 Lehman Blow-Up</v>
      </c>
      <c r="J8" s="569"/>
      <c r="K8" s="569"/>
      <c r="L8" s="569"/>
      <c r="M8" s="569"/>
      <c r="N8" s="569"/>
      <c r="O8" s="569"/>
      <c r="P8" s="569"/>
      <c r="Q8" s="570"/>
      <c r="R8" s="571"/>
      <c r="S8" s="571"/>
      <c r="T8" s="571"/>
      <c r="U8" s="571"/>
      <c r="V8" s="571"/>
      <c r="W8" s="571"/>
      <c r="X8" s="572" t="str">
        <f>A36</f>
        <v>2005 Katrina</v>
      </c>
      <c r="Y8" s="573"/>
      <c r="Z8" s="573"/>
      <c r="AA8" s="573"/>
      <c r="AB8" s="573"/>
      <c r="AC8" s="573"/>
      <c r="AD8" s="573"/>
      <c r="AE8" s="573"/>
      <c r="AF8" s="195"/>
      <c r="AG8" s="195"/>
      <c r="AH8" s="194"/>
      <c r="AI8" s="194"/>
      <c r="AJ8" s="195"/>
      <c r="AK8" s="194"/>
      <c r="AL8" s="195"/>
      <c r="AM8" s="195"/>
      <c r="AN8" s="195"/>
      <c r="AO8" s="195"/>
      <c r="AP8" s="194"/>
      <c r="AQ8" s="194"/>
      <c r="AR8" s="194"/>
      <c r="AS8" s="194"/>
      <c r="AT8" s="195"/>
      <c r="AU8" s="195"/>
      <c r="AV8" s="194"/>
      <c r="AW8" s="194"/>
      <c r="AX8" s="194"/>
      <c r="AY8" s="194"/>
      <c r="AZ8" s="195"/>
      <c r="BA8" s="195"/>
      <c r="BB8" s="194"/>
      <c r="BC8" s="197"/>
      <c r="BD8" s="186"/>
      <c r="BE8" s="186"/>
      <c r="BF8" s="186"/>
      <c r="BG8" s="186"/>
    </row>
    <row r="9" spans="1:59" s="207" customFormat="1" ht="12.75" customHeight="1" thickTop="1" thickBot="1" x14ac:dyDescent="0.3">
      <c r="A9" s="208"/>
      <c r="B9" s="209"/>
      <c r="C9" s="209"/>
      <c r="D9" s="209"/>
      <c r="E9" s="209"/>
      <c r="F9" s="209"/>
      <c r="G9" s="209"/>
      <c r="H9" s="209"/>
      <c r="I9" s="210"/>
      <c r="J9" s="210"/>
      <c r="K9" s="210"/>
      <c r="L9" s="210"/>
      <c r="M9" s="210"/>
      <c r="N9" s="210"/>
      <c r="O9" s="210"/>
      <c r="P9" s="210"/>
      <c r="Q9" s="211"/>
      <c r="R9" s="212"/>
      <c r="S9" s="212"/>
      <c r="T9" s="212"/>
      <c r="U9" s="212"/>
      <c r="V9" s="212"/>
      <c r="W9" s="212"/>
      <c r="X9" s="211"/>
      <c r="Y9" s="212"/>
      <c r="Z9" s="212"/>
      <c r="AA9" s="212"/>
      <c r="AB9" s="212"/>
      <c r="AC9" s="212"/>
      <c r="AD9" s="212"/>
      <c r="AE9" s="212"/>
      <c r="AF9" s="195"/>
      <c r="AG9" s="195"/>
      <c r="AH9" s="194"/>
      <c r="AI9" s="194"/>
      <c r="AJ9" s="195"/>
      <c r="AK9" s="194"/>
      <c r="AL9" s="195"/>
      <c r="AM9" s="195"/>
      <c r="AN9" s="195"/>
      <c r="AO9" s="195"/>
      <c r="AP9" s="194"/>
      <c r="AQ9" s="194"/>
      <c r="AR9" s="194"/>
      <c r="AS9" s="194"/>
      <c r="AT9" s="195"/>
      <c r="AU9" s="195"/>
      <c r="AV9" s="194"/>
      <c r="AW9" s="194"/>
      <c r="AX9" s="194"/>
      <c r="AY9" s="194"/>
      <c r="AZ9" s="195"/>
      <c r="BA9" s="195"/>
      <c r="BB9" s="194"/>
      <c r="BC9" s="197"/>
      <c r="BD9" s="186"/>
      <c r="BE9" s="186"/>
      <c r="BF9" s="186"/>
      <c r="BG9" s="186"/>
    </row>
    <row r="10" spans="1:59" s="207" customFormat="1" ht="15.75" customHeight="1" thickTop="1" x14ac:dyDescent="0.25">
      <c r="A10" s="552" t="s">
        <v>200</v>
      </c>
      <c r="B10" s="553"/>
      <c r="C10" s="553"/>
      <c r="D10" s="553"/>
      <c r="E10" s="553"/>
      <c r="F10" s="553"/>
      <c r="G10" s="553"/>
      <c r="H10" s="553"/>
      <c r="I10" s="553"/>
      <c r="J10" s="553"/>
      <c r="K10" s="553"/>
      <c r="L10" s="553"/>
      <c r="M10" s="553"/>
      <c r="N10" s="553"/>
      <c r="O10" s="213"/>
      <c r="P10" s="213"/>
      <c r="Q10" s="213"/>
      <c r="R10" s="213"/>
      <c r="S10" s="213"/>
      <c r="T10" s="213"/>
      <c r="U10" s="213"/>
      <c r="V10" s="213"/>
      <c r="W10" s="213"/>
      <c r="X10" s="213"/>
      <c r="Y10" s="213"/>
      <c r="Z10" s="563"/>
      <c r="AA10" s="563"/>
      <c r="AB10" s="563"/>
      <c r="AC10" s="563"/>
      <c r="AD10" s="563"/>
      <c r="AE10" s="564"/>
      <c r="AF10" s="195"/>
      <c r="AG10" s="195"/>
      <c r="AH10" s="194"/>
      <c r="AI10" s="194"/>
      <c r="AJ10" s="195"/>
      <c r="AK10" s="194"/>
      <c r="AL10" s="195"/>
      <c r="AM10" s="195"/>
      <c r="AN10" s="195"/>
      <c r="AO10" s="195"/>
      <c r="AP10" s="194"/>
      <c r="AQ10" s="194"/>
      <c r="AR10" s="194"/>
      <c r="AS10" s="194"/>
      <c r="AT10" s="195"/>
      <c r="AU10" s="195"/>
      <c r="AV10" s="194"/>
      <c r="AW10" s="194"/>
      <c r="AX10" s="194"/>
      <c r="AY10" s="194"/>
      <c r="AZ10" s="195"/>
      <c r="BA10" s="195"/>
      <c r="BB10" s="194"/>
      <c r="BC10" s="197"/>
      <c r="BD10" s="186"/>
      <c r="BE10" s="186"/>
      <c r="BF10" s="186"/>
      <c r="BG10" s="186"/>
    </row>
    <row r="11" spans="1:59" s="207" customFormat="1" ht="22.5" customHeight="1" x14ac:dyDescent="0.25">
      <c r="A11" s="555" t="s">
        <v>5</v>
      </c>
      <c r="B11" s="556"/>
      <c r="C11" s="556"/>
      <c r="D11" s="556"/>
      <c r="E11" s="556"/>
      <c r="F11" s="556"/>
      <c r="G11" s="556"/>
      <c r="H11" s="556"/>
      <c r="I11" s="556"/>
      <c r="J11" s="557"/>
      <c r="K11" s="556"/>
      <c r="L11" s="557"/>
      <c r="M11" s="556"/>
      <c r="N11" s="557"/>
      <c r="O11" s="556"/>
      <c r="P11" s="557"/>
      <c r="Q11" s="556"/>
      <c r="R11" s="557"/>
      <c r="S11" s="556"/>
      <c r="T11" s="557"/>
      <c r="U11" s="556"/>
      <c r="V11" s="557"/>
      <c r="W11" s="556"/>
      <c r="X11" s="557"/>
      <c r="Y11" s="556"/>
      <c r="Z11" s="557"/>
      <c r="AA11" s="556"/>
      <c r="AB11" s="557"/>
      <c r="AC11" s="556"/>
      <c r="AD11" s="557"/>
      <c r="AE11" s="556"/>
      <c r="AF11" s="195"/>
      <c r="AG11" s="195"/>
      <c r="AH11" s="194"/>
      <c r="AI11" s="194"/>
      <c r="AJ11" s="195"/>
      <c r="AK11" s="194"/>
      <c r="AL11" s="195"/>
      <c r="AM11" s="195"/>
      <c r="AN11" s="195"/>
      <c r="AO11" s="195"/>
      <c r="AP11" s="194"/>
      <c r="AQ11" s="194"/>
      <c r="AR11" s="194"/>
      <c r="AS11" s="194"/>
      <c r="AT11" s="195"/>
      <c r="AU11" s="195"/>
      <c r="AV11" s="194"/>
      <c r="AW11" s="194"/>
      <c r="AX11" s="194"/>
      <c r="AY11" s="194"/>
      <c r="AZ11" s="195"/>
      <c r="BA11" s="195"/>
      <c r="BB11" s="194"/>
      <c r="BC11" s="197"/>
      <c r="BD11" s="186"/>
      <c r="BE11" s="186"/>
      <c r="BF11" s="186"/>
      <c r="BG11" s="186"/>
    </row>
    <row r="12" spans="1:59" s="207" customFormat="1" ht="12.75" customHeight="1" x14ac:dyDescent="0.25">
      <c r="A12" s="547"/>
      <c r="B12" s="548"/>
      <c r="C12" s="548"/>
      <c r="D12" s="548"/>
      <c r="E12" s="548"/>
      <c r="F12" s="545"/>
      <c r="G12" s="545"/>
      <c r="H12" s="545"/>
      <c r="I12" s="545"/>
      <c r="J12" s="544"/>
      <c r="K12" s="544"/>
      <c r="L12" s="544"/>
      <c r="M12" s="544"/>
      <c r="N12" s="544"/>
      <c r="O12" s="544"/>
      <c r="P12" s="544"/>
      <c r="Q12" s="544"/>
      <c r="R12" s="544"/>
      <c r="S12" s="544"/>
      <c r="T12" s="544"/>
      <c r="U12" s="544"/>
      <c r="V12" s="544"/>
      <c r="W12" s="544"/>
      <c r="X12" s="544"/>
      <c r="Y12" s="544"/>
      <c r="Z12" s="544"/>
      <c r="AA12" s="544"/>
      <c r="AB12" s="544"/>
      <c r="AC12" s="544"/>
      <c r="AD12" s="535"/>
      <c r="AE12" s="535"/>
      <c r="AF12" s="195"/>
      <c r="AG12" s="195"/>
      <c r="AH12" s="194"/>
      <c r="AI12" s="194"/>
      <c r="AJ12" s="195"/>
      <c r="AK12" s="194"/>
      <c r="AL12" s="195"/>
      <c r="AM12" s="195"/>
      <c r="AN12" s="195"/>
      <c r="AO12" s="195"/>
      <c r="AP12" s="194"/>
      <c r="AQ12" s="194"/>
      <c r="AR12" s="194"/>
      <c r="AS12" s="194"/>
      <c r="AT12" s="195"/>
      <c r="AU12" s="195"/>
      <c r="AV12" s="194"/>
      <c r="AW12" s="194"/>
      <c r="AX12" s="194"/>
      <c r="AY12" s="194"/>
      <c r="AZ12" s="195"/>
      <c r="BA12" s="195"/>
      <c r="BB12" s="194"/>
      <c r="BC12" s="197"/>
      <c r="BD12" s="186"/>
      <c r="BE12" s="186"/>
      <c r="BF12" s="186"/>
      <c r="BG12" s="186"/>
    </row>
    <row r="13" spans="1:59" s="207" customFormat="1" ht="9.75" customHeight="1" x14ac:dyDescent="0.25">
      <c r="A13" s="549"/>
      <c r="B13" s="550"/>
      <c r="C13" s="550"/>
      <c r="D13" s="550"/>
      <c r="E13" s="550"/>
      <c r="F13" s="543" t="s">
        <v>201</v>
      </c>
      <c r="G13" s="543"/>
      <c r="H13" s="543"/>
      <c r="I13" s="543"/>
      <c r="J13" s="539"/>
      <c r="K13" s="539"/>
      <c r="L13" s="539"/>
      <c r="M13" s="539"/>
      <c r="N13" s="539"/>
      <c r="O13" s="539"/>
      <c r="P13" s="539"/>
      <c r="Q13" s="539"/>
      <c r="R13" s="539"/>
      <c r="S13" s="539"/>
      <c r="T13" s="539"/>
      <c r="U13" s="539"/>
      <c r="V13" s="539"/>
      <c r="W13" s="539"/>
      <c r="X13" s="539"/>
      <c r="Y13" s="539"/>
      <c r="Z13" s="539"/>
      <c r="AA13" s="539"/>
      <c r="AB13" s="539"/>
      <c r="AC13" s="539"/>
      <c r="AD13" s="538"/>
      <c r="AE13" s="538"/>
      <c r="AF13" s="195"/>
      <c r="AG13" s="195"/>
      <c r="AH13" s="194"/>
      <c r="AI13" s="194"/>
      <c r="AJ13" s="195"/>
      <c r="AK13" s="194"/>
      <c r="AL13" s="195"/>
      <c r="AM13" s="195"/>
      <c r="AN13" s="195"/>
      <c r="AO13" s="195"/>
      <c r="AP13" s="194"/>
      <c r="AQ13" s="194"/>
      <c r="AR13" s="194"/>
      <c r="AS13" s="194"/>
      <c r="AT13" s="195"/>
      <c r="AU13" s="195"/>
      <c r="AV13" s="194"/>
      <c r="AW13" s="194"/>
      <c r="AX13" s="194"/>
      <c r="AY13" s="194"/>
      <c r="AZ13" s="195"/>
      <c r="BA13" s="195"/>
      <c r="BB13" s="194"/>
      <c r="BC13" s="197"/>
      <c r="BD13" s="186"/>
      <c r="BE13" s="186"/>
      <c r="BF13" s="186"/>
      <c r="BG13" s="186"/>
    </row>
    <row r="14" spans="1:59" s="207" customFormat="1" ht="9.75" customHeight="1" x14ac:dyDescent="0.25">
      <c r="A14" s="565"/>
      <c r="B14" s="566"/>
      <c r="C14" s="566"/>
      <c r="D14" s="566"/>
      <c r="E14" s="566"/>
      <c r="F14" s="551"/>
      <c r="G14" s="551"/>
      <c r="H14" s="551"/>
      <c r="I14" s="551"/>
      <c r="J14" s="546"/>
      <c r="K14" s="546"/>
      <c r="L14" s="546"/>
      <c r="M14" s="546"/>
      <c r="N14" s="546"/>
      <c r="O14" s="546"/>
      <c r="P14" s="546"/>
      <c r="Q14" s="546"/>
      <c r="R14" s="546"/>
      <c r="S14" s="546"/>
      <c r="T14" s="546"/>
      <c r="U14" s="546"/>
      <c r="V14" s="546"/>
      <c r="W14" s="546"/>
      <c r="X14" s="546"/>
      <c r="Y14" s="546"/>
      <c r="Z14" s="546"/>
      <c r="AA14" s="546"/>
      <c r="AB14" s="546"/>
      <c r="AC14" s="546"/>
      <c r="AD14" s="546"/>
      <c r="AE14" s="546"/>
      <c r="AF14" s="195"/>
      <c r="AG14" s="195"/>
      <c r="AH14" s="194"/>
      <c r="AI14" s="194"/>
      <c r="AJ14" s="195"/>
      <c r="AK14" s="194"/>
      <c r="AL14" s="195"/>
      <c r="AM14" s="195"/>
      <c r="AN14" s="195"/>
      <c r="AO14" s="195"/>
      <c r="AP14" s="194"/>
      <c r="AQ14" s="194"/>
      <c r="AR14" s="194"/>
      <c r="AS14" s="194"/>
      <c r="AT14" s="195"/>
      <c r="AU14" s="195"/>
      <c r="AV14" s="194"/>
      <c r="AW14" s="194"/>
      <c r="AX14" s="194"/>
      <c r="AY14" s="194"/>
      <c r="AZ14" s="195"/>
      <c r="BA14" s="195"/>
      <c r="BB14" s="194"/>
      <c r="BC14" s="197"/>
      <c r="BD14" s="186"/>
      <c r="BE14" s="186"/>
      <c r="BF14" s="186"/>
      <c r="BG14" s="186"/>
    </row>
    <row r="15" spans="1:59" s="207" customFormat="1" ht="12.75" customHeight="1" thickBot="1" x14ac:dyDescent="0.3">
      <c r="A15" s="208"/>
      <c r="B15" s="209"/>
      <c r="C15" s="209"/>
      <c r="D15" s="209"/>
      <c r="E15" s="209"/>
      <c r="F15" s="209"/>
      <c r="G15" s="209"/>
      <c r="H15" s="209"/>
      <c r="I15" s="210"/>
      <c r="J15" s="210"/>
      <c r="K15" s="210"/>
      <c r="L15" s="210"/>
      <c r="M15" s="210"/>
      <c r="N15" s="210"/>
      <c r="O15" s="210"/>
      <c r="P15" s="210"/>
      <c r="Q15" s="211"/>
      <c r="R15" s="212"/>
      <c r="S15" s="212"/>
      <c r="T15" s="212"/>
      <c r="U15" s="212"/>
      <c r="V15" s="212"/>
      <c r="W15" s="212"/>
      <c r="X15" s="211"/>
      <c r="Y15" s="212"/>
      <c r="Z15" s="212"/>
      <c r="AA15" s="212"/>
      <c r="AB15" s="212"/>
      <c r="AC15" s="212"/>
      <c r="AD15" s="212"/>
      <c r="AE15" s="212"/>
      <c r="AF15" s="195"/>
      <c r="AG15" s="195"/>
      <c r="AH15" s="194"/>
      <c r="AI15" s="194"/>
      <c r="AJ15" s="195"/>
      <c r="AK15" s="194"/>
      <c r="AL15" s="195"/>
      <c r="AM15" s="195"/>
      <c r="AN15" s="195"/>
      <c r="AO15" s="195"/>
      <c r="AP15" s="194"/>
      <c r="AQ15" s="194"/>
      <c r="AR15" s="194"/>
      <c r="AS15" s="194"/>
      <c r="AT15" s="195"/>
      <c r="AU15" s="195"/>
      <c r="AV15" s="194"/>
      <c r="AW15" s="194"/>
      <c r="AX15" s="194"/>
      <c r="AY15" s="194"/>
      <c r="AZ15" s="195"/>
      <c r="BA15" s="195"/>
      <c r="BB15" s="194"/>
      <c r="BC15" s="197"/>
      <c r="BD15" s="186"/>
      <c r="BE15" s="186"/>
      <c r="BF15" s="186"/>
      <c r="BG15" s="186"/>
    </row>
    <row r="16" spans="1:59" s="198" customFormat="1" ht="15.75" customHeight="1" thickTop="1" x14ac:dyDescent="0.25">
      <c r="A16" s="552" t="s">
        <v>202</v>
      </c>
      <c r="B16" s="553"/>
      <c r="C16" s="553"/>
      <c r="D16" s="553"/>
      <c r="E16" s="553"/>
      <c r="F16" s="553"/>
      <c r="G16" s="553"/>
      <c r="H16" s="553"/>
      <c r="I16" s="553"/>
      <c r="J16" s="553"/>
      <c r="K16" s="553"/>
      <c r="L16" s="553"/>
      <c r="M16" s="553"/>
      <c r="N16" s="553"/>
      <c r="O16" s="213"/>
      <c r="P16" s="213"/>
      <c r="Q16" s="213"/>
      <c r="R16" s="213"/>
      <c r="S16" s="213"/>
      <c r="T16" s="213"/>
      <c r="U16" s="213"/>
      <c r="V16" s="213"/>
      <c r="W16" s="213"/>
      <c r="X16" s="213"/>
      <c r="Y16" s="213"/>
      <c r="Z16" s="563"/>
      <c r="AA16" s="563"/>
      <c r="AB16" s="563"/>
      <c r="AC16" s="563"/>
      <c r="AD16" s="563"/>
      <c r="AE16" s="564"/>
      <c r="AF16" s="194"/>
      <c r="AG16" s="194"/>
      <c r="AH16" s="195"/>
      <c r="AI16" s="194"/>
      <c r="AJ16" s="194"/>
      <c r="AK16" s="195"/>
      <c r="AL16" s="194"/>
      <c r="AM16" s="194"/>
      <c r="AN16" s="194"/>
      <c r="AO16" s="194"/>
      <c r="AP16" s="195"/>
      <c r="AQ16" s="195"/>
      <c r="AR16" s="194"/>
      <c r="AS16" s="194"/>
      <c r="AT16" s="194"/>
      <c r="AU16" s="194"/>
      <c r="AV16" s="195"/>
      <c r="AW16" s="195"/>
      <c r="AX16" s="195"/>
      <c r="AY16" s="195"/>
      <c r="AZ16" s="195"/>
      <c r="BA16" s="195"/>
      <c r="BB16" s="195"/>
      <c r="BC16" s="197"/>
      <c r="BD16" s="186"/>
      <c r="BE16" s="186"/>
      <c r="BF16" s="186"/>
      <c r="BG16" s="186"/>
    </row>
    <row r="17" spans="1:59" s="214" customFormat="1" ht="22.5" customHeight="1" x14ac:dyDescent="0.25">
      <c r="A17" s="555" t="s">
        <v>5</v>
      </c>
      <c r="B17" s="556"/>
      <c r="C17" s="556"/>
      <c r="D17" s="556"/>
      <c r="E17" s="556"/>
      <c r="F17" s="556" t="s">
        <v>314</v>
      </c>
      <c r="G17" s="556"/>
      <c r="H17" s="556"/>
      <c r="I17" s="556"/>
      <c r="J17" s="557" t="s">
        <v>382</v>
      </c>
      <c r="K17" s="556"/>
      <c r="L17" s="557" t="s">
        <v>383</v>
      </c>
      <c r="M17" s="556"/>
      <c r="N17" s="557" t="s">
        <v>384</v>
      </c>
      <c r="O17" s="556"/>
      <c r="P17" s="557" t="s">
        <v>385</v>
      </c>
      <c r="Q17" s="556"/>
      <c r="R17" s="557" t="s">
        <v>386</v>
      </c>
      <c r="S17" s="556"/>
      <c r="T17" s="557" t="s">
        <v>387</v>
      </c>
      <c r="U17" s="556"/>
      <c r="V17" s="557" t="s">
        <v>388</v>
      </c>
      <c r="W17" s="556"/>
      <c r="X17" s="557" t="s">
        <v>389</v>
      </c>
      <c r="Y17" s="556"/>
      <c r="Z17" s="557"/>
      <c r="AA17" s="556"/>
      <c r="AB17" s="557"/>
      <c r="AC17" s="556"/>
      <c r="AD17" s="557"/>
      <c r="AE17" s="556"/>
      <c r="AF17" s="194"/>
      <c r="AG17" s="194"/>
      <c r="AH17" s="195"/>
      <c r="AI17" s="194"/>
      <c r="AJ17" s="194"/>
      <c r="AK17" s="195"/>
      <c r="AL17" s="194"/>
      <c r="AM17" s="194"/>
      <c r="AN17" s="194"/>
      <c r="AO17" s="194"/>
      <c r="AP17" s="195"/>
      <c r="AQ17" s="195"/>
      <c r="AR17" s="194"/>
      <c r="AS17" s="194"/>
      <c r="AT17" s="194"/>
      <c r="AU17" s="194"/>
      <c r="AV17" s="195"/>
      <c r="AW17" s="195"/>
      <c r="AX17" s="195"/>
      <c r="AY17" s="195"/>
      <c r="AZ17" s="195"/>
      <c r="BA17" s="195"/>
      <c r="BB17" s="195"/>
      <c r="BC17" s="197"/>
      <c r="BD17" s="186"/>
      <c r="BE17" s="186"/>
      <c r="BF17" s="186"/>
      <c r="BG17" s="186"/>
    </row>
    <row r="18" spans="1:59" s="190" customFormat="1" ht="12.95" customHeight="1" x14ac:dyDescent="0.25">
      <c r="A18" s="558" t="s">
        <v>371</v>
      </c>
      <c r="B18" s="559"/>
      <c r="C18" s="559"/>
      <c r="D18" s="559"/>
      <c r="E18" s="559"/>
      <c r="F18" s="545">
        <v>-3.5256818272930803</v>
      </c>
      <c r="G18" s="545"/>
      <c r="H18" s="545"/>
      <c r="I18" s="545"/>
      <c r="J18" s="544">
        <v>-0.81583041440315918</v>
      </c>
      <c r="K18" s="544"/>
      <c r="L18" s="544">
        <v>-1.029916756243151</v>
      </c>
      <c r="M18" s="544"/>
      <c r="N18" s="544">
        <v>-5.5487564706419636</v>
      </c>
      <c r="O18" s="544"/>
      <c r="P18" s="544">
        <v>-6.9848055071880122</v>
      </c>
      <c r="Q18" s="544"/>
      <c r="R18" s="544">
        <v>0.67179519814722488</v>
      </c>
      <c r="S18" s="544"/>
      <c r="T18" s="544">
        <v>-14.021846406877689</v>
      </c>
      <c r="U18" s="544"/>
      <c r="V18" s="544">
        <v>-7.4405157052332473</v>
      </c>
      <c r="W18" s="544"/>
      <c r="X18" s="544">
        <v>-3.0304689070720294</v>
      </c>
      <c r="Y18" s="544"/>
      <c r="Z18" s="544"/>
      <c r="AA18" s="544"/>
      <c r="AB18" s="544"/>
      <c r="AC18" s="544"/>
      <c r="AD18" s="535"/>
      <c r="AE18" s="535"/>
      <c r="AF18" s="195"/>
      <c r="AG18" s="195"/>
      <c r="AH18" s="194"/>
      <c r="AI18" s="194"/>
      <c r="AJ18" s="195"/>
      <c r="AK18" s="194"/>
      <c r="AL18" s="195"/>
      <c r="AM18" s="195"/>
      <c r="AN18" s="195"/>
      <c r="AO18" s="195"/>
      <c r="AP18" s="194"/>
      <c r="AQ18" s="194"/>
      <c r="AR18" s="194"/>
      <c r="AS18" s="194"/>
      <c r="AT18" s="195"/>
      <c r="AU18" s="195"/>
      <c r="AV18" s="194"/>
      <c r="AW18" s="194"/>
      <c r="AX18" s="194"/>
      <c r="AY18" s="194"/>
      <c r="AZ18" s="195"/>
      <c r="BA18" s="195"/>
      <c r="BB18" s="194"/>
      <c r="BC18" s="197"/>
      <c r="BD18" s="186"/>
      <c r="BE18" s="186"/>
      <c r="BF18" s="186"/>
      <c r="BG18" s="186"/>
    </row>
    <row r="19" spans="1:59" s="215" customFormat="1" ht="9.75" customHeight="1" x14ac:dyDescent="0.25">
      <c r="A19" s="560"/>
      <c r="B19" s="561"/>
      <c r="C19" s="561"/>
      <c r="D19" s="561"/>
      <c r="E19" s="561"/>
      <c r="F19" s="543" t="s">
        <v>201</v>
      </c>
      <c r="G19" s="543"/>
      <c r="H19" s="543"/>
      <c r="I19" s="543"/>
      <c r="J19" s="539">
        <v>6.9211648278862912</v>
      </c>
      <c r="K19" s="539"/>
      <c r="L19" s="539">
        <v>5.6336839716864908</v>
      </c>
      <c r="M19" s="539"/>
      <c r="N19" s="539">
        <v>22.919490216870031</v>
      </c>
      <c r="O19" s="539"/>
      <c r="P19" s="539">
        <v>26.923360502622728</v>
      </c>
      <c r="Q19" s="539"/>
      <c r="R19" s="539">
        <v>-1.6563568395164254</v>
      </c>
      <c r="S19" s="539"/>
      <c r="T19" s="539">
        <v>26.61485439252851</v>
      </c>
      <c r="U19" s="539"/>
      <c r="V19" s="539">
        <v>10.795084526906852</v>
      </c>
      <c r="W19" s="539"/>
      <c r="X19" s="539">
        <v>1.8487184010153452</v>
      </c>
      <c r="Y19" s="539"/>
      <c r="Z19" s="539"/>
      <c r="AA19" s="539"/>
      <c r="AB19" s="539"/>
      <c r="AC19" s="539"/>
      <c r="AD19" s="538"/>
      <c r="AE19" s="538"/>
      <c r="AF19" s="195"/>
      <c r="AG19" s="195"/>
      <c r="AH19" s="194"/>
      <c r="AI19" s="194"/>
      <c r="AJ19" s="195"/>
      <c r="AK19" s="194"/>
      <c r="AL19" s="195"/>
      <c r="AM19" s="195"/>
      <c r="AN19" s="195"/>
      <c r="AO19" s="195"/>
      <c r="AP19" s="194"/>
      <c r="AQ19" s="194"/>
      <c r="AR19" s="194"/>
      <c r="AS19" s="194"/>
      <c r="AT19" s="195"/>
      <c r="AU19" s="195"/>
      <c r="AV19" s="194"/>
      <c r="AW19" s="194"/>
      <c r="AX19" s="194"/>
      <c r="AY19" s="194"/>
      <c r="AZ19" s="195"/>
      <c r="BA19" s="195"/>
      <c r="BB19" s="194"/>
      <c r="BC19" s="197"/>
      <c r="BD19" s="186"/>
      <c r="BE19" s="186"/>
      <c r="BF19" s="186"/>
      <c r="BG19" s="186"/>
    </row>
    <row r="20" spans="1:59" s="188" customFormat="1" ht="9.75" customHeight="1" x14ac:dyDescent="0.25">
      <c r="A20" s="560"/>
      <c r="B20" s="561"/>
      <c r="C20" s="561"/>
      <c r="D20" s="561"/>
      <c r="E20" s="561"/>
      <c r="F20" s="551">
        <v>964743.1817270692</v>
      </c>
      <c r="G20" s="551"/>
      <c r="H20" s="551"/>
      <c r="I20" s="551"/>
      <c r="J20" s="546" t="s">
        <v>294</v>
      </c>
      <c r="K20" s="546"/>
      <c r="L20" s="546" t="s">
        <v>294</v>
      </c>
      <c r="M20" s="546"/>
      <c r="N20" s="546" t="s">
        <v>294</v>
      </c>
      <c r="O20" s="546"/>
      <c r="P20" s="546" t="s">
        <v>294</v>
      </c>
      <c r="Q20" s="546"/>
      <c r="R20" s="546" t="s">
        <v>294</v>
      </c>
      <c r="S20" s="546"/>
      <c r="T20" s="546" t="s">
        <v>294</v>
      </c>
      <c r="U20" s="546"/>
      <c r="V20" s="546" t="s">
        <v>294</v>
      </c>
      <c r="W20" s="546"/>
      <c r="X20" s="546" t="s">
        <v>294</v>
      </c>
      <c r="Y20" s="546"/>
      <c r="Z20" s="546"/>
      <c r="AA20" s="546"/>
      <c r="AB20" s="546"/>
      <c r="AC20" s="546"/>
      <c r="AD20" s="546"/>
      <c r="AE20" s="546"/>
      <c r="AF20" s="195"/>
      <c r="AG20" s="195"/>
      <c r="AH20" s="194"/>
      <c r="AI20" s="194"/>
      <c r="AJ20" s="195"/>
      <c r="AK20" s="194"/>
      <c r="AL20" s="195"/>
      <c r="AM20" s="195"/>
      <c r="AN20" s="195"/>
      <c r="AO20" s="195"/>
      <c r="AP20" s="194"/>
      <c r="AQ20" s="194"/>
      <c r="AR20" s="194"/>
      <c r="AS20" s="194"/>
      <c r="AT20" s="195"/>
      <c r="AU20" s="195"/>
      <c r="AV20" s="194"/>
      <c r="AW20" s="194"/>
      <c r="AX20" s="194"/>
      <c r="AY20" s="194"/>
      <c r="AZ20" s="195"/>
      <c r="BA20" s="195"/>
      <c r="BB20" s="194"/>
      <c r="BC20" s="197"/>
      <c r="BD20" s="186"/>
      <c r="BE20" s="186"/>
      <c r="BF20" s="186"/>
      <c r="BG20" s="186"/>
    </row>
    <row r="21" spans="1:59" s="190" customFormat="1" ht="12.95" customHeight="1" x14ac:dyDescent="0.25">
      <c r="A21" s="558"/>
      <c r="B21" s="559"/>
      <c r="C21" s="559"/>
      <c r="D21" s="559"/>
      <c r="E21" s="559"/>
      <c r="F21" s="545"/>
      <c r="G21" s="545"/>
      <c r="H21" s="545"/>
      <c r="I21" s="545"/>
      <c r="J21" s="544"/>
      <c r="K21" s="544"/>
      <c r="L21" s="544"/>
      <c r="M21" s="544"/>
      <c r="N21" s="544"/>
      <c r="O21" s="544"/>
      <c r="P21" s="544"/>
      <c r="Q21" s="544"/>
      <c r="R21" s="544"/>
      <c r="S21" s="544"/>
      <c r="T21" s="544"/>
      <c r="U21" s="544"/>
      <c r="V21" s="544"/>
      <c r="W21" s="544"/>
      <c r="X21" s="544"/>
      <c r="Y21" s="544"/>
      <c r="Z21" s="544"/>
      <c r="AA21" s="544"/>
      <c r="AB21" s="544"/>
      <c r="AC21" s="544"/>
      <c r="AD21" s="535"/>
      <c r="AE21" s="535"/>
      <c r="AF21" s="195"/>
      <c r="AG21" s="195"/>
      <c r="AH21" s="194"/>
      <c r="AI21" s="194"/>
      <c r="AJ21" s="195"/>
      <c r="AK21" s="194"/>
      <c r="AL21" s="195"/>
      <c r="AM21" s="195"/>
      <c r="AN21" s="195"/>
      <c r="AO21" s="195"/>
      <c r="AP21" s="194"/>
      <c r="AQ21" s="194"/>
      <c r="AR21" s="194"/>
      <c r="AS21" s="194"/>
      <c r="AT21" s="195"/>
      <c r="AU21" s="195"/>
      <c r="AV21" s="194"/>
      <c r="AW21" s="194"/>
      <c r="AX21" s="194"/>
      <c r="AY21" s="194"/>
      <c r="AZ21" s="195"/>
      <c r="BA21" s="195"/>
      <c r="BB21" s="194"/>
      <c r="BC21" s="197"/>
      <c r="BD21" s="186"/>
      <c r="BE21" s="186"/>
      <c r="BF21" s="186"/>
      <c r="BG21" s="186"/>
    </row>
    <row r="22" spans="1:59" s="215" customFormat="1" ht="9.75" customHeight="1" x14ac:dyDescent="0.25">
      <c r="A22" s="560"/>
      <c r="B22" s="561"/>
      <c r="C22" s="561"/>
      <c r="D22" s="561"/>
      <c r="E22" s="561"/>
      <c r="F22" s="543" t="s">
        <v>201</v>
      </c>
      <c r="G22" s="543"/>
      <c r="H22" s="543"/>
      <c r="I22" s="543"/>
      <c r="J22" s="539"/>
      <c r="K22" s="539"/>
      <c r="L22" s="539"/>
      <c r="M22" s="539"/>
      <c r="N22" s="539"/>
      <c r="O22" s="539"/>
      <c r="P22" s="539"/>
      <c r="Q22" s="539"/>
      <c r="R22" s="539"/>
      <c r="S22" s="539"/>
      <c r="T22" s="539"/>
      <c r="U22" s="539"/>
      <c r="V22" s="539"/>
      <c r="W22" s="539"/>
      <c r="X22" s="539"/>
      <c r="Y22" s="539"/>
      <c r="Z22" s="539"/>
      <c r="AA22" s="539"/>
      <c r="AB22" s="539"/>
      <c r="AC22" s="539"/>
      <c r="AD22" s="538"/>
      <c r="AE22" s="538"/>
      <c r="AF22" s="195"/>
      <c r="AG22" s="195"/>
      <c r="AH22" s="194"/>
      <c r="AI22" s="194"/>
      <c r="AJ22" s="195"/>
      <c r="AK22" s="194"/>
      <c r="AL22" s="195"/>
      <c r="AM22" s="195"/>
      <c r="AN22" s="195"/>
      <c r="AO22" s="195"/>
      <c r="AP22" s="194"/>
      <c r="AQ22" s="194"/>
      <c r="AR22" s="194"/>
      <c r="AS22" s="194"/>
      <c r="AT22" s="195"/>
      <c r="AU22" s="195"/>
      <c r="AV22" s="194"/>
      <c r="AW22" s="194"/>
      <c r="AX22" s="194"/>
      <c r="AY22" s="194"/>
      <c r="AZ22" s="195"/>
      <c r="BA22" s="195"/>
      <c r="BB22" s="194"/>
      <c r="BC22" s="197"/>
      <c r="BD22" s="186"/>
      <c r="BE22" s="186"/>
      <c r="BF22" s="186"/>
      <c r="BG22" s="186"/>
    </row>
    <row r="23" spans="1:59" s="188" customFormat="1" ht="9.75" customHeight="1" x14ac:dyDescent="0.25">
      <c r="A23" s="560"/>
      <c r="B23" s="561"/>
      <c r="C23" s="561"/>
      <c r="D23" s="561"/>
      <c r="E23" s="561"/>
      <c r="F23" s="551"/>
      <c r="G23" s="551"/>
      <c r="H23" s="551"/>
      <c r="I23" s="551"/>
      <c r="J23" s="546"/>
      <c r="K23" s="546"/>
      <c r="L23" s="546"/>
      <c r="M23" s="546"/>
      <c r="N23" s="546"/>
      <c r="O23" s="546"/>
      <c r="P23" s="546"/>
      <c r="Q23" s="546"/>
      <c r="R23" s="546"/>
      <c r="S23" s="546"/>
      <c r="T23" s="546"/>
      <c r="U23" s="546"/>
      <c r="V23" s="546"/>
      <c r="W23" s="546"/>
      <c r="X23" s="546"/>
      <c r="Y23" s="546"/>
      <c r="Z23" s="546"/>
      <c r="AA23" s="546"/>
      <c r="AB23" s="546"/>
      <c r="AC23" s="546"/>
      <c r="AD23" s="546"/>
      <c r="AE23" s="546"/>
      <c r="AF23" s="194"/>
      <c r="AG23" s="194"/>
      <c r="AH23" s="195"/>
      <c r="AI23" s="195"/>
      <c r="AJ23" s="195"/>
      <c r="AK23" s="195"/>
      <c r="AL23" s="195"/>
      <c r="AM23" s="195"/>
      <c r="AN23" s="195"/>
      <c r="AO23" s="195"/>
      <c r="AP23" s="195"/>
      <c r="AQ23" s="195"/>
      <c r="AR23" s="195"/>
      <c r="AS23" s="195"/>
      <c r="AT23" s="195"/>
      <c r="AU23" s="195"/>
      <c r="AV23" s="195"/>
      <c r="AW23" s="195"/>
      <c r="AX23" s="195"/>
      <c r="AY23" s="195"/>
      <c r="AZ23" s="195"/>
      <c r="BA23" s="195"/>
      <c r="BB23" s="195"/>
      <c r="BC23" s="197"/>
      <c r="BD23" s="186"/>
      <c r="BE23" s="186"/>
      <c r="BF23" s="186"/>
      <c r="BG23" s="186"/>
    </row>
    <row r="24" spans="1:59" s="190" customFormat="1" ht="12.95" customHeight="1" x14ac:dyDescent="0.25">
      <c r="A24" s="558"/>
      <c r="B24" s="559"/>
      <c r="C24" s="559"/>
      <c r="D24" s="559"/>
      <c r="E24" s="559"/>
      <c r="F24" s="545"/>
      <c r="G24" s="545"/>
      <c r="H24" s="545"/>
      <c r="I24" s="545"/>
      <c r="J24" s="544"/>
      <c r="K24" s="544"/>
      <c r="L24" s="544"/>
      <c r="M24" s="544"/>
      <c r="N24" s="544"/>
      <c r="O24" s="544"/>
      <c r="P24" s="544"/>
      <c r="Q24" s="544"/>
      <c r="R24" s="544"/>
      <c r="S24" s="544"/>
      <c r="T24" s="544"/>
      <c r="U24" s="544"/>
      <c r="V24" s="544"/>
      <c r="W24" s="544"/>
      <c r="X24" s="544"/>
      <c r="Y24" s="544"/>
      <c r="Z24" s="544"/>
      <c r="AA24" s="544"/>
      <c r="AB24" s="544"/>
      <c r="AC24" s="544"/>
      <c r="AD24" s="535"/>
      <c r="AE24" s="535"/>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86"/>
      <c r="BE24" s="186"/>
      <c r="BF24" s="186"/>
      <c r="BG24" s="186"/>
    </row>
    <row r="25" spans="1:59" s="215" customFormat="1" ht="9.75" customHeight="1" x14ac:dyDescent="0.25">
      <c r="A25" s="560"/>
      <c r="B25" s="561"/>
      <c r="C25" s="561"/>
      <c r="D25" s="561"/>
      <c r="E25" s="561"/>
      <c r="F25" s="543" t="s">
        <v>201</v>
      </c>
      <c r="G25" s="543"/>
      <c r="H25" s="543"/>
      <c r="I25" s="543"/>
      <c r="J25" s="539"/>
      <c r="K25" s="539"/>
      <c r="L25" s="539"/>
      <c r="M25" s="539"/>
      <c r="N25" s="539"/>
      <c r="O25" s="539"/>
      <c r="P25" s="539"/>
      <c r="Q25" s="539"/>
      <c r="R25" s="539"/>
      <c r="S25" s="539"/>
      <c r="T25" s="539"/>
      <c r="U25" s="539"/>
      <c r="V25" s="539"/>
      <c r="W25" s="539"/>
      <c r="X25" s="539"/>
      <c r="Y25" s="539"/>
      <c r="Z25" s="539"/>
      <c r="AA25" s="539"/>
      <c r="AB25" s="539"/>
      <c r="AC25" s="539"/>
      <c r="AD25" s="538"/>
      <c r="AE25" s="538"/>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86"/>
      <c r="BE25" s="186"/>
      <c r="BF25" s="186"/>
      <c r="BG25" s="186"/>
    </row>
    <row r="26" spans="1:59" s="188" customFormat="1" ht="9.75" customHeight="1" x14ac:dyDescent="0.25">
      <c r="A26" s="560"/>
      <c r="B26" s="561"/>
      <c r="C26" s="561"/>
      <c r="D26" s="561"/>
      <c r="E26" s="561"/>
      <c r="F26" s="551"/>
      <c r="G26" s="551"/>
      <c r="H26" s="551"/>
      <c r="I26" s="551"/>
      <c r="J26" s="546"/>
      <c r="K26" s="546"/>
      <c r="L26" s="546"/>
      <c r="M26" s="546"/>
      <c r="N26" s="546"/>
      <c r="O26" s="546"/>
      <c r="P26" s="546"/>
      <c r="Q26" s="546"/>
      <c r="R26" s="546"/>
      <c r="S26" s="546"/>
      <c r="T26" s="546"/>
      <c r="U26" s="546"/>
      <c r="V26" s="546"/>
      <c r="W26" s="546"/>
      <c r="X26" s="546"/>
      <c r="Y26" s="546"/>
      <c r="Z26" s="546"/>
      <c r="AA26" s="546"/>
      <c r="AB26" s="546"/>
      <c r="AC26" s="546"/>
      <c r="AD26" s="546"/>
      <c r="AE26" s="546"/>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86"/>
      <c r="BE26" s="186"/>
      <c r="BF26" s="186"/>
      <c r="BG26" s="186"/>
    </row>
    <row r="27" spans="1:59" s="190" customFormat="1" ht="12.95" customHeight="1" x14ac:dyDescent="0.25">
      <c r="A27" s="558"/>
      <c r="B27" s="559"/>
      <c r="C27" s="559"/>
      <c r="D27" s="559"/>
      <c r="E27" s="559"/>
      <c r="F27" s="545"/>
      <c r="G27" s="545"/>
      <c r="H27" s="545"/>
      <c r="I27" s="545"/>
      <c r="J27" s="544"/>
      <c r="K27" s="544"/>
      <c r="L27" s="544"/>
      <c r="M27" s="544"/>
      <c r="N27" s="544"/>
      <c r="O27" s="544"/>
      <c r="P27" s="544"/>
      <c r="Q27" s="544"/>
      <c r="R27" s="544"/>
      <c r="S27" s="544"/>
      <c r="T27" s="544"/>
      <c r="U27" s="544"/>
      <c r="V27" s="544"/>
      <c r="W27" s="544"/>
      <c r="X27" s="544"/>
      <c r="Y27" s="544"/>
      <c r="Z27" s="544"/>
      <c r="AA27" s="544"/>
      <c r="AB27" s="544"/>
      <c r="AC27" s="544"/>
      <c r="AD27" s="535"/>
      <c r="AE27" s="535"/>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c r="BD27" s="186"/>
      <c r="BE27" s="186"/>
      <c r="BF27" s="186"/>
      <c r="BG27" s="186"/>
    </row>
    <row r="28" spans="1:59" s="215" customFormat="1" ht="9.75" customHeight="1" x14ac:dyDescent="0.25">
      <c r="A28" s="560"/>
      <c r="B28" s="561"/>
      <c r="C28" s="561"/>
      <c r="D28" s="561"/>
      <c r="E28" s="561"/>
      <c r="F28" s="543" t="s">
        <v>201</v>
      </c>
      <c r="G28" s="543"/>
      <c r="H28" s="543"/>
      <c r="I28" s="543"/>
      <c r="J28" s="539"/>
      <c r="K28" s="539"/>
      <c r="L28" s="539"/>
      <c r="M28" s="539"/>
      <c r="N28" s="539"/>
      <c r="O28" s="539"/>
      <c r="P28" s="539"/>
      <c r="Q28" s="539"/>
      <c r="R28" s="539"/>
      <c r="S28" s="539"/>
      <c r="T28" s="539"/>
      <c r="U28" s="539"/>
      <c r="V28" s="539"/>
      <c r="W28" s="539"/>
      <c r="X28" s="539"/>
      <c r="Y28" s="539"/>
      <c r="Z28" s="539"/>
      <c r="AA28" s="539"/>
      <c r="AB28" s="539"/>
      <c r="AC28" s="539"/>
      <c r="AD28" s="538"/>
      <c r="AE28" s="538"/>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86"/>
      <c r="BE28" s="186"/>
      <c r="BF28" s="186"/>
      <c r="BG28" s="186"/>
    </row>
    <row r="29" spans="1:59" s="188" customFormat="1" ht="9.75" customHeight="1" x14ac:dyDescent="0.25">
      <c r="A29" s="560"/>
      <c r="B29" s="561"/>
      <c r="C29" s="561"/>
      <c r="D29" s="561"/>
      <c r="E29" s="561"/>
      <c r="F29" s="551"/>
      <c r="G29" s="551"/>
      <c r="H29" s="551"/>
      <c r="I29" s="551"/>
      <c r="J29" s="546"/>
      <c r="K29" s="546"/>
      <c r="L29" s="546"/>
      <c r="M29" s="546"/>
      <c r="N29" s="546"/>
      <c r="O29" s="546"/>
      <c r="P29" s="546"/>
      <c r="Q29" s="546"/>
      <c r="R29" s="546"/>
      <c r="S29" s="546"/>
      <c r="T29" s="546"/>
      <c r="U29" s="546"/>
      <c r="V29" s="546"/>
      <c r="W29" s="546"/>
      <c r="X29" s="546"/>
      <c r="Y29" s="546"/>
      <c r="Z29" s="546"/>
      <c r="AA29" s="546"/>
      <c r="AB29" s="546"/>
      <c r="AC29" s="546"/>
      <c r="AD29" s="546"/>
      <c r="AE29" s="546"/>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c r="BD29" s="186"/>
      <c r="BE29" s="186"/>
      <c r="BF29" s="186"/>
      <c r="BG29" s="186"/>
    </row>
    <row r="30" spans="1:59" s="190" customFormat="1" ht="12.95" customHeight="1" x14ac:dyDescent="0.25">
      <c r="A30" s="558"/>
      <c r="B30" s="559"/>
      <c r="C30" s="559"/>
      <c r="D30" s="559"/>
      <c r="E30" s="559"/>
      <c r="F30" s="562"/>
      <c r="G30" s="562"/>
      <c r="H30" s="562"/>
      <c r="I30" s="562"/>
      <c r="J30" s="544"/>
      <c r="K30" s="544"/>
      <c r="L30" s="544"/>
      <c r="M30" s="544"/>
      <c r="N30" s="544"/>
      <c r="O30" s="544"/>
      <c r="P30" s="544"/>
      <c r="Q30" s="544"/>
      <c r="R30" s="544"/>
      <c r="S30" s="544"/>
      <c r="T30" s="544"/>
      <c r="U30" s="544"/>
      <c r="V30" s="544"/>
      <c r="W30" s="544"/>
      <c r="X30" s="544"/>
      <c r="Y30" s="544"/>
      <c r="Z30" s="544"/>
      <c r="AA30" s="544"/>
      <c r="AB30" s="544"/>
      <c r="AC30" s="544"/>
      <c r="AD30" s="535"/>
      <c r="AE30" s="535"/>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c r="BD30" s="186"/>
      <c r="BE30" s="186"/>
      <c r="BF30" s="186"/>
      <c r="BG30" s="186"/>
    </row>
    <row r="31" spans="1:59" s="215" customFormat="1" ht="9.75" customHeight="1" x14ac:dyDescent="0.25">
      <c r="A31" s="560"/>
      <c r="B31" s="561"/>
      <c r="C31" s="561"/>
      <c r="D31" s="561"/>
      <c r="E31" s="561"/>
      <c r="F31" s="543" t="s">
        <v>201</v>
      </c>
      <c r="G31" s="543"/>
      <c r="H31" s="543"/>
      <c r="I31" s="543"/>
      <c r="J31" s="539"/>
      <c r="K31" s="539"/>
      <c r="L31" s="539"/>
      <c r="M31" s="539"/>
      <c r="N31" s="539"/>
      <c r="O31" s="539"/>
      <c r="P31" s="539"/>
      <c r="Q31" s="539"/>
      <c r="R31" s="539"/>
      <c r="S31" s="539"/>
      <c r="T31" s="539"/>
      <c r="U31" s="539"/>
      <c r="V31" s="539"/>
      <c r="W31" s="539"/>
      <c r="X31" s="539"/>
      <c r="Y31" s="539"/>
      <c r="Z31" s="539"/>
      <c r="AA31" s="539"/>
      <c r="AB31" s="539"/>
      <c r="AC31" s="539"/>
      <c r="AD31" s="538"/>
      <c r="AE31" s="538"/>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86"/>
      <c r="BE31" s="186"/>
      <c r="BF31" s="186"/>
      <c r="BG31" s="186"/>
    </row>
    <row r="32" spans="1:59" s="188" customFormat="1" ht="9.75" customHeight="1" x14ac:dyDescent="0.25">
      <c r="A32" s="560"/>
      <c r="B32" s="561"/>
      <c r="C32" s="561"/>
      <c r="D32" s="561"/>
      <c r="E32" s="561"/>
      <c r="F32" s="551"/>
      <c r="G32" s="551"/>
      <c r="H32" s="551"/>
      <c r="I32" s="551"/>
      <c r="J32" s="546"/>
      <c r="K32" s="546"/>
      <c r="L32" s="546"/>
      <c r="M32" s="546"/>
      <c r="N32" s="546"/>
      <c r="O32" s="546"/>
      <c r="P32" s="546"/>
      <c r="Q32" s="546"/>
      <c r="R32" s="546"/>
      <c r="S32" s="546"/>
      <c r="T32" s="546"/>
      <c r="U32" s="546"/>
      <c r="V32" s="546"/>
      <c r="W32" s="546"/>
      <c r="X32" s="546"/>
      <c r="Y32" s="546"/>
      <c r="Z32" s="546"/>
      <c r="AA32" s="546"/>
      <c r="AB32" s="546"/>
      <c r="AC32" s="546"/>
      <c r="AD32" s="546"/>
      <c r="AE32" s="546"/>
      <c r="AF32" s="195"/>
      <c r="AG32" s="195"/>
      <c r="AH32" s="195"/>
      <c r="AI32" s="195"/>
      <c r="AJ32" s="195"/>
      <c r="AK32" s="194"/>
      <c r="AL32" s="195"/>
      <c r="AM32" s="195"/>
      <c r="AN32" s="195"/>
      <c r="AO32" s="195"/>
      <c r="AP32" s="195"/>
      <c r="AQ32" s="195"/>
      <c r="AR32" s="195"/>
      <c r="AS32" s="195"/>
      <c r="AT32" s="195"/>
      <c r="AU32" s="195"/>
      <c r="AV32" s="195"/>
      <c r="AW32" s="195"/>
      <c r="AX32" s="195"/>
      <c r="AY32" s="195"/>
      <c r="AZ32" s="195"/>
      <c r="BA32" s="195"/>
      <c r="BB32" s="195"/>
      <c r="BC32" s="197"/>
      <c r="BD32" s="186"/>
      <c r="BE32" s="186"/>
      <c r="BF32" s="186"/>
      <c r="BG32" s="186"/>
    </row>
    <row r="33" spans="1:59" s="190" customFormat="1" ht="12.75" customHeight="1" thickBot="1" x14ac:dyDescent="0.3">
      <c r="A33" s="216"/>
      <c r="B33" s="216"/>
      <c r="C33" s="216"/>
      <c r="D33" s="216"/>
      <c r="E33" s="216"/>
      <c r="F33" s="216"/>
      <c r="G33" s="216"/>
      <c r="H33" s="217"/>
      <c r="I33" s="217"/>
      <c r="J33" s="217"/>
      <c r="K33" s="217"/>
      <c r="L33" s="218"/>
      <c r="M33" s="218"/>
      <c r="N33" s="218"/>
      <c r="O33" s="218"/>
      <c r="P33" s="218"/>
      <c r="Q33" s="218"/>
      <c r="R33" s="218"/>
      <c r="S33" s="218"/>
      <c r="T33" s="218"/>
      <c r="U33" s="218"/>
      <c r="V33" s="218"/>
      <c r="W33" s="218"/>
      <c r="X33" s="218"/>
      <c r="Y33" s="218"/>
      <c r="Z33" s="218"/>
      <c r="AA33" s="218"/>
      <c r="AB33" s="218"/>
      <c r="AC33" s="218"/>
      <c r="AD33" s="218"/>
      <c r="AE33" s="218"/>
      <c r="AF33" s="195"/>
      <c r="AG33" s="195"/>
      <c r="AH33" s="194"/>
      <c r="AI33" s="194"/>
      <c r="AJ33" s="195"/>
      <c r="AK33" s="194"/>
      <c r="AL33" s="195"/>
      <c r="AM33" s="195"/>
      <c r="AN33" s="195"/>
      <c r="AO33" s="195"/>
      <c r="AP33" s="194"/>
      <c r="AQ33" s="194"/>
      <c r="AR33" s="194"/>
      <c r="AS33" s="194"/>
      <c r="AT33" s="195"/>
      <c r="AU33" s="195"/>
      <c r="AV33" s="194"/>
      <c r="AW33" s="194"/>
      <c r="AX33" s="194"/>
      <c r="AY33" s="194"/>
      <c r="AZ33" s="195"/>
      <c r="BA33" s="195"/>
      <c r="BB33" s="194"/>
      <c r="BC33" s="197"/>
      <c r="BD33" s="186"/>
      <c r="BE33" s="186"/>
      <c r="BF33" s="186"/>
      <c r="BG33" s="186"/>
    </row>
    <row r="34" spans="1:59" s="198" customFormat="1" ht="15" customHeight="1" thickTop="1" x14ac:dyDescent="0.25">
      <c r="A34" s="552" t="s">
        <v>203</v>
      </c>
      <c r="B34" s="553"/>
      <c r="C34" s="553"/>
      <c r="D34" s="553"/>
      <c r="E34" s="553"/>
      <c r="F34" s="553"/>
      <c r="G34" s="553"/>
      <c r="H34" s="553"/>
      <c r="I34" s="553"/>
      <c r="J34" s="553"/>
      <c r="K34" s="553"/>
      <c r="L34" s="553"/>
      <c r="M34" s="553"/>
      <c r="N34" s="553"/>
      <c r="O34" s="553"/>
      <c r="P34" s="553"/>
      <c r="Q34" s="553"/>
      <c r="R34" s="553"/>
      <c r="S34" s="553"/>
      <c r="T34" s="553"/>
      <c r="U34" s="553"/>
      <c r="V34" s="553"/>
      <c r="W34" s="553"/>
      <c r="X34" s="553"/>
      <c r="Y34" s="553"/>
      <c r="Z34" s="553"/>
      <c r="AA34" s="553"/>
      <c r="AB34" s="553"/>
      <c r="AC34" s="553"/>
      <c r="AD34" s="553"/>
      <c r="AE34" s="554"/>
      <c r="AF34" s="195"/>
      <c r="AG34" s="195"/>
      <c r="AH34" s="194"/>
      <c r="AI34" s="194"/>
      <c r="AJ34" s="195"/>
      <c r="AK34" s="194"/>
      <c r="AL34" s="195"/>
      <c r="AM34" s="195"/>
      <c r="AN34" s="195"/>
      <c r="AO34" s="195"/>
      <c r="AP34" s="194"/>
      <c r="AQ34" s="194"/>
      <c r="AR34" s="194"/>
      <c r="AS34" s="194"/>
      <c r="AT34" s="195"/>
      <c r="AU34" s="195"/>
      <c r="AV34" s="194"/>
      <c r="AW34" s="194"/>
      <c r="AX34" s="194"/>
      <c r="AY34" s="194"/>
      <c r="AZ34" s="195"/>
      <c r="BA34" s="195"/>
      <c r="BB34" s="194"/>
      <c r="BC34" s="197"/>
      <c r="BD34" s="186"/>
      <c r="BE34" s="186"/>
      <c r="BF34" s="186"/>
      <c r="BG34" s="186"/>
    </row>
    <row r="35" spans="1:59" s="214" customFormat="1" ht="22.5" customHeight="1" x14ac:dyDescent="0.25">
      <c r="A35" s="555" t="s">
        <v>5</v>
      </c>
      <c r="B35" s="556"/>
      <c r="C35" s="556"/>
      <c r="D35" s="556"/>
      <c r="E35" s="556"/>
      <c r="F35" s="556" t="s">
        <v>314</v>
      </c>
      <c r="G35" s="556"/>
      <c r="H35" s="556"/>
      <c r="I35" s="556"/>
      <c r="J35" s="557" t="s">
        <v>382</v>
      </c>
      <c r="K35" s="556"/>
      <c r="L35" s="557" t="s">
        <v>383</v>
      </c>
      <c r="M35" s="556"/>
      <c r="N35" s="557" t="s">
        <v>384</v>
      </c>
      <c r="O35" s="556"/>
      <c r="P35" s="557" t="s">
        <v>385</v>
      </c>
      <c r="Q35" s="556"/>
      <c r="R35" s="557" t="s">
        <v>386</v>
      </c>
      <c r="S35" s="556"/>
      <c r="T35" s="557" t="s">
        <v>387</v>
      </c>
      <c r="U35" s="556"/>
      <c r="V35" s="557" t="s">
        <v>388</v>
      </c>
      <c r="W35" s="556"/>
      <c r="X35" s="557" t="s">
        <v>389</v>
      </c>
      <c r="Y35" s="556"/>
      <c r="Z35" s="557"/>
      <c r="AA35" s="556"/>
      <c r="AB35" s="557"/>
      <c r="AC35" s="556"/>
      <c r="AD35" s="557"/>
      <c r="AE35" s="556"/>
      <c r="AF35" s="195"/>
      <c r="AG35" s="195"/>
      <c r="AH35" s="194"/>
      <c r="AI35" s="194"/>
      <c r="AJ35" s="195"/>
      <c r="AK35" s="194"/>
      <c r="AL35" s="195"/>
      <c r="AM35" s="195"/>
      <c r="AN35" s="195"/>
      <c r="AO35" s="195"/>
      <c r="AP35" s="194"/>
      <c r="AQ35" s="194"/>
      <c r="AR35" s="194"/>
      <c r="AS35" s="194"/>
      <c r="AT35" s="195"/>
      <c r="AU35" s="195"/>
      <c r="AV35" s="194"/>
      <c r="AW35" s="194"/>
      <c r="AX35" s="194"/>
      <c r="AY35" s="194"/>
      <c r="AZ35" s="195"/>
      <c r="BA35" s="195"/>
      <c r="BB35" s="194"/>
      <c r="BC35" s="197"/>
      <c r="BD35" s="186"/>
      <c r="BE35" s="186"/>
      <c r="BF35" s="186"/>
      <c r="BG35" s="186"/>
    </row>
    <row r="36" spans="1:59" s="190" customFormat="1" ht="12.95" customHeight="1" x14ac:dyDescent="0.25">
      <c r="A36" s="547" t="s">
        <v>381</v>
      </c>
      <c r="B36" s="548"/>
      <c r="C36" s="548"/>
      <c r="D36" s="548"/>
      <c r="E36" s="548"/>
      <c r="F36" s="545">
        <v>1.1043835732221836</v>
      </c>
      <c r="G36" s="545"/>
      <c r="H36" s="545"/>
      <c r="I36" s="545"/>
      <c r="J36" s="535">
        <v>1.4958422128778162</v>
      </c>
      <c r="K36" s="535"/>
      <c r="L36" s="535">
        <v>0.96051262727837361</v>
      </c>
      <c r="M36" s="535"/>
      <c r="N36" s="535">
        <v>1.5710064969687174</v>
      </c>
      <c r="O36" s="535"/>
      <c r="P36" s="535">
        <v>0.97493226342808259</v>
      </c>
      <c r="Q36" s="535"/>
      <c r="R36" s="535">
        <v>0.80544505871708816</v>
      </c>
      <c r="S36" s="535"/>
      <c r="T36" s="535">
        <v>0.10244669346126591</v>
      </c>
      <c r="U36" s="535"/>
      <c r="V36" s="535">
        <v>0.87199275339094229</v>
      </c>
      <c r="W36" s="535"/>
      <c r="X36" s="535">
        <v>-0.51260941688557782</v>
      </c>
      <c r="Y36" s="535"/>
      <c r="Z36" s="535"/>
      <c r="AA36" s="535"/>
      <c r="AB36" s="544"/>
      <c r="AC36" s="544"/>
      <c r="AD36" s="535"/>
      <c r="AE36" s="535"/>
      <c r="AF36" s="195"/>
      <c r="AG36" s="195"/>
      <c r="AH36" s="194"/>
      <c r="AI36" s="194"/>
      <c r="AJ36" s="195"/>
      <c r="AK36" s="194"/>
      <c r="AL36" s="195"/>
      <c r="AM36" s="195"/>
      <c r="AN36" s="195"/>
      <c r="AO36" s="195"/>
      <c r="AP36" s="194"/>
      <c r="AQ36" s="194"/>
      <c r="AR36" s="194"/>
      <c r="AS36" s="194"/>
      <c r="AT36" s="195"/>
      <c r="AU36" s="195"/>
      <c r="AV36" s="194"/>
      <c r="AW36" s="194"/>
      <c r="AX36" s="194"/>
      <c r="AY36" s="194"/>
      <c r="AZ36" s="195"/>
      <c r="BA36" s="195"/>
      <c r="BB36" s="194"/>
      <c r="BC36" s="197"/>
      <c r="BD36" s="186"/>
      <c r="BE36" s="186"/>
      <c r="BF36" s="186"/>
      <c r="BG36" s="186"/>
    </row>
    <row r="37" spans="1:59" s="215" customFormat="1" ht="9.75" customHeight="1" x14ac:dyDescent="0.25">
      <c r="A37" s="549"/>
      <c r="B37" s="550"/>
      <c r="C37" s="550"/>
      <c r="D37" s="550"/>
      <c r="E37" s="550"/>
      <c r="F37" s="543" t="s">
        <v>201</v>
      </c>
      <c r="G37" s="543"/>
      <c r="H37" s="543"/>
      <c r="I37" s="543"/>
      <c r="J37" s="538">
        <v>40.512427233971763</v>
      </c>
      <c r="K37" s="538"/>
      <c r="L37" s="538">
        <v>16.773226617127285</v>
      </c>
      <c r="M37" s="538"/>
      <c r="N37" s="538">
        <v>20.716216885769331</v>
      </c>
      <c r="O37" s="538"/>
      <c r="P37" s="538">
        <v>11.996997556615584</v>
      </c>
      <c r="Q37" s="538"/>
      <c r="R37" s="538">
        <v>6.339808072224951</v>
      </c>
      <c r="S37" s="538"/>
      <c r="T37" s="538">
        <v>0.62078328337465538</v>
      </c>
      <c r="U37" s="538"/>
      <c r="V37" s="538">
        <v>4.0388624629269936</v>
      </c>
      <c r="W37" s="538"/>
      <c r="X37" s="538">
        <v>-0.99832211201227627</v>
      </c>
      <c r="Y37" s="538"/>
      <c r="Z37" s="538"/>
      <c r="AA37" s="538"/>
      <c r="AB37" s="539"/>
      <c r="AC37" s="539"/>
      <c r="AD37" s="538"/>
      <c r="AE37" s="538"/>
      <c r="AF37" s="195"/>
      <c r="AG37" s="195"/>
      <c r="AH37" s="194"/>
      <c r="AI37" s="194"/>
      <c r="AJ37" s="195"/>
      <c r="AK37" s="194"/>
      <c r="AL37" s="195"/>
      <c r="AM37" s="195"/>
      <c r="AN37" s="195"/>
      <c r="AO37" s="195"/>
      <c r="AP37" s="194"/>
      <c r="AQ37" s="194"/>
      <c r="AR37" s="194"/>
      <c r="AS37" s="194"/>
      <c r="AT37" s="195"/>
      <c r="AU37" s="195"/>
      <c r="AV37" s="194"/>
      <c r="AW37" s="194"/>
      <c r="AX37" s="194"/>
      <c r="AY37" s="194"/>
      <c r="AZ37" s="195"/>
      <c r="BA37" s="195"/>
      <c r="BB37" s="194"/>
      <c r="BC37" s="197"/>
      <c r="BD37" s="186"/>
      <c r="BE37" s="186"/>
      <c r="BF37" s="186"/>
      <c r="BG37" s="186"/>
    </row>
    <row r="38" spans="1:59" s="188" customFormat="1" ht="9.75" customHeight="1" x14ac:dyDescent="0.25">
      <c r="A38" s="549"/>
      <c r="B38" s="550"/>
      <c r="C38" s="550"/>
      <c r="D38" s="550"/>
      <c r="E38" s="550"/>
      <c r="F38" s="551">
        <v>1011043.8357322218</v>
      </c>
      <c r="G38" s="551"/>
      <c r="H38" s="551"/>
      <c r="I38" s="551"/>
      <c r="J38" s="546" t="s">
        <v>294</v>
      </c>
      <c r="K38" s="546"/>
      <c r="L38" s="546" t="s">
        <v>294</v>
      </c>
      <c r="M38" s="546"/>
      <c r="N38" s="546" t="s">
        <v>294</v>
      </c>
      <c r="O38" s="546"/>
      <c r="P38" s="546" t="s">
        <v>294</v>
      </c>
      <c r="Q38" s="546"/>
      <c r="R38" s="546" t="s">
        <v>294</v>
      </c>
      <c r="S38" s="546"/>
      <c r="T38" s="546" t="s">
        <v>294</v>
      </c>
      <c r="U38" s="546"/>
      <c r="V38" s="546" t="s">
        <v>294</v>
      </c>
      <c r="W38" s="546"/>
      <c r="X38" s="546" t="s">
        <v>294</v>
      </c>
      <c r="Y38" s="546"/>
      <c r="Z38" s="546"/>
      <c r="AA38" s="546"/>
      <c r="AB38" s="546"/>
      <c r="AC38" s="546"/>
      <c r="AD38" s="546"/>
      <c r="AE38" s="546"/>
      <c r="AF38" s="194"/>
      <c r="AG38" s="194"/>
      <c r="AH38" s="195"/>
      <c r="AI38" s="194"/>
      <c r="AJ38" s="194"/>
      <c r="AK38" s="195"/>
      <c r="AL38" s="194"/>
      <c r="AM38" s="194"/>
      <c r="AN38" s="194"/>
      <c r="AO38" s="194"/>
      <c r="AP38" s="195"/>
      <c r="AQ38" s="195"/>
      <c r="AR38" s="194"/>
      <c r="AS38" s="194"/>
      <c r="AT38" s="194"/>
      <c r="AU38" s="194"/>
      <c r="AV38" s="195"/>
      <c r="AW38" s="195"/>
      <c r="AX38" s="195"/>
      <c r="AY38" s="195"/>
      <c r="AZ38" s="195"/>
      <c r="BA38" s="195"/>
      <c r="BB38" s="195"/>
      <c r="BC38" s="197"/>
      <c r="BD38" s="186"/>
      <c r="BE38" s="186"/>
      <c r="BF38" s="186"/>
      <c r="BG38" s="186"/>
    </row>
    <row r="39" spans="1:59" s="190" customFormat="1" ht="12.95" customHeight="1" x14ac:dyDescent="0.25">
      <c r="A39" s="547"/>
      <c r="B39" s="548"/>
      <c r="C39" s="548"/>
      <c r="D39" s="548"/>
      <c r="E39" s="548"/>
      <c r="F39" s="545"/>
      <c r="G39" s="545"/>
      <c r="H39" s="545"/>
      <c r="I39" s="545"/>
      <c r="J39" s="535"/>
      <c r="K39" s="535"/>
      <c r="L39" s="535"/>
      <c r="M39" s="535"/>
      <c r="N39" s="535"/>
      <c r="O39" s="535"/>
      <c r="P39" s="535"/>
      <c r="Q39" s="535"/>
      <c r="R39" s="535"/>
      <c r="S39" s="535"/>
      <c r="T39" s="535"/>
      <c r="U39" s="535"/>
      <c r="V39" s="535"/>
      <c r="W39" s="535"/>
      <c r="X39" s="535"/>
      <c r="Y39" s="535"/>
      <c r="Z39" s="535"/>
      <c r="AA39" s="535"/>
      <c r="AB39" s="544"/>
      <c r="AC39" s="544"/>
      <c r="AD39" s="535"/>
      <c r="AE39" s="535"/>
      <c r="AF39" s="194"/>
      <c r="AG39" s="194"/>
      <c r="AH39" s="195"/>
      <c r="AI39" s="194"/>
      <c r="AJ39" s="194"/>
      <c r="AK39" s="195"/>
      <c r="AL39" s="194"/>
      <c r="AM39" s="194"/>
      <c r="AN39" s="194"/>
      <c r="AO39" s="194"/>
      <c r="AP39" s="195"/>
      <c r="AQ39" s="195"/>
      <c r="AR39" s="194"/>
      <c r="AS39" s="194"/>
      <c r="AT39" s="194"/>
      <c r="AU39" s="194"/>
      <c r="AV39" s="195"/>
      <c r="AW39" s="195"/>
      <c r="AX39" s="195"/>
      <c r="AY39" s="195"/>
      <c r="AZ39" s="195"/>
      <c r="BA39" s="195"/>
      <c r="BB39" s="195"/>
      <c r="BC39" s="197"/>
      <c r="BD39" s="186"/>
      <c r="BE39" s="186"/>
      <c r="BF39" s="186"/>
      <c r="BG39" s="186"/>
    </row>
    <row r="40" spans="1:59" s="215" customFormat="1" ht="9.75" customHeight="1" x14ac:dyDescent="0.25">
      <c r="A40" s="549"/>
      <c r="B40" s="550"/>
      <c r="C40" s="550"/>
      <c r="D40" s="550"/>
      <c r="E40" s="550"/>
      <c r="F40" s="543" t="s">
        <v>201</v>
      </c>
      <c r="G40" s="543"/>
      <c r="H40" s="543"/>
      <c r="I40" s="543"/>
      <c r="J40" s="538"/>
      <c r="K40" s="538"/>
      <c r="L40" s="538"/>
      <c r="M40" s="538"/>
      <c r="N40" s="538"/>
      <c r="O40" s="538"/>
      <c r="P40" s="538"/>
      <c r="Q40" s="538"/>
      <c r="R40" s="538"/>
      <c r="S40" s="538"/>
      <c r="T40" s="538"/>
      <c r="U40" s="538"/>
      <c r="V40" s="538"/>
      <c r="W40" s="538"/>
      <c r="X40" s="538"/>
      <c r="Y40" s="538"/>
      <c r="Z40" s="538"/>
      <c r="AA40" s="538"/>
      <c r="AB40" s="539"/>
      <c r="AC40" s="539"/>
      <c r="AD40" s="538"/>
      <c r="AE40" s="538"/>
      <c r="AF40" s="195"/>
      <c r="AG40" s="195"/>
      <c r="AH40" s="194"/>
      <c r="AI40" s="194"/>
      <c r="AJ40" s="195"/>
      <c r="AK40" s="194"/>
      <c r="AL40" s="195"/>
      <c r="AM40" s="195"/>
      <c r="AN40" s="195"/>
      <c r="AO40" s="195"/>
      <c r="AP40" s="194"/>
      <c r="AQ40" s="194"/>
      <c r="AR40" s="194"/>
      <c r="AS40" s="194"/>
      <c r="AT40" s="195"/>
      <c r="AU40" s="195"/>
      <c r="AV40" s="194"/>
      <c r="AW40" s="194"/>
      <c r="AX40" s="194"/>
      <c r="AY40" s="194"/>
      <c r="AZ40" s="195"/>
      <c r="BA40" s="195"/>
      <c r="BB40" s="194"/>
      <c r="BC40" s="197"/>
      <c r="BD40" s="186"/>
      <c r="BE40" s="186"/>
      <c r="BF40" s="186"/>
      <c r="BG40" s="186"/>
    </row>
    <row r="41" spans="1:59" s="188" customFormat="1" ht="9.75" customHeight="1" x14ac:dyDescent="0.25">
      <c r="A41" s="549"/>
      <c r="B41" s="550"/>
      <c r="C41" s="550"/>
      <c r="D41" s="550"/>
      <c r="E41" s="550"/>
      <c r="F41" s="551"/>
      <c r="G41" s="551"/>
      <c r="H41" s="551"/>
      <c r="I41" s="551"/>
      <c r="J41" s="546"/>
      <c r="K41" s="546"/>
      <c r="L41" s="546"/>
      <c r="M41" s="546"/>
      <c r="N41" s="546"/>
      <c r="O41" s="546"/>
      <c r="P41" s="546"/>
      <c r="Q41" s="546"/>
      <c r="R41" s="546"/>
      <c r="S41" s="546"/>
      <c r="T41" s="546"/>
      <c r="U41" s="546"/>
      <c r="V41" s="546"/>
      <c r="W41" s="546"/>
      <c r="X41" s="546"/>
      <c r="Y41" s="546"/>
      <c r="Z41" s="546"/>
      <c r="AA41" s="546"/>
      <c r="AB41" s="546"/>
      <c r="AC41" s="546"/>
      <c r="AD41" s="546"/>
      <c r="AE41" s="546"/>
      <c r="AF41" s="195"/>
      <c r="AG41" s="195"/>
      <c r="AH41" s="194"/>
      <c r="AI41" s="194"/>
      <c r="AJ41" s="195"/>
      <c r="AK41" s="194"/>
      <c r="AL41" s="195"/>
      <c r="AM41" s="195"/>
      <c r="AN41" s="195"/>
      <c r="AO41" s="195"/>
      <c r="AP41" s="194"/>
      <c r="AQ41" s="194"/>
      <c r="AR41" s="194"/>
      <c r="AS41" s="194"/>
      <c r="AT41" s="195"/>
      <c r="AU41" s="195"/>
      <c r="AV41" s="194"/>
      <c r="AW41" s="194"/>
      <c r="AX41" s="194"/>
      <c r="AY41" s="194"/>
      <c r="AZ41" s="195"/>
      <c r="BA41" s="195"/>
      <c r="BB41" s="194"/>
      <c r="BC41" s="197"/>
      <c r="BD41" s="186"/>
      <c r="BE41" s="186"/>
      <c r="BF41" s="186"/>
      <c r="BG41" s="186"/>
    </row>
    <row r="42" spans="1:59" s="190" customFormat="1" ht="12.95" customHeight="1" x14ac:dyDescent="0.25">
      <c r="A42" s="547"/>
      <c r="B42" s="548"/>
      <c r="C42" s="548"/>
      <c r="D42" s="548"/>
      <c r="E42" s="548"/>
      <c r="F42" s="545"/>
      <c r="G42" s="545"/>
      <c r="H42" s="545"/>
      <c r="I42" s="545"/>
      <c r="J42" s="535"/>
      <c r="K42" s="535"/>
      <c r="L42" s="535"/>
      <c r="M42" s="535"/>
      <c r="N42" s="535"/>
      <c r="O42" s="535"/>
      <c r="P42" s="535"/>
      <c r="Q42" s="535"/>
      <c r="R42" s="535"/>
      <c r="S42" s="535"/>
      <c r="T42" s="535"/>
      <c r="U42" s="535"/>
      <c r="V42" s="535"/>
      <c r="W42" s="535"/>
      <c r="X42" s="535"/>
      <c r="Y42" s="535"/>
      <c r="Z42" s="535"/>
      <c r="AA42" s="535"/>
      <c r="AB42" s="544"/>
      <c r="AC42" s="544"/>
      <c r="AD42" s="535"/>
      <c r="AE42" s="535"/>
      <c r="AF42" s="195"/>
      <c r="AG42" s="195"/>
      <c r="AH42" s="194"/>
      <c r="AI42" s="194"/>
      <c r="AJ42" s="195"/>
      <c r="AK42" s="194"/>
      <c r="AL42" s="195"/>
      <c r="AM42" s="195"/>
      <c r="AN42" s="195"/>
      <c r="AO42" s="195"/>
      <c r="AP42" s="194"/>
      <c r="AQ42" s="194"/>
      <c r="AR42" s="194"/>
      <c r="AS42" s="194"/>
      <c r="AT42" s="195"/>
      <c r="AU42" s="195"/>
      <c r="AV42" s="194"/>
      <c r="AW42" s="194"/>
      <c r="AX42" s="194"/>
      <c r="AY42" s="194"/>
      <c r="AZ42" s="195"/>
      <c r="BA42" s="195"/>
      <c r="BB42" s="194"/>
      <c r="BC42" s="197"/>
      <c r="BD42" s="186"/>
      <c r="BE42" s="186"/>
      <c r="BF42" s="186"/>
      <c r="BG42" s="186"/>
    </row>
    <row r="43" spans="1:59" s="215" customFormat="1" ht="9.75" customHeight="1" x14ac:dyDescent="0.25">
      <c r="A43" s="549"/>
      <c r="B43" s="550"/>
      <c r="C43" s="550"/>
      <c r="D43" s="550"/>
      <c r="E43" s="550"/>
      <c r="F43" s="543" t="s">
        <v>201</v>
      </c>
      <c r="G43" s="543"/>
      <c r="H43" s="543"/>
      <c r="I43" s="543"/>
      <c r="J43" s="538"/>
      <c r="K43" s="538"/>
      <c r="L43" s="538"/>
      <c r="M43" s="538"/>
      <c r="N43" s="538"/>
      <c r="O43" s="538"/>
      <c r="P43" s="538"/>
      <c r="Q43" s="538"/>
      <c r="R43" s="538"/>
      <c r="S43" s="538"/>
      <c r="T43" s="538"/>
      <c r="U43" s="538"/>
      <c r="V43" s="538"/>
      <c r="W43" s="538"/>
      <c r="X43" s="538"/>
      <c r="Y43" s="538"/>
      <c r="Z43" s="538"/>
      <c r="AA43" s="538"/>
      <c r="AB43" s="539"/>
      <c r="AC43" s="539"/>
      <c r="AD43" s="538"/>
      <c r="AE43" s="538"/>
      <c r="AF43" s="195"/>
      <c r="AG43" s="195"/>
      <c r="AH43" s="194"/>
      <c r="AI43" s="194"/>
      <c r="AJ43" s="195"/>
      <c r="AK43" s="194"/>
      <c r="AL43" s="195"/>
      <c r="AM43" s="195"/>
      <c r="AN43" s="195"/>
      <c r="AO43" s="195"/>
      <c r="AP43" s="194"/>
      <c r="AQ43" s="194"/>
      <c r="AR43" s="194"/>
      <c r="AS43" s="194"/>
      <c r="AT43" s="195"/>
      <c r="AU43" s="195"/>
      <c r="AV43" s="194"/>
      <c r="AW43" s="194"/>
      <c r="AX43" s="194"/>
      <c r="AY43" s="194"/>
      <c r="AZ43" s="195"/>
      <c r="BA43" s="195"/>
      <c r="BB43" s="194"/>
      <c r="BC43" s="197"/>
      <c r="BD43" s="186"/>
      <c r="BE43" s="186"/>
      <c r="BF43" s="186"/>
      <c r="BG43" s="186"/>
    </row>
    <row r="44" spans="1:59" s="188" customFormat="1" ht="9.75" customHeight="1" x14ac:dyDescent="0.25">
      <c r="A44" s="549"/>
      <c r="B44" s="550"/>
      <c r="C44" s="550"/>
      <c r="D44" s="550"/>
      <c r="E44" s="550"/>
      <c r="F44" s="551"/>
      <c r="G44" s="551"/>
      <c r="H44" s="551"/>
      <c r="I44" s="551"/>
      <c r="J44" s="546"/>
      <c r="K44" s="546"/>
      <c r="L44" s="546"/>
      <c r="M44" s="546"/>
      <c r="N44" s="546"/>
      <c r="O44" s="546"/>
      <c r="P44" s="546"/>
      <c r="Q44" s="546"/>
      <c r="R44" s="546"/>
      <c r="S44" s="546"/>
      <c r="T44" s="546"/>
      <c r="U44" s="546"/>
      <c r="V44" s="546"/>
      <c r="W44" s="546"/>
      <c r="X44" s="546"/>
      <c r="Y44" s="546"/>
      <c r="Z44" s="546"/>
      <c r="AA44" s="546"/>
      <c r="AB44" s="546"/>
      <c r="AC44" s="546"/>
      <c r="AD44" s="546"/>
      <c r="AE44" s="546"/>
      <c r="AF44" s="195"/>
      <c r="AG44" s="195"/>
      <c r="AH44" s="194"/>
      <c r="AI44" s="194"/>
      <c r="AJ44" s="195"/>
      <c r="AK44" s="194"/>
      <c r="AL44" s="195"/>
      <c r="AM44" s="195"/>
      <c r="AN44" s="195"/>
      <c r="AO44" s="195"/>
      <c r="AP44" s="194"/>
      <c r="AQ44" s="194"/>
      <c r="AR44" s="194"/>
      <c r="AS44" s="194"/>
      <c r="AT44" s="195"/>
      <c r="AU44" s="195"/>
      <c r="AV44" s="194"/>
      <c r="AW44" s="194"/>
      <c r="AX44" s="194"/>
      <c r="AY44" s="194"/>
      <c r="AZ44" s="195"/>
      <c r="BA44" s="195"/>
      <c r="BB44" s="194"/>
      <c r="BC44" s="197"/>
      <c r="BD44" s="186"/>
      <c r="BE44" s="186"/>
      <c r="BF44" s="186"/>
      <c r="BG44" s="186"/>
    </row>
    <row r="45" spans="1:59" s="190" customFormat="1" ht="12.95" customHeight="1" x14ac:dyDescent="0.25">
      <c r="A45" s="547"/>
      <c r="B45" s="548"/>
      <c r="C45" s="548"/>
      <c r="D45" s="548"/>
      <c r="E45" s="548"/>
      <c r="F45" s="545"/>
      <c r="G45" s="545"/>
      <c r="H45" s="545"/>
      <c r="I45" s="545"/>
      <c r="J45" s="535"/>
      <c r="K45" s="535"/>
      <c r="L45" s="535"/>
      <c r="M45" s="535"/>
      <c r="N45" s="535"/>
      <c r="O45" s="535"/>
      <c r="P45" s="535"/>
      <c r="Q45" s="535"/>
      <c r="R45" s="535"/>
      <c r="S45" s="535"/>
      <c r="T45" s="535"/>
      <c r="U45" s="535"/>
      <c r="V45" s="535"/>
      <c r="W45" s="535"/>
      <c r="X45" s="535"/>
      <c r="Y45" s="535"/>
      <c r="Z45" s="535"/>
      <c r="AA45" s="535"/>
      <c r="AB45" s="544"/>
      <c r="AC45" s="544"/>
      <c r="AD45" s="535"/>
      <c r="AE45" s="535"/>
      <c r="AF45" s="194"/>
      <c r="AG45" s="194"/>
      <c r="AH45" s="195"/>
      <c r="AI45" s="194"/>
      <c r="AJ45" s="194"/>
      <c r="AK45" s="195"/>
      <c r="AL45" s="194"/>
      <c r="AM45" s="194"/>
      <c r="AN45" s="194"/>
      <c r="AO45" s="194"/>
      <c r="AP45" s="195"/>
      <c r="AQ45" s="195"/>
      <c r="AR45" s="194"/>
      <c r="AS45" s="194"/>
      <c r="AT45" s="194"/>
      <c r="AU45" s="194"/>
      <c r="AV45" s="195"/>
      <c r="AW45" s="195"/>
      <c r="AX45" s="195"/>
      <c r="AY45" s="195"/>
      <c r="AZ45" s="195"/>
      <c r="BA45" s="195"/>
      <c r="BB45" s="195"/>
      <c r="BC45" s="197"/>
      <c r="BD45" s="186"/>
      <c r="BE45" s="186"/>
      <c r="BF45" s="186"/>
      <c r="BG45" s="186"/>
    </row>
    <row r="46" spans="1:59" s="215" customFormat="1" ht="9.75" customHeight="1" x14ac:dyDescent="0.25">
      <c r="A46" s="549"/>
      <c r="B46" s="550"/>
      <c r="C46" s="550"/>
      <c r="D46" s="550"/>
      <c r="E46" s="550"/>
      <c r="F46" s="543" t="s">
        <v>201</v>
      </c>
      <c r="G46" s="543"/>
      <c r="H46" s="543"/>
      <c r="I46" s="543"/>
      <c r="J46" s="538"/>
      <c r="K46" s="538"/>
      <c r="L46" s="538"/>
      <c r="M46" s="538"/>
      <c r="N46" s="538"/>
      <c r="O46" s="538"/>
      <c r="P46" s="538"/>
      <c r="Q46" s="538"/>
      <c r="R46" s="538"/>
      <c r="S46" s="538"/>
      <c r="T46" s="538"/>
      <c r="U46" s="538"/>
      <c r="V46" s="538"/>
      <c r="W46" s="538"/>
      <c r="X46" s="538"/>
      <c r="Y46" s="538"/>
      <c r="Z46" s="538"/>
      <c r="AA46" s="538"/>
      <c r="AB46" s="539"/>
      <c r="AC46" s="539"/>
      <c r="AD46" s="538"/>
      <c r="AE46" s="538"/>
      <c r="AF46" s="195"/>
      <c r="AG46" s="195"/>
      <c r="AH46" s="194"/>
      <c r="AI46" s="194"/>
      <c r="AJ46" s="195"/>
      <c r="AK46" s="194"/>
      <c r="AL46" s="195"/>
      <c r="AM46" s="195"/>
      <c r="AN46" s="195"/>
      <c r="AO46" s="195"/>
      <c r="AP46" s="194"/>
      <c r="AQ46" s="194"/>
      <c r="AR46" s="194"/>
      <c r="AS46" s="194"/>
      <c r="AT46" s="195"/>
      <c r="AU46" s="195"/>
      <c r="AV46" s="194"/>
      <c r="AW46" s="194"/>
      <c r="AX46" s="194"/>
      <c r="AY46" s="194"/>
      <c r="AZ46" s="195"/>
      <c r="BA46" s="195"/>
      <c r="BB46" s="194"/>
      <c r="BC46" s="197"/>
      <c r="BD46" s="186"/>
      <c r="BE46" s="186"/>
      <c r="BF46" s="186"/>
      <c r="BG46" s="186"/>
    </row>
    <row r="47" spans="1:59" s="188" customFormat="1" ht="9.75" customHeight="1" x14ac:dyDescent="0.25">
      <c r="A47" s="549"/>
      <c r="B47" s="550"/>
      <c r="C47" s="550"/>
      <c r="D47" s="550"/>
      <c r="E47" s="550"/>
      <c r="F47" s="551"/>
      <c r="G47" s="551"/>
      <c r="H47" s="551"/>
      <c r="I47" s="551"/>
      <c r="J47" s="546"/>
      <c r="K47" s="546"/>
      <c r="L47" s="546"/>
      <c r="M47" s="546"/>
      <c r="N47" s="546"/>
      <c r="O47" s="546"/>
      <c r="P47" s="546"/>
      <c r="Q47" s="546"/>
      <c r="R47" s="546"/>
      <c r="S47" s="546"/>
      <c r="T47" s="546"/>
      <c r="U47" s="546"/>
      <c r="V47" s="546"/>
      <c r="W47" s="546"/>
      <c r="X47" s="546"/>
      <c r="Y47" s="546"/>
      <c r="Z47" s="546"/>
      <c r="AA47" s="546"/>
      <c r="AB47" s="546"/>
      <c r="AC47" s="546"/>
      <c r="AD47" s="546"/>
      <c r="AE47" s="546"/>
      <c r="AF47" s="195"/>
      <c r="AG47" s="195"/>
      <c r="AH47" s="194"/>
      <c r="AI47" s="194"/>
      <c r="AJ47" s="195"/>
      <c r="AK47" s="194"/>
      <c r="AL47" s="195"/>
      <c r="AM47" s="195"/>
      <c r="AN47" s="195"/>
      <c r="AO47" s="195"/>
      <c r="AP47" s="194"/>
      <c r="AQ47" s="194"/>
      <c r="AR47" s="194"/>
      <c r="AS47" s="194"/>
      <c r="AT47" s="195"/>
      <c r="AU47" s="195"/>
      <c r="AV47" s="194"/>
      <c r="AW47" s="194"/>
      <c r="AX47" s="194"/>
      <c r="AY47" s="194"/>
      <c r="AZ47" s="195"/>
      <c r="BA47" s="195"/>
      <c r="BB47" s="194"/>
      <c r="BC47" s="197"/>
      <c r="BD47" s="186"/>
      <c r="BE47" s="186"/>
      <c r="BF47" s="186"/>
      <c r="BG47" s="186"/>
    </row>
    <row r="48" spans="1:59" s="190" customFormat="1" ht="12.95" customHeight="1" x14ac:dyDescent="0.25">
      <c r="A48" s="541"/>
      <c r="B48" s="541"/>
      <c r="C48" s="541"/>
      <c r="D48" s="541"/>
      <c r="E48" s="541"/>
      <c r="F48" s="545"/>
      <c r="G48" s="545"/>
      <c r="H48" s="545"/>
      <c r="I48" s="545"/>
      <c r="J48" s="535"/>
      <c r="K48" s="535"/>
      <c r="L48" s="535"/>
      <c r="M48" s="535"/>
      <c r="N48" s="535"/>
      <c r="O48" s="535"/>
      <c r="P48" s="535"/>
      <c r="Q48" s="535"/>
      <c r="R48" s="535"/>
      <c r="S48" s="535"/>
      <c r="T48" s="535"/>
      <c r="U48" s="535"/>
      <c r="V48" s="535"/>
      <c r="W48" s="535"/>
      <c r="X48" s="535"/>
      <c r="Y48" s="535"/>
      <c r="Z48" s="535"/>
      <c r="AA48" s="535"/>
      <c r="AB48" s="544"/>
      <c r="AC48" s="544"/>
      <c r="AD48" s="535"/>
      <c r="AE48" s="535"/>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86"/>
      <c r="BE48" s="186"/>
      <c r="BF48" s="186"/>
      <c r="BG48" s="186"/>
    </row>
    <row r="49" spans="1:59" s="215" customFormat="1" ht="9.75" customHeight="1" x14ac:dyDescent="0.25">
      <c r="A49" s="542"/>
      <c r="B49" s="542"/>
      <c r="C49" s="542"/>
      <c r="D49" s="542"/>
      <c r="E49" s="542"/>
      <c r="F49" s="543" t="s">
        <v>201</v>
      </c>
      <c r="G49" s="543"/>
      <c r="H49" s="543"/>
      <c r="I49" s="543"/>
      <c r="J49" s="538"/>
      <c r="K49" s="538"/>
      <c r="L49" s="538"/>
      <c r="M49" s="538"/>
      <c r="N49" s="538"/>
      <c r="O49" s="538"/>
      <c r="P49" s="538"/>
      <c r="Q49" s="538"/>
      <c r="R49" s="538"/>
      <c r="S49" s="538"/>
      <c r="T49" s="538"/>
      <c r="U49" s="538"/>
      <c r="V49" s="538"/>
      <c r="W49" s="538"/>
      <c r="X49" s="538"/>
      <c r="Y49" s="538"/>
      <c r="Z49" s="538"/>
      <c r="AA49" s="538"/>
      <c r="AB49" s="539"/>
      <c r="AC49" s="539"/>
      <c r="AD49" s="538"/>
      <c r="AE49" s="538"/>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86"/>
      <c r="BE49" s="186"/>
      <c r="BF49" s="186"/>
      <c r="BG49" s="186"/>
    </row>
    <row r="50" spans="1:59" s="188" customFormat="1" ht="9.75" customHeight="1" x14ac:dyDescent="0.25">
      <c r="F50" s="540"/>
      <c r="G50" s="540"/>
      <c r="H50" s="540"/>
      <c r="I50" s="540"/>
      <c r="J50" s="536"/>
      <c r="K50" s="536"/>
      <c r="L50" s="536"/>
      <c r="M50" s="536"/>
      <c r="N50" s="536"/>
      <c r="O50" s="536"/>
      <c r="P50" s="536"/>
      <c r="Q50" s="536"/>
      <c r="R50" s="536"/>
      <c r="S50" s="536"/>
      <c r="T50" s="536"/>
      <c r="U50" s="536"/>
      <c r="V50" s="536"/>
      <c r="W50" s="536"/>
      <c r="X50" s="536"/>
      <c r="Y50" s="536"/>
      <c r="Z50" s="536"/>
      <c r="AA50" s="536"/>
      <c r="AB50" s="536"/>
      <c r="AC50" s="536"/>
      <c r="AD50" s="536"/>
      <c r="AE50" s="536"/>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86"/>
      <c r="BE50" s="186"/>
      <c r="BF50" s="186"/>
      <c r="BG50" s="186"/>
    </row>
    <row r="51" spans="1:59" ht="9.75" customHeight="1" x14ac:dyDescent="0.25"/>
    <row r="52" spans="1:59" x14ac:dyDescent="0.25">
      <c r="A52" s="537"/>
      <c r="B52" s="537"/>
      <c r="C52" s="537"/>
      <c r="D52" s="537"/>
      <c r="E52" s="537"/>
      <c r="F52" s="537"/>
      <c r="G52" s="537"/>
      <c r="H52" s="537"/>
      <c r="I52" s="537"/>
      <c r="J52" s="537"/>
      <c r="K52" s="537"/>
      <c r="L52" s="537"/>
      <c r="M52" s="537"/>
      <c r="N52" s="537"/>
      <c r="O52" s="537"/>
      <c r="P52" s="537"/>
      <c r="Q52" s="537"/>
      <c r="R52" s="537"/>
      <c r="S52" s="537"/>
      <c r="T52" s="537"/>
      <c r="U52" s="537"/>
      <c r="V52" s="537"/>
      <c r="W52" s="537"/>
      <c r="X52" s="537"/>
      <c r="Y52" s="537"/>
      <c r="Z52" s="537"/>
    </row>
    <row r="53" spans="1:59" x14ac:dyDescent="0.25">
      <c r="A53" s="537"/>
      <c r="B53" s="537"/>
      <c r="C53" s="537"/>
      <c r="D53" s="537"/>
      <c r="E53" s="537"/>
      <c r="F53" s="537"/>
      <c r="G53" s="537"/>
      <c r="H53" s="537"/>
      <c r="I53" s="537"/>
      <c r="J53" s="537"/>
      <c r="K53" s="537"/>
      <c r="L53" s="537"/>
      <c r="M53" s="537"/>
      <c r="N53" s="537"/>
      <c r="O53" s="537"/>
      <c r="P53" s="537"/>
      <c r="Q53" s="537"/>
      <c r="R53" s="537"/>
      <c r="S53" s="537"/>
      <c r="T53" s="537"/>
      <c r="U53" s="537"/>
      <c r="V53" s="537"/>
      <c r="W53" s="537"/>
      <c r="X53" s="537"/>
      <c r="Y53" s="537"/>
      <c r="Z53" s="537"/>
    </row>
  </sheetData>
  <mergeCells count="470">
    <mergeCell ref="A5:H5"/>
    <mergeCell ref="I5:P5"/>
    <mergeCell ref="Q5:W5"/>
    <mergeCell ref="X5:AE5"/>
    <mergeCell ref="A6:H7"/>
    <mergeCell ref="I6:P7"/>
    <mergeCell ref="Q6:W7"/>
    <mergeCell ref="X6:AE7"/>
    <mergeCell ref="A3:E3"/>
    <mergeCell ref="F3:I3"/>
    <mergeCell ref="J3:N3"/>
    <mergeCell ref="W3:Z3"/>
    <mergeCell ref="AA3:AE3"/>
    <mergeCell ref="A4:AE4"/>
    <mergeCell ref="J11:K11"/>
    <mergeCell ref="L11:M11"/>
    <mergeCell ref="N11:O11"/>
    <mergeCell ref="P11:Q11"/>
    <mergeCell ref="A8:H8"/>
    <mergeCell ref="I8:P8"/>
    <mergeCell ref="Q8:W8"/>
    <mergeCell ref="X8:AE8"/>
    <mergeCell ref="A10:N10"/>
    <mergeCell ref="Z10:AE10"/>
    <mergeCell ref="F13:I13"/>
    <mergeCell ref="J13:K13"/>
    <mergeCell ref="L13:M13"/>
    <mergeCell ref="N13:O13"/>
    <mergeCell ref="P13:Q13"/>
    <mergeCell ref="R13:S13"/>
    <mergeCell ref="AD11:AE11"/>
    <mergeCell ref="A12:E14"/>
    <mergeCell ref="F12:I12"/>
    <mergeCell ref="J12:K12"/>
    <mergeCell ref="L12:M12"/>
    <mergeCell ref="N12:O12"/>
    <mergeCell ref="P12:Q12"/>
    <mergeCell ref="R12:S12"/>
    <mergeCell ref="T12:U12"/>
    <mergeCell ref="V12:W12"/>
    <mergeCell ref="R11:S11"/>
    <mergeCell ref="T11:U11"/>
    <mergeCell ref="V11:W11"/>
    <mergeCell ref="X11:Y11"/>
    <mergeCell ref="Z11:AA11"/>
    <mergeCell ref="AB11:AC11"/>
    <mergeCell ref="A11:E11"/>
    <mergeCell ref="F11:I11"/>
    <mergeCell ref="T13:U13"/>
    <mergeCell ref="V13:W13"/>
    <mergeCell ref="X13:Y13"/>
    <mergeCell ref="Z13:AA13"/>
    <mergeCell ref="AB13:AC13"/>
    <mergeCell ref="AD13:AE13"/>
    <mergeCell ref="X12:Y12"/>
    <mergeCell ref="Z12:AA12"/>
    <mergeCell ref="AB12:AC12"/>
    <mergeCell ref="AD12:AE12"/>
    <mergeCell ref="T14:U14"/>
    <mergeCell ref="V14:W14"/>
    <mergeCell ref="X14:Y14"/>
    <mergeCell ref="Z14:AA14"/>
    <mergeCell ref="AB14:AC14"/>
    <mergeCell ref="AD14:AE14"/>
    <mergeCell ref="F14:I14"/>
    <mergeCell ref="J14:K14"/>
    <mergeCell ref="L14:M14"/>
    <mergeCell ref="N14:O14"/>
    <mergeCell ref="P14:Q14"/>
    <mergeCell ref="R14:S14"/>
    <mergeCell ref="A16:N16"/>
    <mergeCell ref="Z16:AE16"/>
    <mergeCell ref="A17:E17"/>
    <mergeCell ref="F17:I17"/>
    <mergeCell ref="J17:K17"/>
    <mergeCell ref="L17:M17"/>
    <mergeCell ref="N17:O17"/>
    <mergeCell ref="P17:Q17"/>
    <mergeCell ref="R17:S17"/>
    <mergeCell ref="T17:U17"/>
    <mergeCell ref="V17:W17"/>
    <mergeCell ref="X17:Y17"/>
    <mergeCell ref="Z17:AA17"/>
    <mergeCell ref="AB17:AC17"/>
    <mergeCell ref="AD17:AE17"/>
    <mergeCell ref="A18:E20"/>
    <mergeCell ref="F18:I18"/>
    <mergeCell ref="J18:K18"/>
    <mergeCell ref="L18:M18"/>
    <mergeCell ref="N18:O18"/>
    <mergeCell ref="F20:I20"/>
    <mergeCell ref="J20:K20"/>
    <mergeCell ref="L20:M20"/>
    <mergeCell ref="N20:O20"/>
    <mergeCell ref="P20:Q20"/>
    <mergeCell ref="R20:S20"/>
    <mergeCell ref="AB18:AC18"/>
    <mergeCell ref="AD18:AE18"/>
    <mergeCell ref="F19:I19"/>
    <mergeCell ref="J19:K19"/>
    <mergeCell ref="L19:M19"/>
    <mergeCell ref="N19:O19"/>
    <mergeCell ref="P19:Q19"/>
    <mergeCell ref="R19:S19"/>
    <mergeCell ref="T19:U19"/>
    <mergeCell ref="V19:W19"/>
    <mergeCell ref="P18:Q18"/>
    <mergeCell ref="R18:S18"/>
    <mergeCell ref="T18:U18"/>
    <mergeCell ref="V18:W18"/>
    <mergeCell ref="X18:Y18"/>
    <mergeCell ref="Z18:AA18"/>
    <mergeCell ref="T20:U20"/>
    <mergeCell ref="V20:W20"/>
    <mergeCell ref="X20:Y20"/>
    <mergeCell ref="Z20:AA20"/>
    <mergeCell ref="AB20:AC20"/>
    <mergeCell ref="AD20:AE20"/>
    <mergeCell ref="R21:S21"/>
    <mergeCell ref="T21:U21"/>
    <mergeCell ref="V21:W21"/>
    <mergeCell ref="X21:Y21"/>
    <mergeCell ref="Z21:AA21"/>
    <mergeCell ref="AB21:AC21"/>
    <mergeCell ref="F21:I21"/>
    <mergeCell ref="J21:K21"/>
    <mergeCell ref="L21:M21"/>
    <mergeCell ref="N21:O21"/>
    <mergeCell ref="F22:I22"/>
    <mergeCell ref="J22:K22"/>
    <mergeCell ref="L22:M22"/>
    <mergeCell ref="N22:O22"/>
    <mergeCell ref="P22:Q22"/>
    <mergeCell ref="R22:S22"/>
    <mergeCell ref="T22:U22"/>
    <mergeCell ref="V22:W22"/>
    <mergeCell ref="X22:Y22"/>
    <mergeCell ref="V23:W23"/>
    <mergeCell ref="X23:Y23"/>
    <mergeCell ref="Z23:AA23"/>
    <mergeCell ref="AB23:AC23"/>
    <mergeCell ref="AD23:AE23"/>
    <mergeCell ref="X19:Y19"/>
    <mergeCell ref="Z19:AA19"/>
    <mergeCell ref="AB19:AC19"/>
    <mergeCell ref="AD19:AE19"/>
    <mergeCell ref="AD21:AE21"/>
    <mergeCell ref="Z26:AA26"/>
    <mergeCell ref="AB26:AC26"/>
    <mergeCell ref="AD26:AE26"/>
    <mergeCell ref="A24:E26"/>
    <mergeCell ref="F24:I24"/>
    <mergeCell ref="J24:K24"/>
    <mergeCell ref="L24:M24"/>
    <mergeCell ref="N24:O24"/>
    <mergeCell ref="A21:E23"/>
    <mergeCell ref="F26:I26"/>
    <mergeCell ref="J26:K26"/>
    <mergeCell ref="L26:M26"/>
    <mergeCell ref="N26:O26"/>
    <mergeCell ref="P21:Q21"/>
    <mergeCell ref="Z22:AA22"/>
    <mergeCell ref="AB22:AC22"/>
    <mergeCell ref="AD22:AE22"/>
    <mergeCell ref="F23:I23"/>
    <mergeCell ref="J23:K23"/>
    <mergeCell ref="L23:M23"/>
    <mergeCell ref="N23:O23"/>
    <mergeCell ref="P23:Q23"/>
    <mergeCell ref="R23:S23"/>
    <mergeCell ref="T23:U23"/>
    <mergeCell ref="J27:K27"/>
    <mergeCell ref="L27:M27"/>
    <mergeCell ref="N27:O27"/>
    <mergeCell ref="P26:Q26"/>
    <mergeCell ref="R26:S26"/>
    <mergeCell ref="AB24:AC24"/>
    <mergeCell ref="AD24:AE24"/>
    <mergeCell ref="F25:I25"/>
    <mergeCell ref="J25:K25"/>
    <mergeCell ref="L25:M25"/>
    <mergeCell ref="N25:O25"/>
    <mergeCell ref="P25:Q25"/>
    <mergeCell ref="R25:S25"/>
    <mergeCell ref="T25:U25"/>
    <mergeCell ref="V25:W25"/>
    <mergeCell ref="P24:Q24"/>
    <mergeCell ref="R24:S24"/>
    <mergeCell ref="T24:U24"/>
    <mergeCell ref="V24:W24"/>
    <mergeCell ref="X24:Y24"/>
    <mergeCell ref="Z24:AA24"/>
    <mergeCell ref="T26:U26"/>
    <mergeCell ref="V26:W26"/>
    <mergeCell ref="X26:Y26"/>
    <mergeCell ref="Z29:AA29"/>
    <mergeCell ref="AB29:AC29"/>
    <mergeCell ref="AD29:AE29"/>
    <mergeCell ref="X25:Y25"/>
    <mergeCell ref="Z25:AA25"/>
    <mergeCell ref="AB25:AC25"/>
    <mergeCell ref="AD25:AE25"/>
    <mergeCell ref="AD27:AE27"/>
    <mergeCell ref="F28:I28"/>
    <mergeCell ref="J28:K28"/>
    <mergeCell ref="L28:M28"/>
    <mergeCell ref="N28:O28"/>
    <mergeCell ref="P28:Q28"/>
    <mergeCell ref="R28:S28"/>
    <mergeCell ref="T28:U28"/>
    <mergeCell ref="V28:W28"/>
    <mergeCell ref="X28:Y28"/>
    <mergeCell ref="R27:S27"/>
    <mergeCell ref="T27:U27"/>
    <mergeCell ref="V27:W27"/>
    <mergeCell ref="X27:Y27"/>
    <mergeCell ref="Z27:AA27"/>
    <mergeCell ref="AB27:AC27"/>
    <mergeCell ref="F27:I27"/>
    <mergeCell ref="AD32:AE32"/>
    <mergeCell ref="A30:E32"/>
    <mergeCell ref="F30:I30"/>
    <mergeCell ref="J30:K30"/>
    <mergeCell ref="L30:M30"/>
    <mergeCell ref="N30:O30"/>
    <mergeCell ref="A27:E29"/>
    <mergeCell ref="F32:I32"/>
    <mergeCell ref="J32:K32"/>
    <mergeCell ref="L32:M32"/>
    <mergeCell ref="N32:O32"/>
    <mergeCell ref="P27:Q27"/>
    <mergeCell ref="Z28:AA28"/>
    <mergeCell ref="AB28:AC28"/>
    <mergeCell ref="AD28:AE28"/>
    <mergeCell ref="F29:I29"/>
    <mergeCell ref="J29:K29"/>
    <mergeCell ref="L29:M29"/>
    <mergeCell ref="N29:O29"/>
    <mergeCell ref="P29:Q29"/>
    <mergeCell ref="R29:S29"/>
    <mergeCell ref="T29:U29"/>
    <mergeCell ref="V29:W29"/>
    <mergeCell ref="X29:Y29"/>
    <mergeCell ref="Z35:AA35"/>
    <mergeCell ref="AB35:AC35"/>
    <mergeCell ref="AD35:AE35"/>
    <mergeCell ref="AB30:AC30"/>
    <mergeCell ref="AD30:AE30"/>
    <mergeCell ref="F31:I31"/>
    <mergeCell ref="J31:K31"/>
    <mergeCell ref="L31:M31"/>
    <mergeCell ref="N31:O31"/>
    <mergeCell ref="P31:Q31"/>
    <mergeCell ref="R31:S31"/>
    <mergeCell ref="T31:U31"/>
    <mergeCell ref="V31:W31"/>
    <mergeCell ref="P30:Q30"/>
    <mergeCell ref="R30:S30"/>
    <mergeCell ref="T30:U30"/>
    <mergeCell ref="V30:W30"/>
    <mergeCell ref="X30:Y30"/>
    <mergeCell ref="Z30:AA30"/>
    <mergeCell ref="X31:Y31"/>
    <mergeCell ref="Z31:AA31"/>
    <mergeCell ref="AB31:AC31"/>
    <mergeCell ref="AD31:AE31"/>
    <mergeCell ref="AB32:AC32"/>
    <mergeCell ref="F35:I35"/>
    <mergeCell ref="J35:K35"/>
    <mergeCell ref="L35:M35"/>
    <mergeCell ref="N35:O35"/>
    <mergeCell ref="P35:Q35"/>
    <mergeCell ref="R35:S35"/>
    <mergeCell ref="T35:U35"/>
    <mergeCell ref="V35:W35"/>
    <mergeCell ref="X35:Y35"/>
    <mergeCell ref="P32:Q32"/>
    <mergeCell ref="R32:S32"/>
    <mergeCell ref="T32:U32"/>
    <mergeCell ref="V32:W32"/>
    <mergeCell ref="X32:Y32"/>
    <mergeCell ref="Z32:AA32"/>
    <mergeCell ref="A36:E38"/>
    <mergeCell ref="F36:I36"/>
    <mergeCell ref="J36:K36"/>
    <mergeCell ref="L36:M36"/>
    <mergeCell ref="N36:O36"/>
    <mergeCell ref="P36:Q36"/>
    <mergeCell ref="F38:I38"/>
    <mergeCell ref="J38:K38"/>
    <mergeCell ref="L38:M38"/>
    <mergeCell ref="N38:O38"/>
    <mergeCell ref="P38:Q38"/>
    <mergeCell ref="R38:S38"/>
    <mergeCell ref="T38:U38"/>
    <mergeCell ref="V38:W38"/>
    <mergeCell ref="X38:Y38"/>
    <mergeCell ref="Z38:AA38"/>
    <mergeCell ref="A34:AE34"/>
    <mergeCell ref="A35:E35"/>
    <mergeCell ref="AD36:AE36"/>
    <mergeCell ref="F37:I37"/>
    <mergeCell ref="J37:K37"/>
    <mergeCell ref="L37:M37"/>
    <mergeCell ref="N37:O37"/>
    <mergeCell ref="P37:Q37"/>
    <mergeCell ref="R37:S37"/>
    <mergeCell ref="T37:U37"/>
    <mergeCell ref="V37:W37"/>
    <mergeCell ref="X37:Y37"/>
    <mergeCell ref="R36:S36"/>
    <mergeCell ref="T36:U36"/>
    <mergeCell ref="V36:W36"/>
    <mergeCell ref="X36:Y36"/>
    <mergeCell ref="Z36:AA36"/>
    <mergeCell ref="AB36:AC36"/>
    <mergeCell ref="Z37:AA37"/>
    <mergeCell ref="AB37:AC37"/>
    <mergeCell ref="AD37:AE37"/>
    <mergeCell ref="AB38:AC38"/>
    <mergeCell ref="AD38:AE38"/>
    <mergeCell ref="A39:E41"/>
    <mergeCell ref="F39:I39"/>
    <mergeCell ref="J39:K39"/>
    <mergeCell ref="L39:M39"/>
    <mergeCell ref="N39:O39"/>
    <mergeCell ref="F41:I41"/>
    <mergeCell ref="J41:K41"/>
    <mergeCell ref="L41:M41"/>
    <mergeCell ref="N41:O41"/>
    <mergeCell ref="P41:Q41"/>
    <mergeCell ref="R41:S41"/>
    <mergeCell ref="AB39:AC39"/>
    <mergeCell ref="AD39:AE39"/>
    <mergeCell ref="F40:I40"/>
    <mergeCell ref="J40:K40"/>
    <mergeCell ref="L40:M40"/>
    <mergeCell ref="N40:O40"/>
    <mergeCell ref="P40:Q40"/>
    <mergeCell ref="R40:S40"/>
    <mergeCell ref="T40:U40"/>
    <mergeCell ref="V40:W40"/>
    <mergeCell ref="P39:Q39"/>
    <mergeCell ref="R39:S39"/>
    <mergeCell ref="T39:U39"/>
    <mergeCell ref="V39:W39"/>
    <mergeCell ref="X39:Y39"/>
    <mergeCell ref="Z39:AA39"/>
    <mergeCell ref="T41:U41"/>
    <mergeCell ref="V41:W41"/>
    <mergeCell ref="X41:Y41"/>
    <mergeCell ref="Z41:AA41"/>
    <mergeCell ref="AB41:AC41"/>
    <mergeCell ref="AD41:AE41"/>
    <mergeCell ref="X40:Y40"/>
    <mergeCell ref="Z40:AA40"/>
    <mergeCell ref="AB40:AC40"/>
    <mergeCell ref="AD40:AE40"/>
    <mergeCell ref="AD42:AE42"/>
    <mergeCell ref="F43:I43"/>
    <mergeCell ref="J43:K43"/>
    <mergeCell ref="L43:M43"/>
    <mergeCell ref="N43:O43"/>
    <mergeCell ref="P43:Q43"/>
    <mergeCell ref="R43:S43"/>
    <mergeCell ref="T43:U43"/>
    <mergeCell ref="V43:W43"/>
    <mergeCell ref="X43:Y43"/>
    <mergeCell ref="R42:S42"/>
    <mergeCell ref="T42:U42"/>
    <mergeCell ref="V42:W42"/>
    <mergeCell ref="X42:Y42"/>
    <mergeCell ref="Z42:AA42"/>
    <mergeCell ref="AB42:AC42"/>
    <mergeCell ref="F42:I42"/>
    <mergeCell ref="J42:K42"/>
    <mergeCell ref="P42:Q42"/>
    <mergeCell ref="Z43:AA43"/>
    <mergeCell ref="AB43:AC43"/>
    <mergeCell ref="AD43:AE43"/>
    <mergeCell ref="F44:I44"/>
    <mergeCell ref="J44:K44"/>
    <mergeCell ref="L44:M44"/>
    <mergeCell ref="N44:O44"/>
    <mergeCell ref="P44:Q44"/>
    <mergeCell ref="R44:S44"/>
    <mergeCell ref="T44:U44"/>
    <mergeCell ref="V44:W44"/>
    <mergeCell ref="X44:Y44"/>
    <mergeCell ref="Z44:AA44"/>
    <mergeCell ref="AB44:AC44"/>
    <mergeCell ref="AD44:AE44"/>
    <mergeCell ref="A45:E47"/>
    <mergeCell ref="F45:I45"/>
    <mergeCell ref="J45:K45"/>
    <mergeCell ref="L45:M45"/>
    <mergeCell ref="N45:O45"/>
    <mergeCell ref="A42:E44"/>
    <mergeCell ref="F47:I47"/>
    <mergeCell ref="J47:K47"/>
    <mergeCell ref="L47:M47"/>
    <mergeCell ref="N47:O47"/>
    <mergeCell ref="L42:M42"/>
    <mergeCell ref="N42:O42"/>
    <mergeCell ref="P47:Q47"/>
    <mergeCell ref="R47:S47"/>
    <mergeCell ref="AB45:AC45"/>
    <mergeCell ref="AD45:AE45"/>
    <mergeCell ref="F46:I46"/>
    <mergeCell ref="J46:K46"/>
    <mergeCell ref="L46:M46"/>
    <mergeCell ref="N46:O46"/>
    <mergeCell ref="P46:Q46"/>
    <mergeCell ref="R46:S46"/>
    <mergeCell ref="T46:U46"/>
    <mergeCell ref="V46:W46"/>
    <mergeCell ref="P45:Q45"/>
    <mergeCell ref="R45:S45"/>
    <mergeCell ref="T45:U45"/>
    <mergeCell ref="V45:W45"/>
    <mergeCell ref="X45:Y45"/>
    <mergeCell ref="Z45:AA45"/>
    <mergeCell ref="T47:U47"/>
    <mergeCell ref="V47:W47"/>
    <mergeCell ref="X47:Y47"/>
    <mergeCell ref="Z47:AA47"/>
    <mergeCell ref="AB47:AC47"/>
    <mergeCell ref="AD47:AE47"/>
    <mergeCell ref="X46:Y46"/>
    <mergeCell ref="Z46:AA46"/>
    <mergeCell ref="AB46:AC46"/>
    <mergeCell ref="AD46:AE46"/>
    <mergeCell ref="AD48:AE48"/>
    <mergeCell ref="F49:I49"/>
    <mergeCell ref="J49:K49"/>
    <mergeCell ref="L49:M49"/>
    <mergeCell ref="N49:O49"/>
    <mergeCell ref="P49:Q49"/>
    <mergeCell ref="R49:S49"/>
    <mergeCell ref="T49:U49"/>
    <mergeCell ref="V49:W49"/>
    <mergeCell ref="X49:Y49"/>
    <mergeCell ref="R48:S48"/>
    <mergeCell ref="T48:U48"/>
    <mergeCell ref="V48:W48"/>
    <mergeCell ref="X48:Y48"/>
    <mergeCell ref="Z48:AA48"/>
    <mergeCell ref="AB48:AC48"/>
    <mergeCell ref="F48:I48"/>
    <mergeCell ref="J48:K48"/>
    <mergeCell ref="L48:M48"/>
    <mergeCell ref="N48:O48"/>
    <mergeCell ref="P48:Q48"/>
    <mergeCell ref="V50:W50"/>
    <mergeCell ref="X50:Y50"/>
    <mergeCell ref="Z50:AA50"/>
    <mergeCell ref="AB50:AC50"/>
    <mergeCell ref="AD50:AE50"/>
    <mergeCell ref="A52:Z53"/>
    <mergeCell ref="Z49:AA49"/>
    <mergeCell ref="AB49:AC49"/>
    <mergeCell ref="AD49:AE49"/>
    <mergeCell ref="F50:I50"/>
    <mergeCell ref="J50:K50"/>
    <mergeCell ref="L50:M50"/>
    <mergeCell ref="N50:O50"/>
    <mergeCell ref="P50:Q50"/>
    <mergeCell ref="R50:S50"/>
    <mergeCell ref="T50:U50"/>
    <mergeCell ref="A48:E49"/>
  </mergeCells>
  <conditionalFormatting sqref="F12">
    <cfRule type="dataBar" priority="1">
      <dataBar>
        <cfvo type="min"/>
        <cfvo type="max"/>
        <color rgb="FF00B451"/>
      </dataBar>
      <extLst>
        <ext xmlns:x14="http://schemas.microsoft.com/office/spreadsheetml/2009/9/main" uri="{B025F937-C7B1-47D3-B67F-A62EFF666E3E}">
          <x14:id>{32F17D18-FB6A-4F05-8DA3-A360A8C61F3D}</x14:id>
        </ext>
      </extLst>
    </cfRule>
  </conditionalFormatting>
  <conditionalFormatting sqref="F18 F21 F24 F27 F30 F36 F39 F42 F45 F48">
    <cfRule type="dataBar" priority="3">
      <dataBar>
        <cfvo type="min"/>
        <cfvo type="max"/>
        <color rgb="FF00B451"/>
      </dataBar>
      <extLst>
        <ext xmlns:x14="http://schemas.microsoft.com/office/spreadsheetml/2009/9/main" uri="{B025F937-C7B1-47D3-B67F-A62EFF666E3E}">
          <x14:id>{EA99C692-25B7-4A15-9B4C-CEB95FE3B8D3}</x14:id>
        </ext>
      </extLst>
    </cfRule>
  </conditionalFormatting>
  <conditionalFormatting sqref="J12:AE12">
    <cfRule type="dataBar" priority="2">
      <dataBar>
        <cfvo type="min"/>
        <cfvo type="max"/>
        <color rgb="FF87BFA2"/>
      </dataBar>
      <extLst>
        <ext xmlns:x14="http://schemas.microsoft.com/office/spreadsheetml/2009/9/main" uri="{B025F937-C7B1-47D3-B67F-A62EFF666E3E}">
          <x14:id>{CD5EC6E0-A0ED-4150-9987-6216DFA6B136}</x14:id>
        </ext>
      </extLst>
    </cfRule>
  </conditionalFormatting>
  <conditionalFormatting sqref="J18:AE18 J21:AE21 J24:AE24 J27:AE27 J30:AE30 J36:AE36 J39:AE39 J42:AE42 J45:AE45 J48:AE48">
    <cfRule type="dataBar" priority="4">
      <dataBar>
        <cfvo type="min"/>
        <cfvo type="max"/>
        <color rgb="FF87BFA2"/>
      </dataBar>
      <extLst>
        <ext xmlns:x14="http://schemas.microsoft.com/office/spreadsheetml/2009/9/main" uri="{B025F937-C7B1-47D3-B67F-A62EFF666E3E}">
          <x14:id>{D5E3ED58-3965-4F14-8870-F076E5349255}</x14:id>
        </ext>
      </extLst>
    </cfRule>
  </conditionalFormatting>
  <pageMargins left="0.11811023622047245" right="0.11811023622047245" top="0.15748031496062992" bottom="0.35433070866141736" header="0" footer="0"/>
  <pageSetup scale="30" orientation="landscape"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dataBar" id="{32F17D18-FB6A-4F05-8DA3-A360A8C61F3D}">
            <x14:dataBar minLength="0" maxLength="100" gradient="0" axisPosition="middle">
              <x14:cfvo type="autoMin"/>
              <x14:cfvo type="autoMax"/>
              <x14:negativeFillColor rgb="FFFF0000"/>
              <x14:axisColor theme="0"/>
            </x14:dataBar>
          </x14:cfRule>
          <xm:sqref>F12</xm:sqref>
        </x14:conditionalFormatting>
        <x14:conditionalFormatting xmlns:xm="http://schemas.microsoft.com/office/excel/2006/main">
          <x14:cfRule type="dataBar" id="{EA99C692-25B7-4A15-9B4C-CEB95FE3B8D3}">
            <x14:dataBar minLength="0" maxLength="100" gradient="0" axisPosition="middle">
              <x14:cfvo type="autoMin"/>
              <x14:cfvo type="autoMax"/>
              <x14:negativeFillColor rgb="FFFF0000"/>
              <x14:axisColor theme="0"/>
            </x14:dataBar>
          </x14:cfRule>
          <xm:sqref>F18 F21 F24 F27 F30 F36 F39 F42 F45 F48</xm:sqref>
        </x14:conditionalFormatting>
        <x14:conditionalFormatting xmlns:xm="http://schemas.microsoft.com/office/excel/2006/main">
          <x14:cfRule type="dataBar" id="{CD5EC6E0-A0ED-4150-9987-6216DFA6B136}">
            <x14:dataBar minLength="0" maxLength="100" gradient="0" direction="leftToRight" axisPosition="middle">
              <x14:cfvo type="autoMin"/>
              <x14:cfvo type="autoMax"/>
              <x14:negativeFillColor theme="5" tint="0.39997558519241921"/>
              <x14:axisColor theme="0"/>
            </x14:dataBar>
          </x14:cfRule>
          <xm:sqref>J12:AE12</xm:sqref>
        </x14:conditionalFormatting>
        <x14:conditionalFormatting xmlns:xm="http://schemas.microsoft.com/office/excel/2006/main">
          <x14:cfRule type="dataBar" id="{D5E3ED58-3965-4F14-8870-F076E5349255}">
            <x14:dataBar minLength="0" maxLength="100" gradient="0" direction="leftToRight" axisPosition="middle">
              <x14:cfvo type="autoMin"/>
              <x14:cfvo type="autoMax"/>
              <x14:negativeFillColor theme="5" tint="0.39997558519241921"/>
              <x14:axisColor theme="0"/>
            </x14:dataBar>
          </x14:cfRule>
          <xm:sqref>J18:AE18 J21:AE21 J24:AE24 J27:AE27 J30:AE30 J36:AE36 J39:AE39 J42:AE42 J45:AE45 J48:AE48</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tabColor rgb="FFFF0000"/>
  </sheetPr>
  <dimension ref="A1:N38"/>
  <sheetViews>
    <sheetView workbookViewId="0"/>
  </sheetViews>
  <sheetFormatPr defaultRowHeight="15" x14ac:dyDescent="0.25"/>
  <sheetData>
    <row r="1" spans="1:14" x14ac:dyDescent="0.25">
      <c r="A1" t="s">
        <v>79</v>
      </c>
      <c r="B1" t="s">
        <v>370</v>
      </c>
      <c r="D1" t="s">
        <v>371</v>
      </c>
      <c r="E1" t="s">
        <v>372</v>
      </c>
      <c r="F1" t="s">
        <v>373</v>
      </c>
      <c r="G1" t="s">
        <v>374</v>
      </c>
      <c r="H1" t="s">
        <v>375</v>
      </c>
      <c r="I1" t="s">
        <v>376</v>
      </c>
      <c r="J1" t="s">
        <v>377</v>
      </c>
      <c r="K1" t="s">
        <v>378</v>
      </c>
      <c r="L1" t="s">
        <v>379</v>
      </c>
      <c r="M1" t="s">
        <v>380</v>
      </c>
      <c r="N1" t="s">
        <v>381</v>
      </c>
    </row>
    <row r="2" spans="1:14" x14ac:dyDescent="0.25">
      <c r="A2" t="s">
        <v>323</v>
      </c>
      <c r="B2">
        <v>31198.35722862052</v>
      </c>
      <c r="D2">
        <v>-2.3162115065886622</v>
      </c>
      <c r="E2">
        <v>-3.6575161695336194</v>
      </c>
      <c r="F2">
        <v>-1.3704074788871368</v>
      </c>
      <c r="G2">
        <v>-7.3918502905041965</v>
      </c>
      <c r="H2">
        <v>0.10378864304310489</v>
      </c>
      <c r="I2">
        <v>0.35222972754221288</v>
      </c>
      <c r="J2">
        <v>0.5524746573980337</v>
      </c>
      <c r="K2">
        <v>-1.1322260904216852</v>
      </c>
      <c r="L2">
        <v>-0.13101092684486487</v>
      </c>
      <c r="M2">
        <v>-0.61921468416905534</v>
      </c>
      <c r="N2">
        <v>1.962919386671276</v>
      </c>
    </row>
    <row r="3" spans="1:14" x14ac:dyDescent="0.25">
      <c r="A3" t="s">
        <v>324</v>
      </c>
      <c r="B3">
        <v>3838.285109837846</v>
      </c>
      <c r="D3">
        <v>-7.8368494641738087</v>
      </c>
      <c r="E3">
        <v>-5.5819151450637197</v>
      </c>
      <c r="F3">
        <v>-2.3661468880924654</v>
      </c>
      <c r="G3">
        <v>-8.6444406835236638</v>
      </c>
      <c r="H3">
        <v>-3.952085567908687</v>
      </c>
      <c r="I3">
        <v>-1.6919120590381127</v>
      </c>
      <c r="J3">
        <v>-2.2353650361554345</v>
      </c>
      <c r="K3">
        <v>-1.6731249200523914</v>
      </c>
      <c r="L3">
        <v>-1.5928982033935848</v>
      </c>
      <c r="M3">
        <v>-2.9249690791846397</v>
      </c>
      <c r="N3">
        <v>-1.1990010182602795</v>
      </c>
    </row>
    <row r="4" spans="1:14" x14ac:dyDescent="0.25">
      <c r="A4" t="s">
        <v>313</v>
      </c>
      <c r="B4">
        <v>16485.661129035099</v>
      </c>
      <c r="D4">
        <v>-1.4174461635030169</v>
      </c>
      <c r="E4">
        <v>5.2678977753565928</v>
      </c>
      <c r="F4">
        <v>0.6266059812649285</v>
      </c>
      <c r="G4">
        <v>2.2365512645418804</v>
      </c>
      <c r="H4">
        <v>1.8978828463258122</v>
      </c>
      <c r="I4">
        <v>1.8105258439095999</v>
      </c>
      <c r="J4">
        <v>1.1152232429150959</v>
      </c>
      <c r="K4">
        <v>-0.33130674251521841</v>
      </c>
      <c r="L4">
        <v>1.0313222467726286</v>
      </c>
      <c r="M4">
        <v>4.5725567892793633</v>
      </c>
      <c r="N4">
        <v>1.2564126743901682</v>
      </c>
    </row>
    <row r="5" spans="1:14" x14ac:dyDescent="0.25">
      <c r="A5" t="s">
        <v>325</v>
      </c>
      <c r="B5">
        <v>22527.33881712849</v>
      </c>
      <c r="D5">
        <v>-4.736098347423721</v>
      </c>
      <c r="E5">
        <v>1.138675879902292</v>
      </c>
      <c r="F5">
        <v>-0.6551164501332426</v>
      </c>
      <c r="G5">
        <v>-0.64863475292000206</v>
      </c>
      <c r="H5">
        <v>-0.64830029318482385</v>
      </c>
      <c r="I5">
        <v>0.24844020027383998</v>
      </c>
      <c r="J5">
        <v>-3.369968670502313E-2</v>
      </c>
      <c r="K5">
        <v>0.19872329001080943</v>
      </c>
      <c r="L5">
        <v>0.37184320575909346</v>
      </c>
      <c r="M5">
        <v>1.7075245245409831</v>
      </c>
      <c r="N5">
        <v>0.73858070521555175</v>
      </c>
    </row>
    <row r="6" spans="1:14" x14ac:dyDescent="0.25">
      <c r="A6" t="s">
        <v>326</v>
      </c>
      <c r="B6">
        <v>747.08538114854241</v>
      </c>
      <c r="D6">
        <v>-1.0174037789582078</v>
      </c>
      <c r="E6">
        <v>1.8464346710418587</v>
      </c>
      <c r="F6">
        <v>-0.43999281266461571</v>
      </c>
      <c r="G6">
        <v>-0.26513663845348823</v>
      </c>
      <c r="H6">
        <v>0.34499082538928028</v>
      </c>
      <c r="I6">
        <v>0.23085966271019842</v>
      </c>
      <c r="J6">
        <v>0.11862182221846868</v>
      </c>
      <c r="K6">
        <v>0.10499803646368043</v>
      </c>
      <c r="L6">
        <v>0.31372908590286952</v>
      </c>
      <c r="M6">
        <v>0.60465087725231637</v>
      </c>
      <c r="N6">
        <v>0.64585530269753777</v>
      </c>
    </row>
    <row r="7" spans="1:14" x14ac:dyDescent="0.25">
      <c r="A7" t="s">
        <v>327</v>
      </c>
      <c r="B7">
        <v>23161.392028527476</v>
      </c>
      <c r="D7">
        <v>-2.1831333251232081</v>
      </c>
      <c r="E7">
        <v>1.9625123545860466</v>
      </c>
      <c r="F7">
        <v>-0.85442118164651748</v>
      </c>
      <c r="G7">
        <v>-0.59283785800123989</v>
      </c>
      <c r="H7">
        <v>0.24273165604619792</v>
      </c>
      <c r="I7">
        <v>7.8460621772624584E-2</v>
      </c>
      <c r="J7">
        <v>5.3263406191281617E-3</v>
      </c>
      <c r="K7">
        <v>-2.6407121917660821E-2</v>
      </c>
      <c r="L7">
        <v>0.36897890638106878</v>
      </c>
      <c r="M7">
        <v>0.71075525955109109</v>
      </c>
      <c r="N7">
        <v>0.80688755864084527</v>
      </c>
    </row>
    <row r="8" spans="1:14" x14ac:dyDescent="0.25">
      <c r="A8" t="s">
        <v>328</v>
      </c>
      <c r="B8">
        <v>50884.559134344614</v>
      </c>
      <c r="D8">
        <v>-0.51919864491831291</v>
      </c>
      <c r="E8">
        <v>2.0928679145780267</v>
      </c>
      <c r="F8">
        <v>-0.34441473772176179</v>
      </c>
      <c r="G8">
        <v>-1.9223184201519108</v>
      </c>
      <c r="H8">
        <v>-0.31047240862353387</v>
      </c>
      <c r="I8">
        <v>0.60227287999995671</v>
      </c>
      <c r="J8">
        <v>-9.4085841158735514E-2</v>
      </c>
      <c r="K8">
        <v>0.54290593685576949</v>
      </c>
      <c r="L8">
        <v>5.7438687253116204E-2</v>
      </c>
      <c r="M8">
        <v>7.4532460279086513E-2</v>
      </c>
      <c r="N8">
        <v>1.2003748241040351</v>
      </c>
    </row>
    <row r="9" spans="1:14" x14ac:dyDescent="0.25">
      <c r="A9" t="s">
        <v>329</v>
      </c>
      <c r="B9">
        <v>3124.1514888606616</v>
      </c>
      <c r="D9">
        <v>-2.5271578608339786</v>
      </c>
      <c r="E9">
        <v>4.7879735983392919</v>
      </c>
      <c r="F9">
        <v>0.24266898043835217</v>
      </c>
      <c r="G9">
        <v>0.55152881799640718</v>
      </c>
      <c r="H9">
        <v>0.66232717379382233</v>
      </c>
      <c r="I9">
        <v>1.0966304977236427</v>
      </c>
      <c r="J9">
        <v>0.460656935845497</v>
      </c>
      <c r="K9">
        <v>0.18319436623865598</v>
      </c>
      <c r="L9">
        <v>0.64448857710272722</v>
      </c>
      <c r="M9">
        <v>2.848092195138082</v>
      </c>
      <c r="N9">
        <v>0.87400430470255352</v>
      </c>
    </row>
    <row r="10" spans="1:14" x14ac:dyDescent="0.25">
      <c r="A10" t="s">
        <v>330</v>
      </c>
      <c r="B10">
        <v>6321.6726934408507</v>
      </c>
      <c r="D10">
        <v>16.585314486238453</v>
      </c>
      <c r="E10">
        <v>1.8251413367193556</v>
      </c>
      <c r="F10">
        <v>2.7598746092867423</v>
      </c>
      <c r="G10">
        <v>9.2817981261853433</v>
      </c>
      <c r="H10">
        <v>4.7450895209706543</v>
      </c>
      <c r="I10">
        <v>0.69173986326473291</v>
      </c>
      <c r="J10">
        <v>2.2939355299614603</v>
      </c>
      <c r="K10">
        <v>1.7454554482116533</v>
      </c>
      <c r="L10">
        <v>0.71072679475250078</v>
      </c>
      <c r="M10">
        <v>-1.5587522525899025</v>
      </c>
      <c r="N10">
        <v>0.44879548993154517</v>
      </c>
    </row>
    <row r="11" spans="1:14" x14ac:dyDescent="0.25">
      <c r="A11" t="s">
        <v>312</v>
      </c>
      <c r="B11">
        <v>26002.025632982382</v>
      </c>
      <c r="D11">
        <v>8.1157105699435341</v>
      </c>
      <c r="E11">
        <v>3.7540404332430564</v>
      </c>
      <c r="F11">
        <v>0.9077649718302272</v>
      </c>
      <c r="G11">
        <v>-0.15788223481549871</v>
      </c>
      <c r="H11">
        <v>1.5997601799792831</v>
      </c>
      <c r="I11">
        <v>0.94603542857411804</v>
      </c>
      <c r="J11">
        <v>0.82777612405375622</v>
      </c>
      <c r="K11">
        <v>1.7948098014596987</v>
      </c>
      <c r="L11">
        <v>0.16499677306680852</v>
      </c>
      <c r="M11">
        <v>-2.1274732421877425</v>
      </c>
      <c r="N11">
        <v>0.88992654472700294</v>
      </c>
    </row>
    <row r="12" spans="1:14" x14ac:dyDescent="0.25">
      <c r="A12" t="s">
        <v>331</v>
      </c>
      <c r="B12">
        <v>19781.361566591197</v>
      </c>
      <c r="D12">
        <v>-8.2073801096250456</v>
      </c>
      <c r="E12">
        <v>-1.4177735316120419</v>
      </c>
      <c r="F12">
        <v>-1.2213436762850329</v>
      </c>
      <c r="G12">
        <v>4.4549492002569941</v>
      </c>
      <c r="H12">
        <v>0.73368969356396563</v>
      </c>
      <c r="I12">
        <v>-0.61580068358163764</v>
      </c>
      <c r="J12">
        <v>1.1624338368573888</v>
      </c>
      <c r="K12">
        <v>0.1482926874100467</v>
      </c>
      <c r="L12">
        <v>0.77394104360481719</v>
      </c>
      <c r="M12">
        <v>2.6735500199877311</v>
      </c>
      <c r="N12">
        <v>2.1209852541059657</v>
      </c>
    </row>
    <row r="13" spans="1:14" x14ac:dyDescent="0.25">
      <c r="A13" t="s">
        <v>311</v>
      </c>
      <c r="B13">
        <v>93802.81485468919</v>
      </c>
      <c r="D13">
        <v>1.0175125481157885</v>
      </c>
      <c r="E13">
        <v>3.7457405915474591</v>
      </c>
      <c r="F13">
        <v>-2.6860976907452348E-2</v>
      </c>
      <c r="G13">
        <v>-0.23266343349574686</v>
      </c>
      <c r="H13">
        <v>0.28982903640034302</v>
      </c>
      <c r="I13">
        <v>1.0862478956916608</v>
      </c>
      <c r="J13">
        <v>0.28834848789615092</v>
      </c>
      <c r="K13">
        <v>1.2438390403183881</v>
      </c>
      <c r="L13">
        <v>0.4317955609218706</v>
      </c>
      <c r="M13">
        <v>0.70671218176135164</v>
      </c>
      <c r="N13">
        <v>2.196880387862747</v>
      </c>
    </row>
    <row r="14" spans="1:14" x14ac:dyDescent="0.25">
      <c r="A14" t="s">
        <v>309</v>
      </c>
      <c r="B14">
        <v>19130.169420027178</v>
      </c>
      <c r="D14">
        <v>13.692151849945285</v>
      </c>
      <c r="E14">
        <v>10.361396532075137</v>
      </c>
      <c r="F14">
        <v>2.8606597281145216</v>
      </c>
      <c r="G14">
        <v>8.6059911146773587</v>
      </c>
      <c r="H14">
        <v>3.0239808752281951</v>
      </c>
      <c r="I14">
        <v>2.2296692458913343</v>
      </c>
      <c r="J14">
        <v>1.262772663014565</v>
      </c>
      <c r="K14">
        <v>3.5428099547876375</v>
      </c>
      <c r="L14">
        <v>1.3075660801916471</v>
      </c>
      <c r="M14">
        <v>1.3421773095345124</v>
      </c>
      <c r="N14">
        <v>3.3842179356577105</v>
      </c>
    </row>
    <row r="15" spans="1:14" x14ac:dyDescent="0.25">
      <c r="A15" t="s">
        <v>332</v>
      </c>
      <c r="B15">
        <v>62542.63962297565</v>
      </c>
      <c r="D15">
        <v>-8.5407693718941058</v>
      </c>
      <c r="E15">
        <v>-3.7061860266015474</v>
      </c>
      <c r="F15">
        <v>-2.1967571503944363</v>
      </c>
      <c r="G15">
        <v>-2.8714654422863526</v>
      </c>
      <c r="H15">
        <v>-2.7543282952983184</v>
      </c>
      <c r="I15">
        <v>-0.91610062353016786</v>
      </c>
      <c r="J15">
        <v>-0.73111112043249382</v>
      </c>
      <c r="K15">
        <v>0.60845341461120228</v>
      </c>
      <c r="L15">
        <v>6.5857221743746266E-2</v>
      </c>
      <c r="M15">
        <v>-1.7452605892968936E-3</v>
      </c>
      <c r="N15">
        <v>0.90514379753641783</v>
      </c>
    </row>
    <row r="16" spans="1:14" x14ac:dyDescent="0.25">
      <c r="A16" t="s">
        <v>333</v>
      </c>
      <c r="B16">
        <v>29943.734177995662</v>
      </c>
      <c r="D16">
        <v>-2.4646238742764086</v>
      </c>
      <c r="E16">
        <v>1.0398313340958263</v>
      </c>
      <c r="F16">
        <v>0.48478952192603769</v>
      </c>
      <c r="G16">
        <v>-0.27728073354036165</v>
      </c>
      <c r="H16">
        <v>0.7376387526902638</v>
      </c>
      <c r="I16">
        <v>0.4899028634790446</v>
      </c>
      <c r="J16">
        <v>0.65713939193117521</v>
      </c>
      <c r="K16">
        <v>-0.30640869843803015</v>
      </c>
      <c r="L16">
        <v>-0.20205640705037636</v>
      </c>
      <c r="M16">
        <v>1.1550334906404789</v>
      </c>
      <c r="N16">
        <v>0.56367992199254457</v>
      </c>
    </row>
    <row r="17" spans="1:14" x14ac:dyDescent="0.25">
      <c r="A17" t="s">
        <v>334</v>
      </c>
      <c r="B17">
        <v>79690.284301623789</v>
      </c>
      <c r="D17">
        <v>-0.21851723461009842</v>
      </c>
      <c r="E17">
        <v>1.1898726046449666</v>
      </c>
      <c r="F17">
        <v>5.2004545207866709E-2</v>
      </c>
      <c r="G17">
        <v>0.85148200020866338</v>
      </c>
      <c r="H17">
        <v>0.94320458886788117</v>
      </c>
      <c r="I17">
        <v>0.73522500156573223</v>
      </c>
      <c r="J17">
        <v>0.81439033148240403</v>
      </c>
      <c r="K17">
        <v>0.30557553230380213</v>
      </c>
      <c r="L17">
        <v>0.60817157330192173</v>
      </c>
      <c r="M17">
        <v>1.4242825025536849</v>
      </c>
      <c r="N17">
        <v>0.54724052833041126</v>
      </c>
    </row>
    <row r="18" spans="1:14" x14ac:dyDescent="0.25">
      <c r="A18" t="s">
        <v>335</v>
      </c>
      <c r="B18">
        <v>21319.734461061991</v>
      </c>
      <c r="D18">
        <v>0.51553244627424633</v>
      </c>
      <c r="E18">
        <v>3.7914456338660223</v>
      </c>
      <c r="F18">
        <v>0.17687104817334826</v>
      </c>
      <c r="G18">
        <v>-0.60805879249501316</v>
      </c>
      <c r="H18">
        <v>-6.1011375519492407E-2</v>
      </c>
      <c r="I18">
        <v>0.76083882865021435</v>
      </c>
      <c r="J18">
        <v>0.16523596129316595</v>
      </c>
      <c r="K18">
        <v>1.4181798927724087</v>
      </c>
      <c r="L18">
        <v>0.45460964919881358</v>
      </c>
      <c r="M18">
        <v>0.34583188291876871</v>
      </c>
      <c r="N18">
        <v>0.73233412748495463</v>
      </c>
    </row>
    <row r="19" spans="1:14" x14ac:dyDescent="0.25">
      <c r="A19" t="s">
        <v>336</v>
      </c>
      <c r="B19">
        <v>17445.328407307516</v>
      </c>
      <c r="D19">
        <v>-6.0309200396127505</v>
      </c>
      <c r="E19">
        <v>-2.8754147758520565</v>
      </c>
      <c r="F19">
        <v>-1.4396236508875253</v>
      </c>
      <c r="G19">
        <v>-2.4780816507063985</v>
      </c>
      <c r="H19">
        <v>-0.75482571789015485</v>
      </c>
      <c r="I19">
        <v>-0.27877810524166119</v>
      </c>
      <c r="J19">
        <v>5.0682553351037996E-2</v>
      </c>
      <c r="K19">
        <v>-0.80211621749606887</v>
      </c>
      <c r="L19">
        <v>-4.982628827907014E-4</v>
      </c>
      <c r="M19">
        <v>0.70622930538373174</v>
      </c>
      <c r="N19">
        <v>0.20936444276679042</v>
      </c>
    </row>
    <row r="20" spans="1:14" x14ac:dyDescent="0.25">
      <c r="A20" t="s">
        <v>307</v>
      </c>
      <c r="B20">
        <v>29539.219988021599</v>
      </c>
      <c r="D20">
        <v>-16.977619762744329</v>
      </c>
      <c r="E20">
        <v>-11.838912091075446</v>
      </c>
      <c r="F20">
        <v>-4.7514883139514357</v>
      </c>
      <c r="G20">
        <v>-7.5121472741717561</v>
      </c>
      <c r="H20">
        <v>-5.4571407738563833</v>
      </c>
      <c r="I20">
        <v>-2.7260680580995862</v>
      </c>
      <c r="J20">
        <v>-1.9894528564475957</v>
      </c>
      <c r="K20">
        <v>-1.6232624351017801</v>
      </c>
      <c r="L20">
        <v>-0.99289453574083641</v>
      </c>
      <c r="M20">
        <v>-1.0988992592152995</v>
      </c>
      <c r="N20">
        <v>0.52770228562540344</v>
      </c>
    </row>
    <row r="21" spans="1:14" x14ac:dyDescent="0.25">
      <c r="A21" t="s">
        <v>337</v>
      </c>
      <c r="B21">
        <v>15186.526433867344</v>
      </c>
      <c r="D21">
        <v>-11.195901784560053</v>
      </c>
      <c r="E21">
        <v>-7.2088594895851887</v>
      </c>
      <c r="F21">
        <v>-3.707237742358954</v>
      </c>
      <c r="G21">
        <v>-3.3343309585217544</v>
      </c>
      <c r="H21">
        <v>-3.1258403573455067</v>
      </c>
      <c r="I21">
        <v>-3.2731405224161221</v>
      </c>
      <c r="J21">
        <v>-2.1878496864122039</v>
      </c>
      <c r="K21">
        <v>-2.3753221779039864</v>
      </c>
      <c r="L21">
        <v>-0.76868295779815266</v>
      </c>
      <c r="M21">
        <v>-1.4819288819841772</v>
      </c>
      <c r="N21">
        <v>-0.91281200259418671</v>
      </c>
    </row>
    <row r="22" spans="1:14" x14ac:dyDescent="0.25">
      <c r="A22" t="s">
        <v>338</v>
      </c>
      <c r="B22">
        <v>34666.752021358341</v>
      </c>
      <c r="D22">
        <v>-10.30476682862669</v>
      </c>
      <c r="E22">
        <v>-0.3730368971865638</v>
      </c>
      <c r="F22">
        <v>-1.6838420345536615</v>
      </c>
      <c r="G22">
        <v>-2.1335229359486076</v>
      </c>
      <c r="H22">
        <v>-2.2704967170163797</v>
      </c>
      <c r="I22">
        <v>-0.48510618739915179</v>
      </c>
      <c r="J22">
        <v>-0.70417991447371597</v>
      </c>
      <c r="K22">
        <v>-1.2494807558365864E-2</v>
      </c>
      <c r="L22">
        <v>0.20961009993323382</v>
      </c>
      <c r="M22">
        <v>2.0113609885541277</v>
      </c>
      <c r="N22">
        <v>0.68918311074142224</v>
      </c>
    </row>
    <row r="23" spans="1:14" x14ac:dyDescent="0.25">
      <c r="A23" t="s">
        <v>339</v>
      </c>
      <c r="B23">
        <v>48163.025106975991</v>
      </c>
      <c r="D23">
        <v>3.1687843023896272</v>
      </c>
      <c r="E23">
        <v>4.2827415836441967</v>
      </c>
      <c r="F23">
        <v>0.80275261501197359</v>
      </c>
      <c r="G23">
        <v>1.3338655434380029</v>
      </c>
      <c r="H23">
        <v>1.9509595117974818</v>
      </c>
      <c r="I23">
        <v>1.3996459624556994</v>
      </c>
      <c r="J23">
        <v>1.0485899264000105</v>
      </c>
      <c r="K23">
        <v>0.46085337934397969</v>
      </c>
      <c r="L23">
        <v>0.59879158835121871</v>
      </c>
      <c r="M23">
        <v>1.4353528712941319</v>
      </c>
      <c r="N23">
        <v>1.0537170000246292</v>
      </c>
    </row>
    <row r="24" spans="1:14" x14ac:dyDescent="0.25">
      <c r="A24" t="s">
        <v>340</v>
      </c>
      <c r="B24">
        <v>7057.7308237002508</v>
      </c>
      <c r="D24">
        <v>-1.2809705702240619E-2</v>
      </c>
      <c r="E24">
        <v>1.5550253944176953</v>
      </c>
      <c r="F24">
        <v>0.16416084616718182</v>
      </c>
      <c r="G24">
        <v>-1.8480382850421813</v>
      </c>
      <c r="H24">
        <v>0.42892655740373214</v>
      </c>
      <c r="I24">
        <v>0.43049161938401426</v>
      </c>
      <c r="J24">
        <v>0.2006260133922351</v>
      </c>
      <c r="K24">
        <v>-0.35381593033517211</v>
      </c>
      <c r="L24">
        <v>-2.0820146892210907E-2</v>
      </c>
      <c r="M24">
        <v>0.11490165912481529</v>
      </c>
      <c r="N24">
        <v>-0.73264088250035808</v>
      </c>
    </row>
    <row r="25" spans="1:14" x14ac:dyDescent="0.25">
      <c r="A25" t="s">
        <v>341</v>
      </c>
      <c r="B25">
        <v>612.3337946567392</v>
      </c>
      <c r="D25">
        <v>-12.537968275147522</v>
      </c>
      <c r="E25">
        <v>-9.1200007126399694</v>
      </c>
      <c r="F25">
        <v>-3.5747142018442659</v>
      </c>
      <c r="G25">
        <v>-7.6120140886997891</v>
      </c>
      <c r="H25">
        <v>-4.299803979267466</v>
      </c>
      <c r="I25">
        <v>-2.12084464273503</v>
      </c>
      <c r="J25">
        <v>-1.8782169227399705</v>
      </c>
      <c r="K25">
        <v>-1.9508288438789056</v>
      </c>
      <c r="L25">
        <v>-1.2404076188234707</v>
      </c>
      <c r="M25">
        <v>-1.6355197867162823</v>
      </c>
      <c r="N25">
        <v>-0.15866768505998344</v>
      </c>
    </row>
    <row r="26" spans="1:14" x14ac:dyDescent="0.25">
      <c r="A26" t="s">
        <v>310</v>
      </c>
      <c r="B26">
        <v>20217.776167760065</v>
      </c>
      <c r="D26">
        <v>2.4805566088725683</v>
      </c>
      <c r="E26">
        <v>0.13329428919129555</v>
      </c>
      <c r="F26">
        <v>0.18812061719307077</v>
      </c>
      <c r="G26">
        <v>-0.38216061774011606</v>
      </c>
      <c r="H26">
        <v>0.55677259562836989</v>
      </c>
      <c r="I26">
        <v>-1.2249587583106958E-2</v>
      </c>
      <c r="J26">
        <v>0.33062414675205848</v>
      </c>
      <c r="K26">
        <v>0.42006492124208067</v>
      </c>
      <c r="L26">
        <v>0.2958612213969658</v>
      </c>
      <c r="M26">
        <v>-0.61323163503026223</v>
      </c>
      <c r="N26">
        <v>0.43980234415279118</v>
      </c>
    </row>
    <row r="27" spans="1:14" x14ac:dyDescent="0.25">
      <c r="A27" t="s">
        <v>305</v>
      </c>
      <c r="B27">
        <v>24519.222596544671</v>
      </c>
      <c r="D27">
        <v>-23.790872445042407</v>
      </c>
      <c r="E27">
        <v>-11.81770826487192</v>
      </c>
      <c r="F27">
        <v>-5.0703637247444595</v>
      </c>
      <c r="G27">
        <v>-4.6811003572911458</v>
      </c>
      <c r="H27">
        <v>-7.0528825004414815</v>
      </c>
      <c r="I27">
        <v>-3.1157384119114937</v>
      </c>
      <c r="J27">
        <v>-2.5716397596816423</v>
      </c>
      <c r="K27">
        <v>-1.7613745190526677</v>
      </c>
      <c r="L27">
        <v>-0.22818451463227635</v>
      </c>
      <c r="M27">
        <v>3.0979988688759716</v>
      </c>
      <c r="N27">
        <v>2.8230378647028254E-2</v>
      </c>
    </row>
    <row r="28" spans="1:14" x14ac:dyDescent="0.25">
      <c r="A28" t="s">
        <v>342</v>
      </c>
      <c r="B28">
        <v>26503.264412856246</v>
      </c>
      <c r="D28">
        <v>-16.879502644044148</v>
      </c>
      <c r="E28">
        <v>-8.5193266303453594</v>
      </c>
      <c r="F28">
        <v>-4.4265950918537582</v>
      </c>
      <c r="G28">
        <v>-2.1894985184044704</v>
      </c>
      <c r="H28">
        <v>-4.1492299716576122</v>
      </c>
      <c r="I28">
        <v>-2.8373036559940381</v>
      </c>
      <c r="J28">
        <v>-2.3252195474876975</v>
      </c>
      <c r="K28">
        <v>-3.0934758921549279</v>
      </c>
      <c r="L28">
        <v>-1.1603701184528736</v>
      </c>
      <c r="M28">
        <v>0.54616445082560439</v>
      </c>
      <c r="N28">
        <v>-0.86863254144673596</v>
      </c>
    </row>
    <row r="29" spans="1:14" x14ac:dyDescent="0.25">
      <c r="A29" t="s">
        <v>343</v>
      </c>
      <c r="B29">
        <v>37762.458905684369</v>
      </c>
      <c r="D29">
        <v>3.8192866004023598</v>
      </c>
      <c r="E29">
        <v>4.6933396551667093</v>
      </c>
      <c r="F29">
        <v>2.0766351804587018</v>
      </c>
      <c r="G29">
        <v>14.330503604504656</v>
      </c>
      <c r="H29">
        <v>3.0753883768675738</v>
      </c>
      <c r="I29">
        <v>1.3304876984461198</v>
      </c>
      <c r="J29">
        <v>1.9653405737041629</v>
      </c>
      <c r="K29">
        <v>2.0517321374932727</v>
      </c>
      <c r="L29">
        <v>2.226305598198532</v>
      </c>
      <c r="M29">
        <v>5.8585453991546164</v>
      </c>
      <c r="N29">
        <v>2.4679326841070597</v>
      </c>
    </row>
    <row r="30" spans="1:14" x14ac:dyDescent="0.25">
      <c r="A30" t="s">
        <v>306</v>
      </c>
      <c r="B30">
        <v>8686.6099113325399</v>
      </c>
      <c r="D30">
        <v>-22.480781925735812</v>
      </c>
      <c r="E30">
        <v>-26.684503637185941</v>
      </c>
      <c r="F30">
        <v>-7.9984564303591066</v>
      </c>
      <c r="G30">
        <v>-8.507815522386597</v>
      </c>
      <c r="H30">
        <v>-7.5970197633444698</v>
      </c>
      <c r="I30">
        <v>-7.5670559385438514</v>
      </c>
      <c r="J30">
        <v>-3.5451570564127977</v>
      </c>
      <c r="K30">
        <v>-4.5800419162435357</v>
      </c>
      <c r="L30">
        <v>-2.7795679690313913</v>
      </c>
      <c r="M30">
        <v>-6.1479653830193159</v>
      </c>
      <c r="N30">
        <v>-1.2212106026756813</v>
      </c>
    </row>
    <row r="31" spans="1:14" x14ac:dyDescent="0.25">
      <c r="A31" t="s">
        <v>344</v>
      </c>
      <c r="B31">
        <v>24542.567512496196</v>
      </c>
      <c r="D31">
        <v>-0.26651720492280556</v>
      </c>
      <c r="E31">
        <v>2.1776852793401167</v>
      </c>
      <c r="F31">
        <v>0.2104801161455796</v>
      </c>
      <c r="G31">
        <v>0.60596404846732588</v>
      </c>
      <c r="H31">
        <v>0.35446015579543921</v>
      </c>
      <c r="I31">
        <v>0.66098482356634725</v>
      </c>
      <c r="J31">
        <v>0.21005599117818727</v>
      </c>
      <c r="K31">
        <v>0.17699616511325703</v>
      </c>
      <c r="L31">
        <v>0.12263823555487514</v>
      </c>
      <c r="M31">
        <v>0.96846386039009724</v>
      </c>
      <c r="N31">
        <v>0.25192940590554563</v>
      </c>
    </row>
    <row r="32" spans="1:14" x14ac:dyDescent="0.25">
      <c r="A32" t="s">
        <v>345</v>
      </c>
      <c r="B32">
        <v>54899.402093362791</v>
      </c>
      <c r="D32">
        <v>2.2779143186529094</v>
      </c>
      <c r="E32">
        <v>-17.907609047900781</v>
      </c>
      <c r="F32">
        <v>-3.4222911136872529</v>
      </c>
      <c r="G32">
        <v>2.3505210300520112</v>
      </c>
      <c r="H32">
        <v>-1.346538903503633</v>
      </c>
      <c r="I32">
        <v>-3.662776822609946</v>
      </c>
      <c r="J32">
        <v>6.8510603603584144E-2</v>
      </c>
      <c r="K32">
        <v>0.75085006217947503</v>
      </c>
      <c r="L32">
        <v>-1.3056845433300475</v>
      </c>
      <c r="M32">
        <v>-7.6864085235347197</v>
      </c>
      <c r="N32">
        <v>4.0745155514986138</v>
      </c>
    </row>
    <row r="33" spans="1:14" x14ac:dyDescent="0.25">
      <c r="A33" t="s">
        <v>308</v>
      </c>
      <c r="B33">
        <v>12214.833755816248</v>
      </c>
      <c r="D33">
        <v>-22.023036649229113</v>
      </c>
      <c r="E33">
        <v>-12.305298847103748</v>
      </c>
      <c r="F33">
        <v>-7.3312915726993149</v>
      </c>
      <c r="G33">
        <v>-7.5699808954907466</v>
      </c>
      <c r="H33">
        <v>-7.1881349389475506</v>
      </c>
      <c r="I33">
        <v>-5.3643522202020755</v>
      </c>
      <c r="J33">
        <v>-3.8341475083106547</v>
      </c>
      <c r="K33">
        <v>-2.1782198990995756</v>
      </c>
      <c r="L33">
        <v>-0.9044658423210965</v>
      </c>
      <c r="M33">
        <v>-2.5962676454907765</v>
      </c>
      <c r="N33">
        <v>-0.18303597640621741</v>
      </c>
    </row>
    <row r="34" spans="1:14" x14ac:dyDescent="0.25">
      <c r="A34" t="s">
        <v>346</v>
      </c>
      <c r="B34">
        <v>9954.0528455700696</v>
      </c>
      <c r="D34">
        <v>-6.1536363234372757</v>
      </c>
      <c r="E34">
        <v>7.8979344929382886</v>
      </c>
      <c r="F34">
        <v>0.14767799738119547</v>
      </c>
      <c r="G34">
        <v>1.1257224853625756</v>
      </c>
      <c r="H34">
        <v>0.36980657789647703</v>
      </c>
      <c r="I34">
        <v>2.088099740634306</v>
      </c>
      <c r="J34">
        <v>0.61985574392218312</v>
      </c>
      <c r="K34">
        <v>0.57483155436714983</v>
      </c>
      <c r="L34">
        <v>1.5068268245297769</v>
      </c>
      <c r="M34">
        <v>6.3148854249165431</v>
      </c>
      <c r="N34">
        <v>1.5937564960077273</v>
      </c>
    </row>
    <row r="35" spans="1:14" x14ac:dyDescent="0.25">
      <c r="A35" t="s">
        <v>304</v>
      </c>
      <c r="B35">
        <v>7746.3136314202911</v>
      </c>
      <c r="D35">
        <v>-42.28932457139117</v>
      </c>
      <c r="E35">
        <v>-23.438739688260057</v>
      </c>
      <c r="F35">
        <v>-11.380305382180246</v>
      </c>
      <c r="G35">
        <v>-28.416508124618026</v>
      </c>
      <c r="H35">
        <v>-7.3458459597908004</v>
      </c>
      <c r="I35">
        <v>-4.52793397762842</v>
      </c>
      <c r="J35">
        <v>-0.43973022839189502</v>
      </c>
      <c r="K35">
        <v>-8.6402481033416763</v>
      </c>
      <c r="L35">
        <v>1.2219324148761403</v>
      </c>
      <c r="M35">
        <v>5.5218058657832101</v>
      </c>
      <c r="N35">
        <v>-2.8024160161237313</v>
      </c>
    </row>
    <row r="36" spans="1:14" x14ac:dyDescent="0.25">
      <c r="A36" t="s">
        <v>347</v>
      </c>
      <c r="B36">
        <v>35329.347545007142</v>
      </c>
      <c r="D36">
        <v>3.5099138351966426</v>
      </c>
      <c r="E36">
        <v>-2.5664638850209731</v>
      </c>
      <c r="F36">
        <v>-0.49956893856940587</v>
      </c>
      <c r="G36">
        <v>0.26962967197216853</v>
      </c>
      <c r="H36">
        <v>0.57254869866949876</v>
      </c>
      <c r="I36">
        <v>0.40988315175725626</v>
      </c>
      <c r="J36">
        <v>0.61887821350145356</v>
      </c>
      <c r="K36">
        <v>0.70934723239848119</v>
      </c>
      <c r="L36">
        <v>-0.37912509398912941</v>
      </c>
      <c r="M36">
        <v>-2.0773846805142098</v>
      </c>
      <c r="N36">
        <v>0.8609299296803834</v>
      </c>
    </row>
    <row r="37" spans="1:14" x14ac:dyDescent="0.25">
      <c r="A37" t="s">
        <v>348</v>
      </c>
      <c r="B37">
        <v>38637.021069899325</v>
      </c>
      <c r="D37">
        <v>-7.0628324332511943</v>
      </c>
      <c r="E37">
        <v>-4.0549154319849974</v>
      </c>
      <c r="F37">
        <v>-2.0315947432031805</v>
      </c>
      <c r="G37">
        <v>-4.5053065581845111</v>
      </c>
      <c r="H37">
        <v>-1.3612016134440201</v>
      </c>
      <c r="I37">
        <v>-0.42684611148366425</v>
      </c>
      <c r="J37">
        <v>-0.42520530201255857</v>
      </c>
      <c r="K37">
        <v>-1.4624458137414531</v>
      </c>
      <c r="L37">
        <v>-0.47735815994663705</v>
      </c>
      <c r="M37">
        <v>0.11872736116181615</v>
      </c>
      <c r="N37">
        <v>0.7736740035990014</v>
      </c>
    </row>
    <row r="38" spans="1:14" x14ac:dyDescent="0.25">
      <c r="A38" t="s">
        <v>349</v>
      </c>
      <c r="B38">
        <v>35814.945927471148</v>
      </c>
      <c r="D38">
        <v>-11.034804547462146</v>
      </c>
      <c r="E38">
        <v>-5.4027210337991933</v>
      </c>
      <c r="F38">
        <v>-2.7098063689377336</v>
      </c>
      <c r="G38">
        <v>-3.2854849197493632</v>
      </c>
      <c r="H38">
        <v>-2.9557736178442626</v>
      </c>
      <c r="I38">
        <v>-1.4867500926178165</v>
      </c>
      <c r="J38">
        <v>-0.86936771555451731</v>
      </c>
      <c r="K38">
        <v>-0.24581456948666033</v>
      </c>
      <c r="L38">
        <v>-0.26100396199735487</v>
      </c>
      <c r="M38">
        <v>-0.11360899658948909</v>
      </c>
      <c r="N38">
        <v>0.8363014594190219</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7">
    <pageSetUpPr fitToPage="1"/>
  </sheetPr>
  <dimension ref="A6:L107"/>
  <sheetViews>
    <sheetView showGridLines="0" workbookViewId="0"/>
  </sheetViews>
  <sheetFormatPr defaultRowHeight="15" x14ac:dyDescent="0.25"/>
  <sheetData>
    <row r="6" spans="1:12" x14ac:dyDescent="0.25">
      <c r="A6" s="589" t="str">
        <f>IF(ISBLANK(BottomManagersPerScenario_Data!A$1), "", BottomManagersPerScenario_Data!A$1)</f>
        <v>2008 Lehman Blow-Up</v>
      </c>
      <c r="B6" s="589"/>
      <c r="C6" s="589"/>
      <c r="D6" s="589"/>
      <c r="E6" s="589"/>
      <c r="H6" s="588" t="str">
        <f>IF(ISBLANK(BottomManagersPerScenario_Data!C$1), "", BottomManagersPerScenario_Data!C$1)</f>
        <v>2002 Market Downturn</v>
      </c>
      <c r="I6" s="588"/>
      <c r="J6" s="588"/>
      <c r="K6" s="588"/>
      <c r="L6" s="588"/>
    </row>
    <row r="8" spans="1:12" x14ac:dyDescent="0.25">
      <c r="A8" s="586" t="str">
        <f>IF(ISBLANK(BottomManagersPerScenario_Data!A2), "", BottomManagersPerScenario_Data!A2)</f>
        <v>Silver Point Capital: Silver Point Distressed Opportunity Institutional Partners + Silver Point HF</v>
      </c>
      <c r="B8" s="586"/>
      <c r="C8" s="586"/>
      <c r="D8" s="587">
        <f>IF(ISBLANK(BottomManagersPerScenario_Data!B2), "", BottomManagersPerScenario_Data!B2)</f>
        <v>-42.28932457139117</v>
      </c>
      <c r="E8" s="587"/>
      <c r="H8" s="586" t="str">
        <f>IF(ISBLANK(BottomManagersPerScenario_Data!C2), "", BottomManagersPerScenario_Data!C2)</f>
        <v>PIMCO: PIMCO Commodity Alpha Fund</v>
      </c>
      <c r="I8" s="586"/>
      <c r="J8" s="586"/>
      <c r="K8" s="587">
        <f>IF(ISBLANK(BottomManagersPerScenario_Data!D2), "", BottomManagersPerScenario_Data!D2)</f>
        <v>-26.684503637185941</v>
      </c>
      <c r="L8" s="587"/>
    </row>
    <row r="9" spans="1:12" x14ac:dyDescent="0.25">
      <c r="A9" s="586" t="str">
        <f>IF(ISBLANK(BottomManagersPerScenario_Data!A3), "", BottomManagersPerScenario_Data!A3)</f>
        <v>LibreMax Partners LP: LibreMax Partners LP</v>
      </c>
      <c r="B9" s="586"/>
      <c r="C9" s="586"/>
      <c r="D9" s="587">
        <f>IF(ISBLANK(BottomManagersPerScenario_Data!B3), "", BottomManagersPerScenario_Data!B3)</f>
        <v>-23.790872445042407</v>
      </c>
      <c r="E9" s="587"/>
      <c r="H9" s="586" t="str">
        <f>IF(ISBLANK(BottomManagersPerScenario_Data!C3), "", BottomManagersPerScenario_Data!C3)</f>
        <v>Silver Point Capital: Silver Point Distressed Opportunity Institutional Partners + Silver Point HF</v>
      </c>
      <c r="I9" s="586"/>
      <c r="J9" s="586"/>
      <c r="K9" s="587">
        <f>IF(ISBLANK(BottomManagersPerScenario_Data!D3), "", BottomManagersPerScenario_Data!D3)</f>
        <v>-23.438739688260057</v>
      </c>
      <c r="L9" s="587"/>
    </row>
    <row r="10" spans="1:12" x14ac:dyDescent="0.25">
      <c r="A10" s="586" t="str">
        <f>IF(ISBLANK(BottomManagersPerScenario_Data!A4), "", BottomManagersPerScenario_Data!A4)</f>
        <v>PIMCO: PIMCO Commodity Alpha Fund</v>
      </c>
      <c r="B10" s="586"/>
      <c r="C10" s="586"/>
      <c r="D10" s="587">
        <f>IF(ISBLANK(BottomManagersPerScenario_Data!B4), "", BottomManagersPerScenario_Data!B4)</f>
        <v>-22.480781925735812</v>
      </c>
      <c r="E10" s="587"/>
      <c r="H10" s="586" t="str">
        <f>IF(ISBLANK(BottomManagersPerScenario_Data!C4), "", BottomManagersPerScenario_Data!C4)</f>
        <v>Rokos Global Macro Fund LP: Rokos Global Macro Fund LP</v>
      </c>
      <c r="I10" s="586"/>
      <c r="J10" s="586"/>
      <c r="K10" s="587">
        <f>IF(ISBLANK(BottomManagersPerScenario_Data!D4), "", BottomManagersPerScenario_Data!D4)</f>
        <v>-17.907609047900781</v>
      </c>
      <c r="L10" s="587"/>
    </row>
    <row r="11" spans="1:12" x14ac:dyDescent="0.25">
      <c r="A11" s="586" t="str">
        <f>IF(ISBLANK(BottomManagersPerScenario_Data!A5), "", BottomManagersPerScenario_Data!A5)</f>
        <v>Saba: CEF1 MN - 2.75x</v>
      </c>
      <c r="B11" s="586"/>
      <c r="C11" s="586"/>
      <c r="D11" s="587">
        <f>IF(ISBLANK(BottomManagersPerScenario_Data!B5), "", BottomManagersPerScenario_Data!B5)</f>
        <v>-22.023036649229113</v>
      </c>
      <c r="E11" s="587"/>
      <c r="H11" s="586" t="str">
        <f>IF(ISBLANK(BottomManagersPerScenario_Data!C5), "", BottomManagersPerScenario_Data!C5)</f>
        <v>Saba: CEF1 MN - 2.75x</v>
      </c>
      <c r="I11" s="586"/>
      <c r="J11" s="586"/>
      <c r="K11" s="587">
        <f>IF(ISBLANK(BottomManagersPerScenario_Data!D5), "", BottomManagersPerScenario_Data!D5)</f>
        <v>-12.305298847103748</v>
      </c>
      <c r="L11" s="587"/>
    </row>
    <row r="12" spans="1:12" x14ac:dyDescent="0.25">
      <c r="A12" s="586" t="str">
        <f>IF(ISBLANK(BottomManagersPerScenario_Data!A6), "", BottomManagersPerScenario_Data!A6)</f>
        <v>Graham Absolute Return Ltd: Graham Absolute Return Ltd</v>
      </c>
      <c r="B12" s="586"/>
      <c r="C12" s="586"/>
      <c r="D12" s="587">
        <f>IF(ISBLANK(BottomManagersPerScenario_Data!B6), "", BottomManagersPerScenario_Data!B6)</f>
        <v>-16.977619762744329</v>
      </c>
      <c r="E12" s="587"/>
      <c r="H12" s="586" t="str">
        <f>IF(ISBLANK(BottomManagersPerScenario_Data!C6), "", BottomManagersPerScenario_Data!C6)</f>
        <v>Graham Absolute Return Ltd: Graham Absolute Return Ltd</v>
      </c>
      <c r="I12" s="586"/>
      <c r="J12" s="586"/>
      <c r="K12" s="587">
        <f>IF(ISBLANK(BottomManagersPerScenario_Data!D6), "", BottomManagersPerScenario_Data!D6)</f>
        <v>-11.838912091075446</v>
      </c>
      <c r="L12" s="587"/>
    </row>
    <row r="13" spans="1:12" x14ac:dyDescent="0.25">
      <c r="A13" s="586" t="str">
        <f>IF(ISBLANK(BottomManagersPerScenario_Data!A7), "", BottomManagersPerScenario_Data!A7)</f>
        <v>Mesarete: Prior TR+back with Pharo Macro+Mesarete Capital Fund</v>
      </c>
      <c r="B13" s="586"/>
      <c r="C13" s="586"/>
      <c r="D13" s="587">
        <f>IF(ISBLANK(BottomManagersPerScenario_Data!B7), "", BottomManagersPerScenario_Data!B7)</f>
        <v>-16.879502644044148</v>
      </c>
      <c r="E13" s="587"/>
      <c r="H13" s="586" t="str">
        <f>IF(ISBLANK(BottomManagersPerScenario_Data!C7), "", BottomManagersPerScenario_Data!C7)</f>
        <v>LibreMax Partners LP: LibreMax Partners LP</v>
      </c>
      <c r="I13" s="586"/>
      <c r="J13" s="586"/>
      <c r="K13" s="587">
        <f>IF(ISBLANK(BottomManagersPerScenario_Data!D7), "", BottomManagersPerScenario_Data!D7)</f>
        <v>-11.81770826487192</v>
      </c>
      <c r="L13" s="587"/>
    </row>
    <row r="14" spans="1:12" x14ac:dyDescent="0.25">
      <c r="A14" s="586" t="str">
        <f>IF(ISBLANK(BottomManagersPerScenario_Data!A8), "", BottomManagersPerScenario_Data!A8)</f>
        <v>King Street Capital LP: King Street Capital LP</v>
      </c>
      <c r="B14" s="586"/>
      <c r="C14" s="586"/>
      <c r="D14" s="587">
        <f>IF(ISBLANK(BottomManagersPerScenario_Data!B8), "", BottomManagersPerScenario_Data!B8)</f>
        <v>-12.537968275147522</v>
      </c>
      <c r="E14" s="587"/>
      <c r="H14" s="586" t="str">
        <f>IF(ISBLANK(BottomManagersPerScenario_Data!C8), "", BottomManagersPerScenario_Data!C8)</f>
        <v>King Street Capital LP: King Street Capital LP</v>
      </c>
      <c r="I14" s="586"/>
      <c r="J14" s="586"/>
      <c r="K14" s="587">
        <f>IF(ISBLANK(BottomManagersPerScenario_Data!D8), "", BottomManagersPerScenario_Data!D8)</f>
        <v>-9.1200007126399694</v>
      </c>
      <c r="L14" s="587"/>
    </row>
    <row r="15" spans="1:12" x14ac:dyDescent="0.25">
      <c r="A15" s="586" t="str">
        <f>IF(ISBLANK(BottomManagersPerScenario_Data!A9), "", BottomManagersPerScenario_Data!A9)</f>
        <v>HF: Current Coinvests (Excluding BH Coinvests)</v>
      </c>
      <c r="B15" s="586"/>
      <c r="C15" s="586"/>
      <c r="D15" s="587">
        <f>IF(ISBLANK(BottomManagersPerScenario_Data!B9), "", BottomManagersPerScenario_Data!B9)</f>
        <v>-11.195901784560053</v>
      </c>
      <c r="E15" s="587"/>
      <c r="H15" s="586" t="str">
        <f>IF(ISBLANK(BottomManagersPerScenario_Data!C9), "", BottomManagersPerScenario_Data!C9)</f>
        <v>Mesarete: Prior TR+back with Pharo Macro+Mesarete Capital Fund</v>
      </c>
      <c r="I15" s="586"/>
      <c r="J15" s="586"/>
      <c r="K15" s="587">
        <f>IF(ISBLANK(BottomManagersPerScenario_Data!D9), "", BottomManagersPerScenario_Data!D9)</f>
        <v>-8.5193266303453594</v>
      </c>
      <c r="L15" s="587"/>
    </row>
    <row r="16" spans="1:12" x14ac:dyDescent="0.25">
      <c r="A16" s="586" t="str">
        <f>IF(ISBLANK(BottomManagersPerScenario_Data!A10), "", BottomManagersPerScenario_Data!A10)</f>
        <v>Walleye: Walleye Opportunities Fund</v>
      </c>
      <c r="B16" s="586"/>
      <c r="C16" s="586"/>
      <c r="D16" s="587">
        <f>IF(ISBLANK(BottomManagersPerScenario_Data!B10), "", BottomManagersPerScenario_Data!B10)</f>
        <v>-11.034804547462146</v>
      </c>
      <c r="E16" s="587"/>
      <c r="H16" s="586" t="str">
        <f>IF(ISBLANK(BottomManagersPerScenario_Data!C10), "", BottomManagersPerScenario_Data!C10)</f>
        <v>HF: Current Coinvests (Excluding BH Coinvests)</v>
      </c>
      <c r="I16" s="586"/>
      <c r="J16" s="586"/>
      <c r="K16" s="587">
        <f>IF(ISBLANK(BottomManagersPerScenario_Data!D10), "", BottomManagersPerScenario_Data!D10)</f>
        <v>-7.2088594895851887</v>
      </c>
      <c r="L16" s="587"/>
    </row>
    <row r="17" spans="1:12" x14ac:dyDescent="0.25">
      <c r="A17" s="586" t="str">
        <f>IF(ISBLANK(BottomManagersPerScenario_Data!A11), "", BottomManagersPerScenario_Data!A11)</f>
        <v>HF: Current Specialty Finance (Excluding Pathfinder)</v>
      </c>
      <c r="B17" s="586"/>
      <c r="C17" s="586"/>
      <c r="D17" s="587">
        <f>IF(ISBLANK(BottomManagersPerScenario_Data!B11), "", BottomManagersPerScenario_Data!B11)</f>
        <v>-10.30476682862669</v>
      </c>
      <c r="E17" s="587"/>
      <c r="H17" s="586" t="str">
        <f>IF(ISBLANK(BottomManagersPerScenario_Data!C11), "", BottomManagersPerScenario_Data!C11)</f>
        <v>Aquatic: Aquatic - Nautilus CFM (Net)</v>
      </c>
      <c r="I17" s="586"/>
      <c r="J17" s="586"/>
      <c r="K17" s="587">
        <f>IF(ISBLANK(BottomManagersPerScenario_Data!D11), "", BottomManagersPerScenario_Data!D11)</f>
        <v>-5.5819151450637197</v>
      </c>
      <c r="L17" s="587"/>
    </row>
    <row r="20" spans="1:12" x14ac:dyDescent="0.25">
      <c r="A20" s="588" t="str">
        <f>IF(ISBLANK(BottomManagersPerScenario_Data!E$1), "", BottomManagersPerScenario_Data!E$1)</f>
        <v>2001 WTC Attack</v>
      </c>
      <c r="B20" s="588"/>
      <c r="C20" s="588"/>
      <c r="D20" s="588"/>
      <c r="E20" s="588"/>
      <c r="H20" s="588" t="str">
        <f>IF(ISBLANK(BottomManagersPerScenario_Data!G$1), "", BottomManagersPerScenario_Data!G$1)</f>
        <v>1987 Black Monday</v>
      </c>
      <c r="I20" s="588"/>
      <c r="J20" s="588"/>
      <c r="K20" s="588"/>
      <c r="L20" s="588"/>
    </row>
    <row r="22" spans="1:12" x14ac:dyDescent="0.25">
      <c r="A22" s="586" t="str">
        <f>IF(ISBLANK(BottomManagersPerScenario_Data!E2), "", BottomManagersPerScenario_Data!E2)</f>
        <v>Silver Point Capital: Silver Point Distressed Opportunity Institutional Partners + Silver Point HF</v>
      </c>
      <c r="B22" s="586"/>
      <c r="C22" s="586"/>
      <c r="D22" s="587">
        <f>IF(ISBLANK(BottomManagersPerScenario_Data!F2), "", BottomManagersPerScenario_Data!F2)</f>
        <v>-11.380305382180246</v>
      </c>
      <c r="E22" s="587"/>
      <c r="H22" s="586" t="str">
        <f>IF(ISBLANK(BottomManagersPerScenario_Data!G2), "", BottomManagersPerScenario_Data!G2)</f>
        <v>Silver Point Capital: Silver Point Distressed Opportunity Institutional Partners + Silver Point HF</v>
      </c>
      <c r="I22" s="586"/>
      <c r="J22" s="586"/>
      <c r="K22" s="587">
        <f>IF(ISBLANK(BottomManagersPerScenario_Data!H2), "", BottomManagersPerScenario_Data!H2)</f>
        <v>-28.416508124618026</v>
      </c>
      <c r="L22" s="587"/>
    </row>
    <row r="23" spans="1:12" x14ac:dyDescent="0.25">
      <c r="A23" s="586" t="str">
        <f>IF(ISBLANK(BottomManagersPerScenario_Data!E3), "", BottomManagersPerScenario_Data!E3)</f>
        <v>PIMCO: PIMCO Commodity Alpha Fund</v>
      </c>
      <c r="B23" s="586"/>
      <c r="C23" s="586"/>
      <c r="D23" s="587">
        <f>IF(ISBLANK(BottomManagersPerScenario_Data!F3), "", BottomManagersPerScenario_Data!F3)</f>
        <v>-7.9984564303591066</v>
      </c>
      <c r="E23" s="587"/>
      <c r="H23" s="586" t="str">
        <f>IF(ISBLANK(BottomManagersPerScenario_Data!G3), "", BottomManagersPerScenario_Data!G3)</f>
        <v>Aquatic: Aquatic - Nautilus CFM (Net)</v>
      </c>
      <c r="I23" s="586"/>
      <c r="J23" s="586"/>
      <c r="K23" s="587">
        <f>IF(ISBLANK(BottomManagersPerScenario_Data!H3), "", BottomManagersPerScenario_Data!H3)</f>
        <v>-8.6444406835236638</v>
      </c>
      <c r="L23" s="587"/>
    </row>
    <row r="24" spans="1:12" x14ac:dyDescent="0.25">
      <c r="A24" s="586" t="str">
        <f>IF(ISBLANK(BottomManagersPerScenario_Data!E4), "", BottomManagersPerScenario_Data!E4)</f>
        <v>Saba: CEF1 MN - 2.75x</v>
      </c>
      <c r="B24" s="586"/>
      <c r="C24" s="586"/>
      <c r="D24" s="587">
        <f>IF(ISBLANK(BottomManagersPerScenario_Data!F4), "", BottomManagersPerScenario_Data!F4)</f>
        <v>-7.3312915726993149</v>
      </c>
      <c r="E24" s="587"/>
      <c r="H24" s="586" t="str">
        <f>IF(ISBLANK(BottomManagersPerScenario_Data!G4), "", BottomManagersPerScenario_Data!G4)</f>
        <v>PIMCO: PIMCO Commodity Alpha Fund</v>
      </c>
      <c r="I24" s="586"/>
      <c r="J24" s="586"/>
      <c r="K24" s="587">
        <f>IF(ISBLANK(BottomManagersPerScenario_Data!H4), "", BottomManagersPerScenario_Data!H4)</f>
        <v>-8.507815522386597</v>
      </c>
      <c r="L24" s="587"/>
    </row>
    <row r="25" spans="1:12" x14ac:dyDescent="0.25">
      <c r="A25" s="586" t="str">
        <f>IF(ISBLANK(BottomManagersPerScenario_Data!E5), "", BottomManagersPerScenario_Data!E5)</f>
        <v>LibreMax Partners LP: LibreMax Partners LP</v>
      </c>
      <c r="B25" s="586"/>
      <c r="C25" s="586"/>
      <c r="D25" s="587">
        <f>IF(ISBLANK(BottomManagersPerScenario_Data!F5), "", BottomManagersPerScenario_Data!F5)</f>
        <v>-5.0703637247444595</v>
      </c>
      <c r="E25" s="587"/>
      <c r="H25" s="586" t="str">
        <f>IF(ISBLANK(BottomManagersPerScenario_Data!G5), "", BottomManagersPerScenario_Data!G5)</f>
        <v>King Street Capital LP: King Street Capital LP</v>
      </c>
      <c r="I25" s="586"/>
      <c r="J25" s="586"/>
      <c r="K25" s="587">
        <f>IF(ISBLANK(BottomManagersPerScenario_Data!H5), "", BottomManagersPerScenario_Data!H5)</f>
        <v>-7.6120140886997891</v>
      </c>
      <c r="L25" s="587"/>
    </row>
    <row r="26" spans="1:12" x14ac:dyDescent="0.25">
      <c r="A26" s="586" t="str">
        <f>IF(ISBLANK(BottomManagersPerScenario_Data!E6), "", BottomManagersPerScenario_Data!E6)</f>
        <v>Graham Absolute Return Ltd: Graham Absolute Return Ltd</v>
      </c>
      <c r="B26" s="586"/>
      <c r="C26" s="586"/>
      <c r="D26" s="587">
        <f>IF(ISBLANK(BottomManagersPerScenario_Data!F6), "", BottomManagersPerScenario_Data!F6)</f>
        <v>-4.7514883139514357</v>
      </c>
      <c r="E26" s="587"/>
      <c r="H26" s="586" t="str">
        <f>IF(ISBLANK(BottomManagersPerScenario_Data!G6), "", BottomManagersPerScenario_Data!G6)</f>
        <v>Saba: CEF1 MN - 2.75x</v>
      </c>
      <c r="I26" s="586"/>
      <c r="J26" s="586"/>
      <c r="K26" s="587">
        <f>IF(ISBLANK(BottomManagersPerScenario_Data!H6), "", BottomManagersPerScenario_Data!H6)</f>
        <v>-7.5699808954907466</v>
      </c>
      <c r="L26" s="587"/>
    </row>
    <row r="27" spans="1:12" x14ac:dyDescent="0.25">
      <c r="A27" s="586" t="str">
        <f>IF(ISBLANK(BottomManagersPerScenario_Data!E7), "", BottomManagersPerScenario_Data!E7)</f>
        <v>Mesarete: Prior TR+back with Pharo Macro+Mesarete Capital Fund</v>
      </c>
      <c r="B27" s="586"/>
      <c r="C27" s="586"/>
      <c r="D27" s="587">
        <f>IF(ISBLANK(BottomManagersPerScenario_Data!F7), "", BottomManagersPerScenario_Data!F7)</f>
        <v>-4.4265950918537582</v>
      </c>
      <c r="E27" s="587"/>
      <c r="H27" s="586" t="str">
        <f>IF(ISBLANK(BottomManagersPerScenario_Data!G7), "", BottomManagersPerScenario_Data!G7)</f>
        <v>Graham Absolute Return Ltd: Graham Absolute Return Ltd</v>
      </c>
      <c r="I27" s="586"/>
      <c r="J27" s="586"/>
      <c r="K27" s="587">
        <f>IF(ISBLANK(BottomManagersPerScenario_Data!H7), "", BottomManagersPerScenario_Data!H7)</f>
        <v>-7.5121472741717561</v>
      </c>
      <c r="L27" s="587"/>
    </row>
    <row r="28" spans="1:12" x14ac:dyDescent="0.25">
      <c r="A28" s="586" t="str">
        <f>IF(ISBLANK(BottomManagersPerScenario_Data!E8), "", BottomManagersPerScenario_Data!E8)</f>
        <v>HF: Current Coinvests (Excluding BH Coinvests)</v>
      </c>
      <c r="B28" s="586"/>
      <c r="C28" s="586"/>
      <c r="D28" s="587">
        <f>IF(ISBLANK(BottomManagersPerScenario_Data!F8), "", BottomManagersPerScenario_Data!F8)</f>
        <v>-3.707237742358954</v>
      </c>
      <c r="E28" s="587"/>
      <c r="H28" s="586" t="str">
        <f>IF(ISBLANK(BottomManagersPerScenario_Data!G8), "", BottomManagersPerScenario_Data!G8)</f>
        <v>12267: Trexquant Onshore Fund LP</v>
      </c>
      <c r="I28" s="586"/>
      <c r="J28" s="586"/>
      <c r="K28" s="587">
        <f>IF(ISBLANK(BottomManagersPerScenario_Data!H8), "", BottomManagersPerScenario_Data!H8)</f>
        <v>-7.3918502905041965</v>
      </c>
      <c r="L28" s="587"/>
    </row>
    <row r="29" spans="1:12" x14ac:dyDescent="0.25">
      <c r="A29" s="586" t="str">
        <f>IF(ISBLANK(BottomManagersPerScenario_Data!E9), "", BottomManagersPerScenario_Data!E9)</f>
        <v>King Street Capital LP: King Street Capital LP</v>
      </c>
      <c r="B29" s="586"/>
      <c r="C29" s="586"/>
      <c r="D29" s="587">
        <f>IF(ISBLANK(BottomManagersPerScenario_Data!F9), "", BottomManagersPerScenario_Data!F9)</f>
        <v>-3.5747142018442659</v>
      </c>
      <c r="E29" s="587"/>
      <c r="H29" s="586" t="str">
        <f>IF(ISBLANK(BottomManagersPerScenario_Data!G9), "", BottomManagersPerScenario_Data!G9)</f>
        <v>LibreMax Partners LP: LibreMax Partners LP</v>
      </c>
      <c r="I29" s="586"/>
      <c r="J29" s="586"/>
      <c r="K29" s="587">
        <f>IF(ISBLANK(BottomManagersPerScenario_Data!H9), "", BottomManagersPerScenario_Data!H9)</f>
        <v>-4.6811003572911458</v>
      </c>
      <c r="L29" s="587"/>
    </row>
    <row r="30" spans="1:12" x14ac:dyDescent="0.25">
      <c r="A30" s="586" t="str">
        <f>IF(ISBLANK(BottomManagersPerScenario_Data!E10), "", BottomManagersPerScenario_Data!E10)</f>
        <v>Rokos Global Macro Fund LP: Rokos Global Macro Fund LP</v>
      </c>
      <c r="B30" s="586"/>
      <c r="C30" s="586"/>
      <c r="D30" s="587">
        <f>IF(ISBLANK(BottomManagersPerScenario_Data!F10), "", BottomManagersPerScenario_Data!F10)</f>
        <v>-3.4222911136872529</v>
      </c>
      <c r="E30" s="587"/>
      <c r="H30" s="586" t="str">
        <f>IF(ISBLANK(BottomManagersPerScenario_Data!G10), "", BottomManagersPerScenario_Data!G10)</f>
        <v>Voleon Composition Domestic Fund LP: Voleon Composition Domestic Fund LP</v>
      </c>
      <c r="I30" s="586"/>
      <c r="J30" s="586"/>
      <c r="K30" s="587">
        <f>IF(ISBLANK(BottomManagersPerScenario_Data!H10), "", BottomManagersPerScenario_Data!H10)</f>
        <v>-4.5053065581845111</v>
      </c>
      <c r="L30" s="587"/>
    </row>
    <row r="31" spans="1:12" x14ac:dyDescent="0.25">
      <c r="A31" s="586" t="str">
        <f>IF(ISBLANK(BottomManagersPerScenario_Data!E11), "", BottomManagersPerScenario_Data!E11)</f>
        <v>Walleye: Walleye Opportunities Fund</v>
      </c>
      <c r="B31" s="586"/>
      <c r="C31" s="586"/>
      <c r="D31" s="587">
        <f>IF(ISBLANK(BottomManagersPerScenario_Data!F11), "", BottomManagersPerScenario_Data!F11)</f>
        <v>-2.7098063689377336</v>
      </c>
      <c r="E31" s="587"/>
      <c r="H31" s="586" t="str">
        <f>IF(ISBLANK(BottomManagersPerScenario_Data!G11), "", BottomManagersPerScenario_Data!G11)</f>
        <v>HF: Current Coinvests (Excluding BH Coinvests)</v>
      </c>
      <c r="I31" s="586"/>
      <c r="J31" s="586"/>
      <c r="K31" s="587">
        <f>IF(ISBLANK(BottomManagersPerScenario_Data!H11), "", BottomManagersPerScenario_Data!H11)</f>
        <v>-3.3343309585217544</v>
      </c>
      <c r="L31" s="587"/>
    </row>
    <row r="35" spans="1:12" x14ac:dyDescent="0.25">
      <c r="A35" s="588" t="str">
        <f>IF(ISBLANK(BottomManagersPerScenario_Data!I$1), "", BottomManagersPerScenario_Data!I$1)</f>
        <v>1998 Russian Crisis</v>
      </c>
      <c r="B35" s="588"/>
      <c r="C35" s="588"/>
      <c r="D35" s="588"/>
      <c r="E35" s="588"/>
      <c r="H35" s="588" t="str">
        <f>IF(ISBLANK(BottomManagersPerScenario_Data!K$1), "", BottomManagersPerScenario_Data!K$1)</f>
        <v>2008 January Crisis</v>
      </c>
      <c r="I35" s="588"/>
      <c r="J35" s="588"/>
      <c r="K35" s="588"/>
      <c r="L35" s="588"/>
    </row>
    <row r="37" spans="1:12" x14ac:dyDescent="0.25">
      <c r="A37" s="586" t="str">
        <f>IF(ISBLANK(BottomManagersPerScenario_Data!I2), "", BottomManagersPerScenario_Data!I2)</f>
        <v>PIMCO: PIMCO Commodity Alpha Fund</v>
      </c>
      <c r="B37" s="586"/>
      <c r="C37" s="586"/>
      <c r="D37" s="587">
        <f>IF(ISBLANK(BottomManagersPerScenario_Data!J2), "", BottomManagersPerScenario_Data!J2)</f>
        <v>-7.5970197633444698</v>
      </c>
      <c r="E37" s="587"/>
      <c r="H37" s="586" t="str">
        <f>IF(ISBLANK(BottomManagersPerScenario_Data!K2), "", BottomManagersPerScenario_Data!K2)</f>
        <v>PIMCO: PIMCO Commodity Alpha Fund</v>
      </c>
      <c r="I37" s="586"/>
      <c r="J37" s="586"/>
      <c r="K37" s="587">
        <f>IF(ISBLANK(BottomManagersPerScenario_Data!L2), "", BottomManagersPerScenario_Data!L2)</f>
        <v>-7.5670559385438514</v>
      </c>
      <c r="L37" s="587"/>
    </row>
    <row r="38" spans="1:12" x14ac:dyDescent="0.25">
      <c r="A38" s="586" t="str">
        <f>IF(ISBLANK(BottomManagersPerScenario_Data!I3), "", BottomManagersPerScenario_Data!I3)</f>
        <v>Silver Point Capital: Silver Point Distressed Opportunity Institutional Partners + Silver Point HF</v>
      </c>
      <c r="B38" s="586"/>
      <c r="C38" s="586"/>
      <c r="D38" s="587">
        <f>IF(ISBLANK(BottomManagersPerScenario_Data!J3), "", BottomManagersPerScenario_Data!J3)</f>
        <v>-7.3458459597908004</v>
      </c>
      <c r="E38" s="587"/>
      <c r="H38" s="586" t="str">
        <f>IF(ISBLANK(BottomManagersPerScenario_Data!K3), "", BottomManagersPerScenario_Data!K3)</f>
        <v>Saba: CEF1 MN - 2.75x</v>
      </c>
      <c r="I38" s="586"/>
      <c r="J38" s="586"/>
      <c r="K38" s="587">
        <f>IF(ISBLANK(BottomManagersPerScenario_Data!L3), "", BottomManagersPerScenario_Data!L3)</f>
        <v>-5.3643522202020755</v>
      </c>
      <c r="L38" s="587"/>
    </row>
    <row r="39" spans="1:12" x14ac:dyDescent="0.25">
      <c r="A39" s="586" t="str">
        <f>IF(ISBLANK(BottomManagersPerScenario_Data!I4), "", BottomManagersPerScenario_Data!I4)</f>
        <v>Saba: CEF1 MN - 2.75x</v>
      </c>
      <c r="B39" s="586"/>
      <c r="C39" s="586"/>
      <c r="D39" s="587">
        <f>IF(ISBLANK(BottomManagersPerScenario_Data!J4), "", BottomManagersPerScenario_Data!J4)</f>
        <v>-7.1881349389475506</v>
      </c>
      <c r="E39" s="587"/>
      <c r="H39" s="586" t="str">
        <f>IF(ISBLANK(BottomManagersPerScenario_Data!K4), "", BottomManagersPerScenario_Data!K4)</f>
        <v>Silver Point Capital: Silver Point Distressed Opportunity Institutional Partners + Silver Point HF</v>
      </c>
      <c r="I39" s="586"/>
      <c r="J39" s="586"/>
      <c r="K39" s="587">
        <f>IF(ISBLANK(BottomManagersPerScenario_Data!L4), "", BottomManagersPerScenario_Data!L4)</f>
        <v>-4.52793397762842</v>
      </c>
      <c r="L39" s="587"/>
    </row>
    <row r="40" spans="1:12" x14ac:dyDescent="0.25">
      <c r="A40" s="586" t="str">
        <f>IF(ISBLANK(BottomManagersPerScenario_Data!I5), "", BottomManagersPerScenario_Data!I5)</f>
        <v>LibreMax Partners LP: LibreMax Partners LP</v>
      </c>
      <c r="B40" s="586"/>
      <c r="C40" s="586"/>
      <c r="D40" s="587">
        <f>IF(ISBLANK(BottomManagersPerScenario_Data!J5), "", BottomManagersPerScenario_Data!J5)</f>
        <v>-7.0528825004414815</v>
      </c>
      <c r="E40" s="587"/>
      <c r="H40" s="586" t="str">
        <f>IF(ISBLANK(BottomManagersPerScenario_Data!K5), "", BottomManagersPerScenario_Data!K5)</f>
        <v>Rokos Global Macro Fund LP: Rokos Global Macro Fund LP</v>
      </c>
      <c r="I40" s="586"/>
      <c r="J40" s="586"/>
      <c r="K40" s="587">
        <f>IF(ISBLANK(BottomManagersPerScenario_Data!L5), "", BottomManagersPerScenario_Data!L5)</f>
        <v>-3.662776822609946</v>
      </c>
      <c r="L40" s="587"/>
    </row>
    <row r="41" spans="1:12" x14ac:dyDescent="0.25">
      <c r="A41" s="586" t="str">
        <f>IF(ISBLANK(BottomManagersPerScenario_Data!I6), "", BottomManagersPerScenario_Data!I6)</f>
        <v>Graham Absolute Return Ltd: Graham Absolute Return Ltd</v>
      </c>
      <c r="B41" s="586"/>
      <c r="C41" s="586"/>
      <c r="D41" s="587">
        <f>IF(ISBLANK(BottomManagersPerScenario_Data!J6), "", BottomManagersPerScenario_Data!J6)</f>
        <v>-5.4571407738563833</v>
      </c>
      <c r="E41" s="587"/>
      <c r="H41" s="586" t="str">
        <f>IF(ISBLANK(BottomManagersPerScenario_Data!K6), "", BottomManagersPerScenario_Data!K6)</f>
        <v>HF: Current Coinvests (Excluding BH Coinvests)</v>
      </c>
      <c r="I41" s="586"/>
      <c r="J41" s="586"/>
      <c r="K41" s="587">
        <f>IF(ISBLANK(BottomManagersPerScenario_Data!L6), "", BottomManagersPerScenario_Data!L6)</f>
        <v>-3.2731405224161221</v>
      </c>
      <c r="L41" s="587"/>
    </row>
    <row r="42" spans="1:12" x14ac:dyDescent="0.25">
      <c r="A42" s="586" t="str">
        <f>IF(ISBLANK(BottomManagersPerScenario_Data!I7), "", BottomManagersPerScenario_Data!I7)</f>
        <v>King Street Capital LP: King Street Capital LP</v>
      </c>
      <c r="B42" s="586"/>
      <c r="C42" s="586"/>
      <c r="D42" s="587">
        <f>IF(ISBLANK(BottomManagersPerScenario_Data!J7), "", BottomManagersPerScenario_Data!J7)</f>
        <v>-4.299803979267466</v>
      </c>
      <c r="E42" s="587"/>
      <c r="H42" s="586" t="str">
        <f>IF(ISBLANK(BottomManagersPerScenario_Data!K7), "", BottomManagersPerScenario_Data!K7)</f>
        <v>LibreMax Partners LP: LibreMax Partners LP</v>
      </c>
      <c r="I42" s="586"/>
      <c r="J42" s="586"/>
      <c r="K42" s="587">
        <f>IF(ISBLANK(BottomManagersPerScenario_Data!L7), "", BottomManagersPerScenario_Data!L7)</f>
        <v>-3.1157384119114937</v>
      </c>
      <c r="L42" s="587"/>
    </row>
    <row r="43" spans="1:12" x14ac:dyDescent="0.25">
      <c r="A43" s="586" t="str">
        <f>IF(ISBLANK(BottomManagersPerScenario_Data!I8), "", BottomManagersPerScenario_Data!I8)</f>
        <v>Mesarete: Prior TR+back with Pharo Macro+Mesarete Capital Fund</v>
      </c>
      <c r="B43" s="586"/>
      <c r="C43" s="586"/>
      <c r="D43" s="587">
        <f>IF(ISBLANK(BottomManagersPerScenario_Data!J8), "", BottomManagersPerScenario_Data!J8)</f>
        <v>-4.1492299716576122</v>
      </c>
      <c r="E43" s="587"/>
      <c r="H43" s="586" t="str">
        <f>IF(ISBLANK(BottomManagersPerScenario_Data!K8), "", BottomManagersPerScenario_Data!K8)</f>
        <v>Mesarete: Prior TR+back with Pharo Macro+Mesarete Capital Fund</v>
      </c>
      <c r="I43" s="586"/>
      <c r="J43" s="586"/>
      <c r="K43" s="587">
        <f>IF(ISBLANK(BottomManagersPerScenario_Data!L8), "", BottomManagersPerScenario_Data!L8)</f>
        <v>-2.8373036559940381</v>
      </c>
      <c r="L43" s="587"/>
    </row>
    <row r="44" spans="1:12" x14ac:dyDescent="0.25">
      <c r="A44" s="586" t="str">
        <f>IF(ISBLANK(BottomManagersPerScenario_Data!I9), "", BottomManagersPerScenario_Data!I9)</f>
        <v>Aquatic: Aquatic - Nautilus CFM (Net)</v>
      </c>
      <c r="B44" s="586"/>
      <c r="C44" s="586"/>
      <c r="D44" s="587">
        <f>IF(ISBLANK(BottomManagersPerScenario_Data!J9), "", BottomManagersPerScenario_Data!J9)</f>
        <v>-3.952085567908687</v>
      </c>
      <c r="E44" s="587"/>
      <c r="H44" s="586" t="str">
        <f>IF(ISBLANK(BottomManagersPerScenario_Data!K9), "", BottomManagersPerScenario_Data!K9)</f>
        <v>Graham Absolute Return Ltd: Graham Absolute Return Ltd</v>
      </c>
      <c r="I44" s="586"/>
      <c r="J44" s="586"/>
      <c r="K44" s="587">
        <f>IF(ISBLANK(BottomManagersPerScenario_Data!L9), "", BottomManagersPerScenario_Data!L9)</f>
        <v>-2.7260680580995862</v>
      </c>
      <c r="L44" s="587"/>
    </row>
    <row r="45" spans="1:12" x14ac:dyDescent="0.25">
      <c r="A45" s="586" t="str">
        <f>IF(ISBLANK(BottomManagersPerScenario_Data!I10), "", BottomManagersPerScenario_Data!I10)</f>
        <v>HF: Current Coinvests (Excluding BH Coinvests)</v>
      </c>
      <c r="B45" s="586"/>
      <c r="C45" s="586"/>
      <c r="D45" s="587">
        <f>IF(ISBLANK(BottomManagersPerScenario_Data!J10), "", BottomManagersPerScenario_Data!J10)</f>
        <v>-3.1258403573455067</v>
      </c>
      <c r="E45" s="587"/>
      <c r="H45" s="586" t="str">
        <f>IF(ISBLANK(BottomManagersPerScenario_Data!K10), "", BottomManagersPerScenario_Data!K10)</f>
        <v>King Street Capital LP: King Street Capital LP</v>
      </c>
      <c r="I45" s="586"/>
      <c r="J45" s="586"/>
      <c r="K45" s="587">
        <f>IF(ISBLANK(BottomManagersPerScenario_Data!L10), "", BottomManagersPerScenario_Data!L10)</f>
        <v>-2.12084464273503</v>
      </c>
      <c r="L45" s="587"/>
    </row>
    <row r="46" spans="1:12" x14ac:dyDescent="0.25">
      <c r="A46" s="586" t="str">
        <f>IF(ISBLANK(BottomManagersPerScenario_Data!I11), "", BottomManagersPerScenario_Data!I11)</f>
        <v>Walleye: Walleye Opportunities Fund</v>
      </c>
      <c r="B46" s="586"/>
      <c r="C46" s="586"/>
      <c r="D46" s="587">
        <f>IF(ISBLANK(BottomManagersPerScenario_Data!J11), "", BottomManagersPerScenario_Data!J11)</f>
        <v>-2.9557736178442626</v>
      </c>
      <c r="E46" s="587"/>
      <c r="H46" s="586" t="str">
        <f>IF(ISBLANK(BottomManagersPerScenario_Data!K11), "", BottomManagersPerScenario_Data!K11)</f>
        <v>Aquatic: Aquatic - Nautilus CFM (Net)</v>
      </c>
      <c r="I46" s="586"/>
      <c r="J46" s="586"/>
      <c r="K46" s="587">
        <f>IF(ISBLANK(BottomManagersPerScenario_Data!L11), "", BottomManagersPerScenario_Data!L11)</f>
        <v>-1.6919120590381127</v>
      </c>
      <c r="L46" s="587"/>
    </row>
    <row r="67" spans="1:12" x14ac:dyDescent="0.25">
      <c r="A67" s="588" t="str">
        <f>IF(ISBLANK(BottomManagersPerScenario_Data!M$1), "", BottomManagersPerScenario_Data!M$1)</f>
        <v>2007 August Crisis</v>
      </c>
      <c r="B67" s="588"/>
      <c r="C67" s="588"/>
      <c r="D67" s="588"/>
      <c r="E67" s="588"/>
      <c r="H67" s="588" t="str">
        <f>IF(ISBLANK(BottomManagersPerScenario_Data!O$1), "", BottomManagersPerScenario_Data!O$1)</f>
        <v>2001 Nasdaq</v>
      </c>
      <c r="I67" s="588"/>
      <c r="J67" s="588"/>
      <c r="K67" s="588"/>
      <c r="L67" s="588"/>
    </row>
    <row r="69" spans="1:12" x14ac:dyDescent="0.25">
      <c r="A69" s="586" t="str">
        <f>IF(ISBLANK(BottomManagersPerScenario_Data!M2), "", BottomManagersPerScenario_Data!M2)</f>
        <v>Saba: CEF1 MN - 2.75x</v>
      </c>
      <c r="B69" s="586"/>
      <c r="C69" s="586"/>
      <c r="D69" s="587">
        <f>IF(ISBLANK(BottomManagersPerScenario_Data!N2), "", BottomManagersPerScenario_Data!N2)</f>
        <v>-3.8341475083106547</v>
      </c>
      <c r="E69" s="587"/>
      <c r="H69" s="586" t="str">
        <f>IF(ISBLANK(BottomManagersPerScenario_Data!O2), "", BottomManagersPerScenario_Data!O2)</f>
        <v>Silver Point Capital: Silver Point Distressed Opportunity Institutional Partners + Silver Point HF</v>
      </c>
      <c r="I69" s="586"/>
      <c r="J69" s="586"/>
      <c r="K69" s="587">
        <f>IF(ISBLANK(BottomManagersPerScenario_Data!P2), "", BottomManagersPerScenario_Data!P2)</f>
        <v>-8.6402481033416763</v>
      </c>
      <c r="L69" s="587"/>
    </row>
    <row r="70" spans="1:12" x14ac:dyDescent="0.25">
      <c r="A70" s="586" t="str">
        <f>IF(ISBLANK(BottomManagersPerScenario_Data!M3), "", BottomManagersPerScenario_Data!M3)</f>
        <v>PIMCO: PIMCO Commodity Alpha Fund</v>
      </c>
      <c r="B70" s="586"/>
      <c r="C70" s="586"/>
      <c r="D70" s="587">
        <f>IF(ISBLANK(BottomManagersPerScenario_Data!N3), "", BottomManagersPerScenario_Data!N3)</f>
        <v>-3.5451570564127977</v>
      </c>
      <c r="E70" s="587"/>
      <c r="H70" s="586" t="str">
        <f>IF(ISBLANK(BottomManagersPerScenario_Data!O3), "", BottomManagersPerScenario_Data!O3)</f>
        <v>PIMCO: PIMCO Commodity Alpha Fund</v>
      </c>
      <c r="I70" s="586"/>
      <c r="J70" s="586"/>
      <c r="K70" s="587">
        <f>IF(ISBLANK(BottomManagersPerScenario_Data!P3), "", BottomManagersPerScenario_Data!P3)</f>
        <v>-4.5800419162435357</v>
      </c>
      <c r="L70" s="587"/>
    </row>
    <row r="71" spans="1:12" x14ac:dyDescent="0.25">
      <c r="A71" s="586" t="str">
        <f>IF(ISBLANK(BottomManagersPerScenario_Data!M4), "", BottomManagersPerScenario_Data!M4)</f>
        <v>LibreMax Partners LP: LibreMax Partners LP</v>
      </c>
      <c r="B71" s="586"/>
      <c r="C71" s="586"/>
      <c r="D71" s="587">
        <f>IF(ISBLANK(BottomManagersPerScenario_Data!N4), "", BottomManagersPerScenario_Data!N4)</f>
        <v>-2.5716397596816423</v>
      </c>
      <c r="E71" s="587"/>
      <c r="H71" s="586" t="str">
        <f>IF(ISBLANK(BottomManagersPerScenario_Data!O4), "", BottomManagersPerScenario_Data!O4)</f>
        <v>Mesarete: Prior TR+back with Pharo Macro+Mesarete Capital Fund</v>
      </c>
      <c r="I71" s="586"/>
      <c r="J71" s="586"/>
      <c r="K71" s="587">
        <f>IF(ISBLANK(BottomManagersPerScenario_Data!P4), "", BottomManagersPerScenario_Data!P4)</f>
        <v>-3.0934758921549279</v>
      </c>
      <c r="L71" s="587"/>
    </row>
    <row r="72" spans="1:12" x14ac:dyDescent="0.25">
      <c r="A72" s="586" t="str">
        <f>IF(ISBLANK(BottomManagersPerScenario_Data!M5), "", BottomManagersPerScenario_Data!M5)</f>
        <v>Mesarete: Prior TR+back with Pharo Macro+Mesarete Capital Fund</v>
      </c>
      <c r="B72" s="586"/>
      <c r="C72" s="586"/>
      <c r="D72" s="587">
        <f>IF(ISBLANK(BottomManagersPerScenario_Data!N5), "", BottomManagersPerScenario_Data!N5)</f>
        <v>-2.3252195474876975</v>
      </c>
      <c r="E72" s="587"/>
      <c r="H72" s="586" t="str">
        <f>IF(ISBLANK(BottomManagersPerScenario_Data!O5), "", BottomManagersPerScenario_Data!O5)</f>
        <v>HF: Current Coinvests (Excluding BH Coinvests)</v>
      </c>
      <c r="I72" s="586"/>
      <c r="J72" s="586"/>
      <c r="K72" s="587">
        <f>IF(ISBLANK(BottomManagersPerScenario_Data!P5), "", BottomManagersPerScenario_Data!P5)</f>
        <v>-2.3753221779039864</v>
      </c>
      <c r="L72" s="587"/>
    </row>
    <row r="73" spans="1:12" x14ac:dyDescent="0.25">
      <c r="A73" s="586" t="str">
        <f>IF(ISBLANK(BottomManagersPerScenario_Data!M6), "", BottomManagersPerScenario_Data!M6)</f>
        <v>Aquatic: Aquatic - Nautilus CFM (Net)</v>
      </c>
      <c r="B73" s="586"/>
      <c r="C73" s="586"/>
      <c r="D73" s="587">
        <f>IF(ISBLANK(BottomManagersPerScenario_Data!N6), "", BottomManagersPerScenario_Data!N6)</f>
        <v>-2.2353650361554345</v>
      </c>
      <c r="E73" s="587"/>
      <c r="H73" s="586" t="str">
        <f>IF(ISBLANK(BottomManagersPerScenario_Data!O6), "", BottomManagersPerScenario_Data!O6)</f>
        <v>Saba: CEF1 MN - 2.75x</v>
      </c>
      <c r="I73" s="586"/>
      <c r="J73" s="586"/>
      <c r="K73" s="587">
        <f>IF(ISBLANK(BottomManagersPerScenario_Data!P6), "", BottomManagersPerScenario_Data!P6)</f>
        <v>-2.1782198990995756</v>
      </c>
      <c r="L73" s="587"/>
    </row>
    <row r="74" spans="1:12" x14ac:dyDescent="0.25">
      <c r="A74" s="586" t="str">
        <f>IF(ISBLANK(BottomManagersPerScenario_Data!M7), "", BottomManagersPerScenario_Data!M7)</f>
        <v>HF: Current Coinvests (Excluding BH Coinvests)</v>
      </c>
      <c r="B74" s="586"/>
      <c r="C74" s="586"/>
      <c r="D74" s="587">
        <f>IF(ISBLANK(BottomManagersPerScenario_Data!N7), "", BottomManagersPerScenario_Data!N7)</f>
        <v>-2.1878496864122039</v>
      </c>
      <c r="E74" s="587"/>
      <c r="H74" s="586" t="str">
        <f>IF(ISBLANK(BottomManagersPerScenario_Data!O7), "", BottomManagersPerScenario_Data!O7)</f>
        <v>King Street Capital LP: King Street Capital LP</v>
      </c>
      <c r="I74" s="586"/>
      <c r="J74" s="586"/>
      <c r="K74" s="587">
        <f>IF(ISBLANK(BottomManagersPerScenario_Data!P7), "", BottomManagersPerScenario_Data!P7)</f>
        <v>-1.9508288438789056</v>
      </c>
      <c r="L74" s="587"/>
    </row>
    <row r="75" spans="1:12" x14ac:dyDescent="0.25">
      <c r="A75" s="586" t="str">
        <f>IF(ISBLANK(BottomManagersPerScenario_Data!M8), "", BottomManagersPerScenario_Data!M8)</f>
        <v>Graham Absolute Return Ltd: Graham Absolute Return Ltd</v>
      </c>
      <c r="B75" s="586"/>
      <c r="C75" s="586"/>
      <c r="D75" s="587">
        <f>IF(ISBLANK(BottomManagersPerScenario_Data!N8), "", BottomManagersPerScenario_Data!N8)</f>
        <v>-1.9894528564475957</v>
      </c>
      <c r="E75" s="587"/>
      <c r="H75" s="586" t="str">
        <f>IF(ISBLANK(BottomManagersPerScenario_Data!O8), "", BottomManagersPerScenario_Data!O8)</f>
        <v>LibreMax Partners LP: LibreMax Partners LP</v>
      </c>
      <c r="I75" s="586"/>
      <c r="J75" s="586"/>
      <c r="K75" s="587">
        <f>IF(ISBLANK(BottomManagersPerScenario_Data!P8), "", BottomManagersPerScenario_Data!P8)</f>
        <v>-1.7613745190526677</v>
      </c>
      <c r="L75" s="587"/>
    </row>
    <row r="76" spans="1:12" x14ac:dyDescent="0.25">
      <c r="A76" s="586" t="str">
        <f>IF(ISBLANK(BottomManagersPerScenario_Data!M9), "", BottomManagersPerScenario_Data!M9)</f>
        <v>King Street Capital LP: King Street Capital LP</v>
      </c>
      <c r="B76" s="586"/>
      <c r="C76" s="586"/>
      <c r="D76" s="587">
        <f>IF(ISBLANK(BottomManagersPerScenario_Data!N9), "", BottomManagersPerScenario_Data!N9)</f>
        <v>-1.8782169227399705</v>
      </c>
      <c r="E76" s="587"/>
      <c r="H76" s="586" t="str">
        <f>IF(ISBLANK(BottomManagersPerScenario_Data!O9), "", BottomManagersPerScenario_Data!O9)</f>
        <v>Aquatic: Aquatic - Nautilus CFM (Net)</v>
      </c>
      <c r="I76" s="586"/>
      <c r="J76" s="586"/>
      <c r="K76" s="587">
        <f>IF(ISBLANK(BottomManagersPerScenario_Data!P9), "", BottomManagersPerScenario_Data!P9)</f>
        <v>-1.6731249200523914</v>
      </c>
      <c r="L76" s="587"/>
    </row>
    <row r="77" spans="1:12" x14ac:dyDescent="0.25">
      <c r="A77" s="586" t="str">
        <f>IF(ISBLANK(BottomManagersPerScenario_Data!M10), "", BottomManagersPerScenario_Data!M10)</f>
        <v>Walleye: Walleye Opportunities Fund</v>
      </c>
      <c r="B77" s="586"/>
      <c r="C77" s="586"/>
      <c r="D77" s="587">
        <f>IF(ISBLANK(BottomManagersPerScenario_Data!N10), "", BottomManagersPerScenario_Data!N10)</f>
        <v>-0.86936771555451731</v>
      </c>
      <c r="E77" s="587"/>
      <c r="H77" s="586" t="str">
        <f>IF(ISBLANK(BottomManagersPerScenario_Data!O10), "", BottomManagersPerScenario_Data!O10)</f>
        <v>Graham Absolute Return Ltd: Graham Absolute Return Ltd</v>
      </c>
      <c r="I77" s="586"/>
      <c r="J77" s="586"/>
      <c r="K77" s="587">
        <f>IF(ISBLANK(BottomManagersPerScenario_Data!P10), "", BottomManagersPerScenario_Data!P10)</f>
        <v>-1.6232624351017801</v>
      </c>
      <c r="L77" s="587"/>
    </row>
    <row r="78" spans="1:12" x14ac:dyDescent="0.25">
      <c r="A78" s="586" t="str">
        <f>IF(ISBLANK(BottomManagersPerScenario_Data!M11), "", BottomManagersPerScenario_Data!M11)</f>
        <v>Dockside: I-94 Minus Standalones</v>
      </c>
      <c r="B78" s="586"/>
      <c r="C78" s="586"/>
      <c r="D78" s="587">
        <f>IF(ISBLANK(BottomManagersPerScenario_Data!N11), "", BottomManagersPerScenario_Data!N11)</f>
        <v>-0.73111112043249382</v>
      </c>
      <c r="E78" s="587"/>
      <c r="H78" s="586" t="str">
        <f>IF(ISBLANK(BottomManagersPerScenario_Data!O11), "", BottomManagersPerScenario_Data!O11)</f>
        <v>Voleon Composition Domestic Fund LP: Voleon Composition Domestic Fund LP</v>
      </c>
      <c r="I78" s="586"/>
      <c r="J78" s="586"/>
      <c r="K78" s="587">
        <f>IF(ISBLANK(BottomManagersPerScenario_Data!P11), "", BottomManagersPerScenario_Data!P11)</f>
        <v>-1.4624458137414531</v>
      </c>
      <c r="L78" s="587"/>
    </row>
    <row r="81" spans="1:12" x14ac:dyDescent="0.25">
      <c r="A81" s="588" t="str">
        <f>IF(ISBLANK(BottomManagersPerScenario_Data!Q$1), "", BottomManagersPerScenario_Data!Q$1)</f>
        <v>1997 - 1998 Asian Crisis</v>
      </c>
      <c r="B81" s="588"/>
      <c r="C81" s="588"/>
      <c r="D81" s="588"/>
      <c r="E81" s="588"/>
      <c r="H81" s="588" t="str">
        <f>IF(ISBLANK(BottomManagersPerScenario_Data!S$1), "", BottomManagersPerScenario_Data!S$1)</f>
        <v>1990 Kuwait Invasion</v>
      </c>
      <c r="I81" s="588"/>
      <c r="J81" s="588"/>
      <c r="K81" s="588"/>
      <c r="L81" s="588"/>
    </row>
    <row r="83" spans="1:12" x14ac:dyDescent="0.25">
      <c r="A83" s="586" t="str">
        <f>IF(ISBLANK(BottomManagersPerScenario_Data!Q2), "", BottomManagersPerScenario_Data!Q2)</f>
        <v>PIMCO: PIMCO Commodity Alpha Fund</v>
      </c>
      <c r="B83" s="586"/>
      <c r="C83" s="586"/>
      <c r="D83" s="587">
        <f>IF(ISBLANK(BottomManagersPerScenario_Data!R2), "", BottomManagersPerScenario_Data!R2)</f>
        <v>-2.7795679690313913</v>
      </c>
      <c r="E83" s="587"/>
      <c r="H83" s="586" t="str">
        <f>IF(ISBLANK(BottomManagersPerScenario_Data!S2), "", BottomManagersPerScenario_Data!S2)</f>
        <v>Rokos Global Macro Fund LP: Rokos Global Macro Fund LP</v>
      </c>
      <c r="I83" s="586"/>
      <c r="J83" s="586"/>
      <c r="K83" s="587">
        <f>IF(ISBLANK(BottomManagersPerScenario_Data!T2), "", BottomManagersPerScenario_Data!T2)</f>
        <v>-7.6864085235347197</v>
      </c>
      <c r="L83" s="587"/>
    </row>
    <row r="84" spans="1:12" x14ac:dyDescent="0.25">
      <c r="A84" s="586" t="str">
        <f>IF(ISBLANK(BottomManagersPerScenario_Data!Q3), "", BottomManagersPerScenario_Data!Q3)</f>
        <v>Aquatic: Aquatic - Nautilus CFM (Net)</v>
      </c>
      <c r="B84" s="586"/>
      <c r="C84" s="586"/>
      <c r="D84" s="587">
        <f>IF(ISBLANK(BottomManagersPerScenario_Data!R3), "", BottomManagersPerScenario_Data!R3)</f>
        <v>-1.5928982033935848</v>
      </c>
      <c r="E84" s="587"/>
      <c r="H84" s="586" t="str">
        <f>IF(ISBLANK(BottomManagersPerScenario_Data!S3), "", BottomManagersPerScenario_Data!S3)</f>
        <v>PIMCO: PIMCO Commodity Alpha Fund</v>
      </c>
      <c r="I84" s="586"/>
      <c r="J84" s="586"/>
      <c r="K84" s="587">
        <f>IF(ISBLANK(BottomManagersPerScenario_Data!T3), "", BottomManagersPerScenario_Data!T3)</f>
        <v>-6.1479653830193159</v>
      </c>
      <c r="L84" s="587"/>
    </row>
    <row r="85" spans="1:12" x14ac:dyDescent="0.25">
      <c r="A85" s="586" t="str">
        <f>IF(ISBLANK(BottomManagersPerScenario_Data!Q4), "", BottomManagersPerScenario_Data!Q4)</f>
        <v>Rokos Global Macro Fund LP: Rokos Global Macro Fund LP</v>
      </c>
      <c r="B85" s="586"/>
      <c r="C85" s="586"/>
      <c r="D85" s="587">
        <f>IF(ISBLANK(BottomManagersPerScenario_Data!R4), "", BottomManagersPerScenario_Data!R4)</f>
        <v>-1.3056845433300475</v>
      </c>
      <c r="E85" s="587"/>
      <c r="H85" s="586" t="str">
        <f>IF(ISBLANK(BottomManagersPerScenario_Data!S4), "", BottomManagersPerScenario_Data!S4)</f>
        <v>Aquatic: Aquatic - Nautilus CFM (Net)</v>
      </c>
      <c r="I85" s="586"/>
      <c r="J85" s="586"/>
      <c r="K85" s="587">
        <f>IF(ISBLANK(BottomManagersPerScenario_Data!T4), "", BottomManagersPerScenario_Data!T4)</f>
        <v>-2.9249690791846397</v>
      </c>
      <c r="L85" s="587"/>
    </row>
    <row r="86" spans="1:12" x14ac:dyDescent="0.25">
      <c r="A86" s="586" t="str">
        <f>IF(ISBLANK(BottomManagersPerScenario_Data!Q5), "", BottomManagersPerScenario_Data!Q5)</f>
        <v>King Street Capital LP: King Street Capital LP</v>
      </c>
      <c r="B86" s="586"/>
      <c r="C86" s="586"/>
      <c r="D86" s="587">
        <f>IF(ISBLANK(BottomManagersPerScenario_Data!R5), "", BottomManagersPerScenario_Data!R5)</f>
        <v>-1.2404076188234707</v>
      </c>
      <c r="E86" s="587"/>
      <c r="H86" s="586" t="str">
        <f>IF(ISBLANK(BottomManagersPerScenario_Data!S5), "", BottomManagersPerScenario_Data!S5)</f>
        <v>Saba: CEF1 MN - 2.75x</v>
      </c>
      <c r="I86" s="586"/>
      <c r="J86" s="586"/>
      <c r="K86" s="587">
        <f>IF(ISBLANK(BottomManagersPerScenario_Data!T5), "", BottomManagersPerScenario_Data!T5)</f>
        <v>-2.5962676454907765</v>
      </c>
      <c r="L86" s="587"/>
    </row>
    <row r="87" spans="1:12" x14ac:dyDescent="0.25">
      <c r="A87" s="586" t="str">
        <f>IF(ISBLANK(BottomManagersPerScenario_Data!Q6), "", BottomManagersPerScenario_Data!Q6)</f>
        <v>Mesarete: Prior TR+back with Pharo Macro+Mesarete Capital Fund</v>
      </c>
      <c r="B87" s="586"/>
      <c r="C87" s="586"/>
      <c r="D87" s="587">
        <f>IF(ISBLANK(BottomManagersPerScenario_Data!R6), "", BottomManagersPerScenario_Data!R6)</f>
        <v>-1.1603701184528736</v>
      </c>
      <c r="E87" s="587"/>
      <c r="H87" s="586" t="str">
        <f>IF(ISBLANK(BottomManagersPerScenario_Data!S6), "", BottomManagersPerScenario_Data!S6)</f>
        <v>Brevan Howard MB Macro Fund: Brevan Howard MB Macro Fund with proforma</v>
      </c>
      <c r="I87" s="586"/>
      <c r="J87" s="586"/>
      <c r="K87" s="587">
        <f>IF(ISBLANK(BottomManagersPerScenario_Data!T6), "", BottomManagersPerScenario_Data!T6)</f>
        <v>-2.1274732421877425</v>
      </c>
      <c r="L87" s="587"/>
    </row>
    <row r="88" spans="1:12" x14ac:dyDescent="0.25">
      <c r="A88" s="586" t="str">
        <f>IF(ISBLANK(BottomManagersPerScenario_Data!Q7), "", BottomManagersPerScenario_Data!Q7)</f>
        <v>Graham Absolute Return Ltd: Graham Absolute Return Ltd</v>
      </c>
      <c r="B88" s="586"/>
      <c r="C88" s="586"/>
      <c r="D88" s="587">
        <f>IF(ISBLANK(BottomManagersPerScenario_Data!R7), "", BottomManagersPerScenario_Data!R7)</f>
        <v>-0.99289453574083641</v>
      </c>
      <c r="E88" s="587"/>
      <c r="H88" s="586" t="str">
        <f>IF(ISBLANK(BottomManagersPerScenario_Data!S7), "", BottomManagersPerScenario_Data!S7)</f>
        <v>Taula: SWIB-DM Taula</v>
      </c>
      <c r="I88" s="586"/>
      <c r="J88" s="586"/>
      <c r="K88" s="587">
        <f>IF(ISBLANK(BottomManagersPerScenario_Data!T7), "", BottomManagersPerScenario_Data!T7)</f>
        <v>-2.0773846805142098</v>
      </c>
      <c r="L88" s="587"/>
    </row>
    <row r="89" spans="1:12" x14ac:dyDescent="0.25">
      <c r="A89" s="586" t="str">
        <f>IF(ISBLANK(BottomManagersPerScenario_Data!Q8), "", BottomManagersPerScenario_Data!Q8)</f>
        <v>Saba: CEF1 MN - 2.75x</v>
      </c>
      <c r="B89" s="586"/>
      <c r="C89" s="586"/>
      <c r="D89" s="587">
        <f>IF(ISBLANK(BottomManagersPerScenario_Data!R8), "", BottomManagersPerScenario_Data!R8)</f>
        <v>-0.9044658423210965</v>
      </c>
      <c r="E89" s="587"/>
      <c r="H89" s="586" t="str">
        <f>IF(ISBLANK(BottomManagersPerScenario_Data!S8), "", BottomManagersPerScenario_Data!S8)</f>
        <v>King Street Capital LP: King Street Capital LP</v>
      </c>
      <c r="I89" s="586"/>
      <c r="J89" s="586"/>
      <c r="K89" s="587">
        <f>IF(ISBLANK(BottomManagersPerScenario_Data!T8), "", BottomManagersPerScenario_Data!T8)</f>
        <v>-1.6355197867162823</v>
      </c>
      <c r="L89" s="587"/>
    </row>
    <row r="90" spans="1:12" x14ac:dyDescent="0.25">
      <c r="A90" s="586" t="str">
        <f>IF(ISBLANK(BottomManagersPerScenario_Data!Q9), "", BottomManagersPerScenario_Data!Q9)</f>
        <v>HF: Current Coinvests (Excluding BH Coinvests)</v>
      </c>
      <c r="B90" s="586"/>
      <c r="C90" s="586"/>
      <c r="D90" s="587">
        <f>IF(ISBLANK(BottomManagersPerScenario_Data!R9), "", BottomManagersPerScenario_Data!R9)</f>
        <v>-0.76868295779815266</v>
      </c>
      <c r="E90" s="587"/>
      <c r="H90" s="586" t="str">
        <f>IF(ISBLANK(BottomManagersPerScenario_Data!S9), "", BottomManagersPerScenario_Data!S9)</f>
        <v>Brevan Howard Coinvests (Aksia): Brevan Howard Special Opportunities SPC</v>
      </c>
      <c r="I90" s="586"/>
      <c r="J90" s="586"/>
      <c r="K90" s="587">
        <f>IF(ISBLANK(BottomManagersPerScenario_Data!T9), "", BottomManagersPerScenario_Data!T9)</f>
        <v>-1.5587522525899025</v>
      </c>
      <c r="L90" s="587"/>
    </row>
    <row r="91" spans="1:12" x14ac:dyDescent="0.25">
      <c r="A91" s="586" t="str">
        <f>IF(ISBLANK(BottomManagersPerScenario_Data!Q10), "", BottomManagersPerScenario_Data!Q10)</f>
        <v>Voleon Composition Domestic Fund LP: Voleon Composition Domestic Fund LP</v>
      </c>
      <c r="B91" s="586"/>
      <c r="C91" s="586"/>
      <c r="D91" s="587">
        <f>IF(ISBLANK(BottomManagersPerScenario_Data!R10), "", BottomManagersPerScenario_Data!R10)</f>
        <v>-0.47735815994663705</v>
      </c>
      <c r="E91" s="587"/>
      <c r="H91" s="586" t="str">
        <f>IF(ISBLANK(BottomManagersPerScenario_Data!S10), "", BottomManagersPerScenario_Data!S10)</f>
        <v>HF: Current Coinvests (Excluding BH Coinvests)</v>
      </c>
      <c r="I91" s="586"/>
      <c r="J91" s="586"/>
      <c r="K91" s="587">
        <f>IF(ISBLANK(BottomManagersPerScenario_Data!T10), "", BottomManagersPerScenario_Data!T10)</f>
        <v>-1.4819288819841772</v>
      </c>
      <c r="L91" s="587"/>
    </row>
    <row r="92" spans="1:12" x14ac:dyDescent="0.25">
      <c r="A92" s="586" t="str">
        <f>IF(ISBLANK(BottomManagersPerScenario_Data!Q11), "", BottomManagersPerScenario_Data!Q11)</f>
        <v>Taula: SWIB-DM Taula</v>
      </c>
      <c r="B92" s="586"/>
      <c r="C92" s="586"/>
      <c r="D92" s="587">
        <f>IF(ISBLANK(BottomManagersPerScenario_Data!R11), "", BottomManagersPerScenario_Data!R11)</f>
        <v>-0.37912509398912941</v>
      </c>
      <c r="E92" s="587"/>
      <c r="H92" s="586" t="str">
        <f>IF(ISBLANK(BottomManagersPerScenario_Data!S11), "", BottomManagersPerScenario_Data!S11)</f>
        <v>Graham Absolute Return Ltd: Graham Absolute Return Ltd</v>
      </c>
      <c r="I92" s="586"/>
      <c r="J92" s="586"/>
      <c r="K92" s="587">
        <f>IF(ISBLANK(BottomManagersPerScenario_Data!T11), "", BottomManagersPerScenario_Data!T11)</f>
        <v>-1.0988992592152995</v>
      </c>
      <c r="L92" s="587"/>
    </row>
    <row r="96" spans="1:12" x14ac:dyDescent="0.25">
      <c r="A96" s="588" t="str">
        <f>IF(ISBLANK(BottomManagersPerScenario_Data!U$1), "", BottomManagersPerScenario_Data!U$1)</f>
        <v>2005 Katrina</v>
      </c>
      <c r="B96" s="588"/>
      <c r="C96" s="588"/>
      <c r="D96" s="588"/>
      <c r="E96" s="588"/>
      <c r="H96" s="588"/>
      <c r="I96" s="588"/>
      <c r="J96" s="588"/>
      <c r="K96" s="588"/>
      <c r="L96" s="588"/>
    </row>
    <row r="98" spans="1:5" x14ac:dyDescent="0.25">
      <c r="A98" s="586" t="str">
        <f>IF(ISBLANK(BottomManagersPerScenario_Data!U2), "", BottomManagersPerScenario_Data!U2)</f>
        <v>Silver Point Capital: Silver Point Distressed Opportunity Institutional Partners + Silver Point HF</v>
      </c>
      <c r="B98" s="586"/>
      <c r="C98" s="586"/>
      <c r="D98" s="587">
        <f>IF(ISBLANK(BottomManagersPerScenario_Data!V2), "", BottomManagersPerScenario_Data!V2)</f>
        <v>-2.8024160161237313</v>
      </c>
      <c r="E98" s="587"/>
    </row>
    <row r="99" spans="1:5" x14ac:dyDescent="0.25">
      <c r="A99" s="586" t="str">
        <f>IF(ISBLANK(BottomManagersPerScenario_Data!U3), "", BottomManagersPerScenario_Data!U3)</f>
        <v>PIMCO: PIMCO Commodity Alpha Fund</v>
      </c>
      <c r="B99" s="586"/>
      <c r="C99" s="586"/>
      <c r="D99" s="587">
        <f>IF(ISBLANK(BottomManagersPerScenario_Data!V3), "", BottomManagersPerScenario_Data!V3)</f>
        <v>-1.2212106026756813</v>
      </c>
      <c r="E99" s="587"/>
    </row>
    <row r="100" spans="1:5" x14ac:dyDescent="0.25">
      <c r="A100" s="586" t="str">
        <f>IF(ISBLANK(BottomManagersPerScenario_Data!U4), "", BottomManagersPerScenario_Data!U4)</f>
        <v>Aquatic: Aquatic - Nautilus CFM (Net)</v>
      </c>
      <c r="B100" s="586"/>
      <c r="C100" s="586"/>
      <c r="D100" s="587">
        <f>IF(ISBLANK(BottomManagersPerScenario_Data!V4), "", BottomManagersPerScenario_Data!V4)</f>
        <v>-1.1990010182602795</v>
      </c>
      <c r="E100" s="587"/>
    </row>
    <row r="101" spans="1:5" x14ac:dyDescent="0.25">
      <c r="A101" s="586" t="str">
        <f>IF(ISBLANK(BottomManagersPerScenario_Data!U5), "", BottomManagersPerScenario_Data!U5)</f>
        <v>HF: Current Coinvests (Excluding BH Coinvests)</v>
      </c>
      <c r="B101" s="586"/>
      <c r="C101" s="586"/>
      <c r="D101" s="587">
        <f>IF(ISBLANK(BottomManagersPerScenario_Data!V5), "", BottomManagersPerScenario_Data!V5)</f>
        <v>-0.91281200259418671</v>
      </c>
      <c r="E101" s="587"/>
    </row>
    <row r="102" spans="1:5" x14ac:dyDescent="0.25">
      <c r="A102" s="586" t="str">
        <f>IF(ISBLANK(BottomManagersPerScenario_Data!U6), "", BottomManagersPerScenario_Data!U6)</f>
        <v>Mesarete: Prior TR+back with Pharo Macro+Mesarete Capital Fund</v>
      </c>
      <c r="B102" s="586"/>
      <c r="C102" s="586"/>
      <c r="D102" s="587">
        <f>IF(ISBLANK(BottomManagersPerScenario_Data!V6), "", BottomManagersPerScenario_Data!V6)</f>
        <v>-0.86863254144673596</v>
      </c>
      <c r="E102" s="587"/>
    </row>
    <row r="103" spans="1:5" x14ac:dyDescent="0.25">
      <c r="A103" s="586" t="str">
        <f>IF(ISBLANK(BottomManagersPerScenario_Data!U7), "", BottomManagersPerScenario_Data!U7)</f>
        <v>Hudson Structured: HSCM w MFC</v>
      </c>
      <c r="B103" s="586"/>
      <c r="C103" s="586"/>
      <c r="D103" s="587">
        <f>IF(ISBLANK(BottomManagersPerScenario_Data!V7), "", BottomManagersPerScenario_Data!V7)</f>
        <v>-0.73264088250035808</v>
      </c>
      <c r="E103" s="587"/>
    </row>
    <row r="104" spans="1:5" x14ac:dyDescent="0.25">
      <c r="A104" s="586" t="str">
        <f>IF(ISBLANK(BottomManagersPerScenario_Data!U8), "", BottomManagersPerScenario_Data!U8)</f>
        <v>Saba: CEF1 MN - 2.75x</v>
      </c>
      <c r="B104" s="586"/>
      <c r="C104" s="586"/>
      <c r="D104" s="587">
        <f>IF(ISBLANK(BottomManagersPerScenario_Data!V8), "", BottomManagersPerScenario_Data!V8)</f>
        <v>-0.18303597640621741</v>
      </c>
      <c r="E104" s="587"/>
    </row>
    <row r="105" spans="1:5" x14ac:dyDescent="0.25">
      <c r="A105" s="586" t="str">
        <f>IF(ISBLANK(BottomManagersPerScenario_Data!U9), "", BottomManagersPerScenario_Data!U9)</f>
        <v>King Street Capital LP: King Street Capital LP</v>
      </c>
      <c r="B105" s="586"/>
      <c r="C105" s="586"/>
      <c r="D105" s="587">
        <f>IF(ISBLANK(BottomManagersPerScenario_Data!V9), "", BottomManagersPerScenario_Data!V9)</f>
        <v>-0.15866768505998344</v>
      </c>
      <c r="E105" s="587"/>
    </row>
    <row r="106" spans="1:5" x14ac:dyDescent="0.25">
      <c r="A106" s="586" t="str">
        <f>IF(ISBLANK(BottomManagersPerScenario_Data!U10), "", BottomManagersPerScenario_Data!U10)</f>
        <v>LibreMax Partners LP: LibreMax Partners LP</v>
      </c>
      <c r="B106" s="586"/>
      <c r="C106" s="586"/>
      <c r="D106" s="587">
        <f>IF(ISBLANK(BottomManagersPerScenario_Data!V10), "", BottomManagersPerScenario_Data!V10)</f>
        <v>2.8230378647028254E-2</v>
      </c>
      <c r="E106" s="587"/>
    </row>
    <row r="107" spans="1:5" x14ac:dyDescent="0.25">
      <c r="A107" s="586" t="str">
        <f>IF(ISBLANK(BottomManagersPerScenario_Data!U11), "", BottomManagersPerScenario_Data!U11)</f>
        <v>Four World: FWGO Minority Descent</v>
      </c>
      <c r="B107" s="586"/>
      <c r="C107" s="586"/>
      <c r="D107" s="587">
        <f>IF(ISBLANK(BottomManagersPerScenario_Data!V11), "", BottomManagersPerScenario_Data!V11)</f>
        <v>0.20936444276679042</v>
      </c>
      <c r="E107" s="587"/>
    </row>
  </sheetData>
  <mergeCells count="232">
    <mergeCell ref="A6:E6"/>
    <mergeCell ref="H6:L6"/>
    <mergeCell ref="A20:E20"/>
    <mergeCell ref="H20:L20"/>
    <mergeCell ref="A35:E35"/>
    <mergeCell ref="H35:L35"/>
    <mergeCell ref="A8:C8"/>
    <mergeCell ref="A9:C9"/>
    <mergeCell ref="A10:C10"/>
    <mergeCell ref="A11:C11"/>
    <mergeCell ref="A12:C12"/>
    <mergeCell ref="A13:C13"/>
    <mergeCell ref="A14:C14"/>
    <mergeCell ref="A15:C15"/>
    <mergeCell ref="A16:C16"/>
    <mergeCell ref="A17:C17"/>
    <mergeCell ref="D9:E9"/>
    <mergeCell ref="D10:E10"/>
    <mergeCell ref="D11:E11"/>
    <mergeCell ref="D12:E12"/>
    <mergeCell ref="D13:E13"/>
    <mergeCell ref="A23:C23"/>
    <mergeCell ref="D23:E23"/>
    <mergeCell ref="H23:J23"/>
    <mergeCell ref="A81:E81"/>
    <mergeCell ref="H81:L81"/>
    <mergeCell ref="A70:C70"/>
    <mergeCell ref="D70:E70"/>
    <mergeCell ref="H70:J70"/>
    <mergeCell ref="K70:L70"/>
    <mergeCell ref="K8:L8"/>
    <mergeCell ref="K9:L9"/>
    <mergeCell ref="K10:L10"/>
    <mergeCell ref="K11:L11"/>
    <mergeCell ref="K12:L12"/>
    <mergeCell ref="K13:L13"/>
    <mergeCell ref="D14:E14"/>
    <mergeCell ref="D15:E15"/>
    <mergeCell ref="D16:E16"/>
    <mergeCell ref="H8:J8"/>
    <mergeCell ref="H9:J9"/>
    <mergeCell ref="H10:J10"/>
    <mergeCell ref="H11:J11"/>
    <mergeCell ref="H12:J12"/>
    <mergeCell ref="H13:J13"/>
    <mergeCell ref="D8:E8"/>
    <mergeCell ref="K14:L14"/>
    <mergeCell ref="K15:L15"/>
    <mergeCell ref="K16:L16"/>
    <mergeCell ref="K17:L17"/>
    <mergeCell ref="A22:C22"/>
    <mergeCell ref="D22:E22"/>
    <mergeCell ref="H22:J22"/>
    <mergeCell ref="K22:L22"/>
    <mergeCell ref="H14:J14"/>
    <mergeCell ref="H15:J15"/>
    <mergeCell ref="H16:J16"/>
    <mergeCell ref="H17:J17"/>
    <mergeCell ref="D17:E17"/>
    <mergeCell ref="A25:C25"/>
    <mergeCell ref="D25:E25"/>
    <mergeCell ref="H25:J25"/>
    <mergeCell ref="K25:L25"/>
    <mergeCell ref="A26:C26"/>
    <mergeCell ref="D26:E26"/>
    <mergeCell ref="H26:J26"/>
    <mergeCell ref="K26:L26"/>
    <mergeCell ref="K23:L23"/>
    <mergeCell ref="A24:C24"/>
    <mergeCell ref="D24:E24"/>
    <mergeCell ref="H24:J24"/>
    <mergeCell ref="K24:L24"/>
    <mergeCell ref="A29:C29"/>
    <mergeCell ref="D29:E29"/>
    <mergeCell ref="H29:J29"/>
    <mergeCell ref="K29:L29"/>
    <mergeCell ref="A30:C30"/>
    <mergeCell ref="D30:E30"/>
    <mergeCell ref="H30:J30"/>
    <mergeCell ref="K30:L30"/>
    <mergeCell ref="A27:C27"/>
    <mergeCell ref="D27:E27"/>
    <mergeCell ref="H27:J27"/>
    <mergeCell ref="K27:L27"/>
    <mergeCell ref="A28:C28"/>
    <mergeCell ref="D28:E28"/>
    <mergeCell ref="H28:J28"/>
    <mergeCell ref="K28:L28"/>
    <mergeCell ref="A38:C38"/>
    <mergeCell ref="D38:E38"/>
    <mergeCell ref="H38:J38"/>
    <mergeCell ref="K38:L38"/>
    <mergeCell ref="A39:C39"/>
    <mergeCell ref="D39:E39"/>
    <mergeCell ref="H39:J39"/>
    <mergeCell ref="K39:L39"/>
    <mergeCell ref="A31:C31"/>
    <mergeCell ref="D31:E31"/>
    <mergeCell ref="H31:J31"/>
    <mergeCell ref="K31:L31"/>
    <mergeCell ref="A37:C37"/>
    <mergeCell ref="D37:E37"/>
    <mergeCell ref="H37:J37"/>
    <mergeCell ref="K37:L37"/>
    <mergeCell ref="A42:C42"/>
    <mergeCell ref="D42:E42"/>
    <mergeCell ref="H42:J42"/>
    <mergeCell ref="K42:L42"/>
    <mergeCell ref="A43:C43"/>
    <mergeCell ref="D43:E43"/>
    <mergeCell ref="H43:J43"/>
    <mergeCell ref="K43:L43"/>
    <mergeCell ref="A40:C40"/>
    <mergeCell ref="D40:E40"/>
    <mergeCell ref="H40:J40"/>
    <mergeCell ref="K40:L40"/>
    <mergeCell ref="A41:C41"/>
    <mergeCell ref="D41:E41"/>
    <mergeCell ref="H41:J41"/>
    <mergeCell ref="K41:L41"/>
    <mergeCell ref="A46:C46"/>
    <mergeCell ref="D46:E46"/>
    <mergeCell ref="H46:J46"/>
    <mergeCell ref="K46:L46"/>
    <mergeCell ref="A69:C69"/>
    <mergeCell ref="D69:E69"/>
    <mergeCell ref="H69:J69"/>
    <mergeCell ref="K69:L69"/>
    <mergeCell ref="A44:C44"/>
    <mergeCell ref="D44:E44"/>
    <mergeCell ref="H44:J44"/>
    <mergeCell ref="K44:L44"/>
    <mergeCell ref="A45:C45"/>
    <mergeCell ref="D45:E45"/>
    <mergeCell ref="H45:J45"/>
    <mergeCell ref="K45:L45"/>
    <mergeCell ref="A67:E67"/>
    <mergeCell ref="H67:L67"/>
    <mergeCell ref="A73:C73"/>
    <mergeCell ref="D73:E73"/>
    <mergeCell ref="H73:J73"/>
    <mergeCell ref="K73:L73"/>
    <mergeCell ref="A74:C74"/>
    <mergeCell ref="D74:E74"/>
    <mergeCell ref="H74:J74"/>
    <mergeCell ref="K74:L74"/>
    <mergeCell ref="A71:C71"/>
    <mergeCell ref="D71:E71"/>
    <mergeCell ref="H71:J71"/>
    <mergeCell ref="K71:L71"/>
    <mergeCell ref="A72:C72"/>
    <mergeCell ref="D72:E72"/>
    <mergeCell ref="H72:J72"/>
    <mergeCell ref="K72:L72"/>
    <mergeCell ref="A77:C77"/>
    <mergeCell ref="D77:E77"/>
    <mergeCell ref="H77:J77"/>
    <mergeCell ref="K77:L77"/>
    <mergeCell ref="A78:C78"/>
    <mergeCell ref="D78:E78"/>
    <mergeCell ref="H78:J78"/>
    <mergeCell ref="K78:L78"/>
    <mergeCell ref="A75:C75"/>
    <mergeCell ref="D75:E75"/>
    <mergeCell ref="H75:J75"/>
    <mergeCell ref="K75:L75"/>
    <mergeCell ref="A76:C76"/>
    <mergeCell ref="D76:E76"/>
    <mergeCell ref="H76:J76"/>
    <mergeCell ref="K76:L76"/>
    <mergeCell ref="A85:C85"/>
    <mergeCell ref="D85:E85"/>
    <mergeCell ref="H85:J85"/>
    <mergeCell ref="K85:L85"/>
    <mergeCell ref="A86:C86"/>
    <mergeCell ref="D86:E86"/>
    <mergeCell ref="H86:J86"/>
    <mergeCell ref="K86:L86"/>
    <mergeCell ref="A83:C83"/>
    <mergeCell ref="D83:E83"/>
    <mergeCell ref="H83:J83"/>
    <mergeCell ref="K83:L83"/>
    <mergeCell ref="A84:C84"/>
    <mergeCell ref="D84:E84"/>
    <mergeCell ref="H84:J84"/>
    <mergeCell ref="K84:L84"/>
    <mergeCell ref="A89:C89"/>
    <mergeCell ref="D89:E89"/>
    <mergeCell ref="H89:J89"/>
    <mergeCell ref="K89:L89"/>
    <mergeCell ref="A90:C90"/>
    <mergeCell ref="D90:E90"/>
    <mergeCell ref="H90:J90"/>
    <mergeCell ref="K90:L90"/>
    <mergeCell ref="A87:C87"/>
    <mergeCell ref="D87:E87"/>
    <mergeCell ref="H87:J87"/>
    <mergeCell ref="K87:L87"/>
    <mergeCell ref="A88:C88"/>
    <mergeCell ref="D88:E88"/>
    <mergeCell ref="H88:J88"/>
    <mergeCell ref="K88:L88"/>
    <mergeCell ref="A98:C98"/>
    <mergeCell ref="D98:E98"/>
    <mergeCell ref="A99:C99"/>
    <mergeCell ref="D99:E99"/>
    <mergeCell ref="A100:C100"/>
    <mergeCell ref="D100:E100"/>
    <mergeCell ref="A91:C91"/>
    <mergeCell ref="D91:E91"/>
    <mergeCell ref="H91:J91"/>
    <mergeCell ref="A96:E96"/>
    <mergeCell ref="H96:L96"/>
    <mergeCell ref="K91:L91"/>
    <mergeCell ref="A92:C92"/>
    <mergeCell ref="D92:E92"/>
    <mergeCell ref="H92:J92"/>
    <mergeCell ref="K92:L92"/>
    <mergeCell ref="A107:C107"/>
    <mergeCell ref="D107:E107"/>
    <mergeCell ref="A104:C104"/>
    <mergeCell ref="D104:E104"/>
    <mergeCell ref="A105:C105"/>
    <mergeCell ref="D105:E105"/>
    <mergeCell ref="A106:C106"/>
    <mergeCell ref="D106:E106"/>
    <mergeCell ref="A101:C101"/>
    <mergeCell ref="D101:E101"/>
    <mergeCell ref="A102:C102"/>
    <mergeCell ref="D102:E102"/>
    <mergeCell ref="A103:C103"/>
    <mergeCell ref="D103:E103"/>
  </mergeCells>
  <conditionalFormatting sqref="D8:E17">
    <cfRule type="dataBar" priority="11">
      <dataBar>
        <cfvo type="min"/>
        <cfvo type="max"/>
        <color rgb="FF638EC6"/>
      </dataBar>
      <extLst>
        <ext xmlns:x14="http://schemas.microsoft.com/office/spreadsheetml/2009/9/main" uri="{B025F937-C7B1-47D3-B67F-A62EFF666E3E}">
          <x14:id>{3567BA03-4BAA-4697-BAEF-5DF48C7F4B73}</x14:id>
        </ext>
      </extLst>
    </cfRule>
  </conditionalFormatting>
  <conditionalFormatting sqref="D22:E31">
    <cfRule type="dataBar" priority="9">
      <dataBar>
        <cfvo type="min"/>
        <cfvo type="max"/>
        <color rgb="FF638EC6"/>
      </dataBar>
      <extLst>
        <ext xmlns:x14="http://schemas.microsoft.com/office/spreadsheetml/2009/9/main" uri="{B025F937-C7B1-47D3-B67F-A62EFF666E3E}">
          <x14:id>{7BFC7802-FBFF-421F-84C3-38982CDB319F}</x14:id>
        </ext>
      </extLst>
    </cfRule>
  </conditionalFormatting>
  <conditionalFormatting sqref="D37:E46">
    <cfRule type="dataBar" priority="7">
      <dataBar>
        <cfvo type="min"/>
        <cfvo type="max"/>
        <color rgb="FF638EC6"/>
      </dataBar>
      <extLst>
        <ext xmlns:x14="http://schemas.microsoft.com/office/spreadsheetml/2009/9/main" uri="{B025F937-C7B1-47D3-B67F-A62EFF666E3E}">
          <x14:id>{5FA055E2-B4AF-4EA4-82DD-0D8AC9696D50}</x14:id>
        </ext>
      </extLst>
    </cfRule>
  </conditionalFormatting>
  <conditionalFormatting sqref="D69:E78">
    <cfRule type="dataBar" priority="5">
      <dataBar>
        <cfvo type="min"/>
        <cfvo type="max"/>
        <color rgb="FF638EC6"/>
      </dataBar>
      <extLst>
        <ext xmlns:x14="http://schemas.microsoft.com/office/spreadsheetml/2009/9/main" uri="{B025F937-C7B1-47D3-B67F-A62EFF666E3E}">
          <x14:id>{3872303D-87F5-43C6-AE14-B3553C76D3B0}</x14:id>
        </ext>
      </extLst>
    </cfRule>
  </conditionalFormatting>
  <conditionalFormatting sqref="D83:E92">
    <cfRule type="dataBar" priority="3">
      <dataBar>
        <cfvo type="min"/>
        <cfvo type="max"/>
        <color rgb="FF638EC6"/>
      </dataBar>
      <extLst>
        <ext xmlns:x14="http://schemas.microsoft.com/office/spreadsheetml/2009/9/main" uri="{B025F937-C7B1-47D3-B67F-A62EFF666E3E}">
          <x14:id>{F8125EE9-FBA4-4E93-8C70-BBF863E4362F}</x14:id>
        </ext>
      </extLst>
    </cfRule>
  </conditionalFormatting>
  <conditionalFormatting sqref="D98:E107">
    <cfRule type="dataBar" priority="1">
      <dataBar>
        <cfvo type="min"/>
        <cfvo type="max"/>
        <color rgb="FF638EC6"/>
      </dataBar>
      <extLst>
        <ext xmlns:x14="http://schemas.microsoft.com/office/spreadsheetml/2009/9/main" uri="{B025F937-C7B1-47D3-B67F-A62EFF666E3E}">
          <x14:id>{1B41BA73-C3E5-49A0-A7D8-6408ACB26787}</x14:id>
        </ext>
      </extLst>
    </cfRule>
  </conditionalFormatting>
  <conditionalFormatting sqref="K8:L17">
    <cfRule type="dataBar" priority="10">
      <dataBar>
        <cfvo type="min"/>
        <cfvo type="max"/>
        <color rgb="FF638EC6"/>
      </dataBar>
      <extLst>
        <ext xmlns:x14="http://schemas.microsoft.com/office/spreadsheetml/2009/9/main" uri="{B025F937-C7B1-47D3-B67F-A62EFF666E3E}">
          <x14:id>{069477D6-D7CD-49E8-BDE2-04BC5C333655}</x14:id>
        </ext>
      </extLst>
    </cfRule>
  </conditionalFormatting>
  <conditionalFormatting sqref="K22:L31">
    <cfRule type="dataBar" priority="8">
      <dataBar>
        <cfvo type="min"/>
        <cfvo type="max"/>
        <color rgb="FF638EC6"/>
      </dataBar>
      <extLst>
        <ext xmlns:x14="http://schemas.microsoft.com/office/spreadsheetml/2009/9/main" uri="{B025F937-C7B1-47D3-B67F-A62EFF666E3E}">
          <x14:id>{3CC88065-8DE6-4ACC-8367-60BB6608676E}</x14:id>
        </ext>
      </extLst>
    </cfRule>
  </conditionalFormatting>
  <conditionalFormatting sqref="K37:L46">
    <cfRule type="dataBar" priority="6">
      <dataBar>
        <cfvo type="min"/>
        <cfvo type="max"/>
        <color rgb="FF638EC6"/>
      </dataBar>
      <extLst>
        <ext xmlns:x14="http://schemas.microsoft.com/office/spreadsheetml/2009/9/main" uri="{B025F937-C7B1-47D3-B67F-A62EFF666E3E}">
          <x14:id>{5D003FC5-F11F-4846-AA29-74FF1CB64096}</x14:id>
        </ext>
      </extLst>
    </cfRule>
  </conditionalFormatting>
  <conditionalFormatting sqref="K69:L78">
    <cfRule type="dataBar" priority="4">
      <dataBar>
        <cfvo type="min"/>
        <cfvo type="max"/>
        <color rgb="FF638EC6"/>
      </dataBar>
      <extLst>
        <ext xmlns:x14="http://schemas.microsoft.com/office/spreadsheetml/2009/9/main" uri="{B025F937-C7B1-47D3-B67F-A62EFF666E3E}">
          <x14:id>{3EA509E9-B387-4AF4-9ADA-42D0E41DE5AA}</x14:id>
        </ext>
      </extLst>
    </cfRule>
  </conditionalFormatting>
  <conditionalFormatting sqref="K83:L92">
    <cfRule type="dataBar" priority="2">
      <dataBar>
        <cfvo type="min"/>
        <cfvo type="max"/>
        <color rgb="FF638EC6"/>
      </dataBar>
      <extLst>
        <ext xmlns:x14="http://schemas.microsoft.com/office/spreadsheetml/2009/9/main" uri="{B025F937-C7B1-47D3-B67F-A62EFF666E3E}">
          <x14:id>{4CEC786C-6FFA-42B1-AD2D-5667D7A0043D}</x14:id>
        </ext>
      </extLst>
    </cfRule>
  </conditionalFormatting>
  <pageMargins left="0.7" right="0.7" top="0.75" bottom="0.75" header="0.3" footer="0.3"/>
  <pageSetup scale="76" fitToHeight="0" orientation="portrait" r:id="rId1"/>
  <drawing r:id="rId2"/>
  <extLst>
    <ext xmlns:x14="http://schemas.microsoft.com/office/spreadsheetml/2009/9/main" uri="{78C0D931-6437-407d-A8EE-F0AAD7539E65}">
      <x14:conditionalFormattings>
        <x14:conditionalFormatting xmlns:xm="http://schemas.microsoft.com/office/excel/2006/main">
          <x14:cfRule type="dataBar" id="{3567BA03-4BAA-4697-BAEF-5DF48C7F4B73}">
            <x14:dataBar minLength="0" maxLength="100" border="1" gradient="0" negativeBarColorSameAsPositive="1" axisPosition="middle">
              <x14:cfvo type="autoMin"/>
              <x14:cfvo type="autoMax"/>
              <x14:borderColor rgb="FF84A5D2"/>
              <x14:axisColor rgb="FF000000"/>
            </x14:dataBar>
          </x14:cfRule>
          <xm:sqref>D8:E17</xm:sqref>
        </x14:conditionalFormatting>
        <x14:conditionalFormatting xmlns:xm="http://schemas.microsoft.com/office/excel/2006/main">
          <x14:cfRule type="dataBar" id="{7BFC7802-FBFF-421F-84C3-38982CDB319F}">
            <x14:dataBar minLength="0" maxLength="100" border="1" gradient="0" negativeBarColorSameAsPositive="1" axisPosition="middle">
              <x14:cfvo type="autoMin"/>
              <x14:cfvo type="autoMax"/>
              <x14:borderColor rgb="FF84A5D2"/>
              <x14:axisColor rgb="FF000000"/>
            </x14:dataBar>
          </x14:cfRule>
          <xm:sqref>D22:E31</xm:sqref>
        </x14:conditionalFormatting>
        <x14:conditionalFormatting xmlns:xm="http://schemas.microsoft.com/office/excel/2006/main">
          <x14:cfRule type="dataBar" id="{5FA055E2-B4AF-4EA4-82DD-0D8AC9696D50}">
            <x14:dataBar minLength="0" maxLength="100" border="1" gradient="0" negativeBarColorSameAsPositive="1" axisPosition="middle">
              <x14:cfvo type="autoMin"/>
              <x14:cfvo type="autoMax"/>
              <x14:borderColor rgb="FF84A5D2"/>
              <x14:axisColor rgb="FF000000"/>
            </x14:dataBar>
          </x14:cfRule>
          <xm:sqref>D37:E46</xm:sqref>
        </x14:conditionalFormatting>
        <x14:conditionalFormatting xmlns:xm="http://schemas.microsoft.com/office/excel/2006/main">
          <x14:cfRule type="dataBar" id="{3872303D-87F5-43C6-AE14-B3553C76D3B0}">
            <x14:dataBar minLength="0" maxLength="100" border="1" gradient="0" negativeBarColorSameAsPositive="1" axisPosition="middle">
              <x14:cfvo type="autoMin"/>
              <x14:cfvo type="autoMax"/>
              <x14:borderColor rgb="FF84A5D2"/>
              <x14:axisColor rgb="FF000000"/>
            </x14:dataBar>
          </x14:cfRule>
          <xm:sqref>D69:E78</xm:sqref>
        </x14:conditionalFormatting>
        <x14:conditionalFormatting xmlns:xm="http://schemas.microsoft.com/office/excel/2006/main">
          <x14:cfRule type="dataBar" id="{F8125EE9-FBA4-4E93-8C70-BBF863E4362F}">
            <x14:dataBar minLength="0" maxLength="100" border="1" gradient="0" negativeBarColorSameAsPositive="1" axisPosition="middle">
              <x14:cfvo type="autoMin"/>
              <x14:cfvo type="autoMax"/>
              <x14:borderColor rgb="FF84A5D2"/>
              <x14:axisColor rgb="FF000000"/>
            </x14:dataBar>
          </x14:cfRule>
          <xm:sqref>D83:E92</xm:sqref>
        </x14:conditionalFormatting>
        <x14:conditionalFormatting xmlns:xm="http://schemas.microsoft.com/office/excel/2006/main">
          <x14:cfRule type="dataBar" id="{1B41BA73-C3E5-49A0-A7D8-6408ACB26787}">
            <x14:dataBar minLength="0" maxLength="100" border="1" gradient="0" negativeBarColorSameAsPositive="1" axisPosition="middle">
              <x14:cfvo type="autoMin"/>
              <x14:cfvo type="autoMax"/>
              <x14:borderColor rgb="FF84A5D2"/>
              <x14:axisColor rgb="FF000000"/>
            </x14:dataBar>
          </x14:cfRule>
          <xm:sqref>D98:E107</xm:sqref>
        </x14:conditionalFormatting>
        <x14:conditionalFormatting xmlns:xm="http://schemas.microsoft.com/office/excel/2006/main">
          <x14:cfRule type="dataBar" id="{069477D6-D7CD-49E8-BDE2-04BC5C333655}">
            <x14:dataBar minLength="0" maxLength="100" border="1" gradient="0" negativeBarColorSameAsPositive="1" axisPosition="middle">
              <x14:cfvo type="autoMin"/>
              <x14:cfvo type="autoMax"/>
              <x14:borderColor rgb="FF84A5D2"/>
              <x14:axisColor rgb="FF000000"/>
            </x14:dataBar>
          </x14:cfRule>
          <xm:sqref>K8:L17</xm:sqref>
        </x14:conditionalFormatting>
        <x14:conditionalFormatting xmlns:xm="http://schemas.microsoft.com/office/excel/2006/main">
          <x14:cfRule type="dataBar" id="{3CC88065-8DE6-4ACC-8367-60BB6608676E}">
            <x14:dataBar minLength="0" maxLength="100" border="1" gradient="0" negativeBarColorSameAsPositive="1" axisPosition="middle">
              <x14:cfvo type="autoMin"/>
              <x14:cfvo type="autoMax"/>
              <x14:borderColor rgb="FF84A5D2"/>
              <x14:axisColor rgb="FF000000"/>
            </x14:dataBar>
          </x14:cfRule>
          <xm:sqref>K22:L31</xm:sqref>
        </x14:conditionalFormatting>
        <x14:conditionalFormatting xmlns:xm="http://schemas.microsoft.com/office/excel/2006/main">
          <x14:cfRule type="dataBar" id="{5D003FC5-F11F-4846-AA29-74FF1CB64096}">
            <x14:dataBar minLength="0" maxLength="100" border="1" gradient="0" negativeBarColorSameAsPositive="1" axisPosition="middle">
              <x14:cfvo type="autoMin"/>
              <x14:cfvo type="autoMax"/>
              <x14:borderColor rgb="FF84A5D2"/>
              <x14:axisColor rgb="FF000000"/>
            </x14:dataBar>
          </x14:cfRule>
          <xm:sqref>K37:L46</xm:sqref>
        </x14:conditionalFormatting>
        <x14:conditionalFormatting xmlns:xm="http://schemas.microsoft.com/office/excel/2006/main">
          <x14:cfRule type="dataBar" id="{3EA509E9-B387-4AF4-9ADA-42D0E41DE5AA}">
            <x14:dataBar minLength="0" maxLength="100" border="1" gradient="0" negativeBarColorSameAsPositive="1" axisPosition="middle">
              <x14:cfvo type="autoMin"/>
              <x14:cfvo type="autoMax"/>
              <x14:borderColor rgb="FF84A5D2"/>
              <x14:axisColor rgb="FF000000"/>
            </x14:dataBar>
          </x14:cfRule>
          <xm:sqref>K69:L78</xm:sqref>
        </x14:conditionalFormatting>
        <x14:conditionalFormatting xmlns:xm="http://schemas.microsoft.com/office/excel/2006/main">
          <x14:cfRule type="dataBar" id="{4CEC786C-6FFA-42B1-AD2D-5667D7A0043D}">
            <x14:dataBar minLength="0" maxLength="100" border="1" gradient="0" negativeBarColorSameAsPositive="1" axisPosition="middle">
              <x14:cfvo type="autoMin"/>
              <x14:cfvo type="autoMax"/>
              <x14:borderColor rgb="FF84A5D2"/>
              <x14:axisColor rgb="FF000000"/>
            </x14:dataBar>
          </x14:cfRule>
          <xm:sqref>K83:L92</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6:L96"/>
  <sheetViews>
    <sheetView showGridLines="0" workbookViewId="0"/>
  </sheetViews>
  <sheetFormatPr defaultRowHeight="15" x14ac:dyDescent="0.25"/>
  <sheetData>
    <row r="6" spans="1:12" x14ac:dyDescent="0.25">
      <c r="A6" s="588" t="str">
        <f>IF(ISBLANK(BottomManagersPerScenario_Data!A$1), "", BottomManagersPerScenario_Data!A$1)</f>
        <v>2008 Lehman Blow-Up</v>
      </c>
      <c r="B6" s="588"/>
      <c r="C6" s="588"/>
      <c r="D6" s="588"/>
      <c r="E6" s="588"/>
      <c r="H6" s="588" t="str">
        <f>IF(ISBLANK(BottomManagersPerScenario_Data!C$1), "", BottomManagersPerScenario_Data!C$1)</f>
        <v>2002 Market Downturn</v>
      </c>
      <c r="I6" s="588"/>
      <c r="J6" s="588"/>
      <c r="K6" s="588"/>
      <c r="L6" s="588"/>
    </row>
    <row r="20" spans="1:12" x14ac:dyDescent="0.25">
      <c r="A20" s="588" t="str">
        <f>IF(ISBLANK(BottomManagersPerScenario_Data!E$1), "", BottomManagersPerScenario_Data!E$1)</f>
        <v>2001 WTC Attack</v>
      </c>
      <c r="B20" s="588"/>
      <c r="C20" s="588"/>
      <c r="D20" s="588"/>
      <c r="E20" s="588"/>
      <c r="H20" s="588" t="str">
        <f>IF(ISBLANK(BottomManagersPerScenario_Data!G$1), "", BottomManagersPerScenario_Data!G$1)</f>
        <v>1987 Black Monday</v>
      </c>
      <c r="I20" s="588"/>
      <c r="J20" s="588"/>
      <c r="K20" s="588"/>
      <c r="L20" s="588"/>
    </row>
    <row r="35" spans="1:12" x14ac:dyDescent="0.25">
      <c r="A35" s="588" t="str">
        <f>IF(ISBLANK(BottomManagersPerScenario_Data!I$1), "", BottomManagersPerScenario_Data!I$1)</f>
        <v>1998 Russian Crisis</v>
      </c>
      <c r="B35" s="588"/>
      <c r="C35" s="588"/>
      <c r="D35" s="588"/>
      <c r="E35" s="588"/>
      <c r="H35" s="588" t="str">
        <f>IF(ISBLANK(BottomManagersPerScenario_Data!K$1), "", BottomManagersPerScenario_Data!K$1)</f>
        <v>2008 January Crisis</v>
      </c>
      <c r="I35" s="588"/>
      <c r="J35" s="588"/>
      <c r="K35" s="588"/>
      <c r="L35" s="588"/>
    </row>
    <row r="67" spans="1:12" x14ac:dyDescent="0.25">
      <c r="A67" s="588" t="str">
        <f>IF(ISBLANK(BottomManagersPerScenario_Data!M$1), "", BottomManagersPerScenario_Data!M$1)</f>
        <v>2007 August Crisis</v>
      </c>
      <c r="B67" s="588"/>
      <c r="C67" s="588"/>
      <c r="D67" s="588"/>
      <c r="E67" s="588"/>
      <c r="H67" s="588" t="str">
        <f>IF(ISBLANK(BottomManagersPerScenario_Data!O$1), "", BottomManagersPerScenario_Data!O$1)</f>
        <v>2001 Nasdaq</v>
      </c>
      <c r="I67" s="588"/>
      <c r="J67" s="588"/>
      <c r="K67" s="588"/>
      <c r="L67" s="588"/>
    </row>
    <row r="81" spans="1:12" x14ac:dyDescent="0.25">
      <c r="A81" s="588" t="str">
        <f>IF(ISBLANK(BottomManagersPerScenario_Data!Q$1), "", BottomManagersPerScenario_Data!Q$1)</f>
        <v>1997 - 1998 Asian Crisis</v>
      </c>
      <c r="B81" s="588"/>
      <c r="C81" s="588"/>
      <c r="D81" s="588"/>
      <c r="E81" s="588"/>
      <c r="H81" s="588" t="str">
        <f>IF(ISBLANK(BottomManagersPerScenario_Data!S$1), "", BottomManagersPerScenario_Data!S$1)</f>
        <v>1990 Kuwait Invasion</v>
      </c>
      <c r="I81" s="588"/>
      <c r="J81" s="588"/>
      <c r="K81" s="588"/>
      <c r="L81" s="588"/>
    </row>
    <row r="96" spans="1:12" x14ac:dyDescent="0.25">
      <c r="A96" s="588" t="str">
        <f>IF(ISBLANK(BottomManagersPerScenario_Data!U$1), "", BottomManagersPerScenario_Data!U$1)</f>
        <v>2005 Katrina</v>
      </c>
      <c r="B96" s="588"/>
      <c r="C96" s="588"/>
      <c r="D96" s="588"/>
      <c r="E96" s="588"/>
      <c r="H96" s="588"/>
      <c r="I96" s="588"/>
      <c r="J96" s="588"/>
      <c r="K96" s="588"/>
      <c r="L96" s="588"/>
    </row>
  </sheetData>
  <mergeCells count="12">
    <mergeCell ref="H6:L6"/>
    <mergeCell ref="A6:E6"/>
    <mergeCell ref="H20:L20"/>
    <mergeCell ref="A20:E20"/>
    <mergeCell ref="A35:E35"/>
    <mergeCell ref="H35:L35"/>
    <mergeCell ref="A67:E67"/>
    <mergeCell ref="H67:L67"/>
    <mergeCell ref="A81:E81"/>
    <mergeCell ref="H81:L81"/>
    <mergeCell ref="A96:E96"/>
    <mergeCell ref="H96:L96"/>
  </mergeCells>
  <pageMargins left="0.7" right="0.7" top="0.75" bottom="0.75" header="0.3" footer="0.3"/>
  <pageSetup scale="76"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pageSetUpPr fitToPage="1"/>
  </sheetPr>
  <dimension ref="A1:AI82"/>
  <sheetViews>
    <sheetView showGridLines="0" zoomScaleNormal="100" workbookViewId="0"/>
  </sheetViews>
  <sheetFormatPr defaultRowHeight="15" x14ac:dyDescent="0.25"/>
  <cols>
    <col min="1" max="35" width="5" style="41" customWidth="1"/>
    <col min="36" max="16384" width="9.140625" style="41"/>
  </cols>
  <sheetData>
    <row r="1" spans="1:35" x14ac:dyDescent="0.25">
      <c r="B1" s="386"/>
      <c r="C1" s="386"/>
      <c r="D1" s="386"/>
      <c r="E1" s="386"/>
      <c r="F1" s="386"/>
      <c r="G1" s="386"/>
      <c r="H1" s="386"/>
      <c r="I1" s="386"/>
      <c r="J1" s="386"/>
    </row>
    <row r="2" spans="1:35" x14ac:dyDescent="0.25">
      <c r="B2" s="386"/>
      <c r="C2" s="386"/>
      <c r="D2" s="386"/>
      <c r="E2" s="386"/>
      <c r="F2" s="386"/>
      <c r="G2" s="386"/>
      <c r="H2" s="386"/>
      <c r="I2" s="386"/>
      <c r="J2" s="386"/>
    </row>
    <row r="3" spans="1:35" ht="8.25" customHeight="1" x14ac:dyDescent="0.25">
      <c r="B3" s="98"/>
      <c r="C3" s="98"/>
      <c r="D3" s="98"/>
      <c r="E3" s="98"/>
      <c r="F3" s="98"/>
      <c r="G3" s="98"/>
      <c r="H3" s="98"/>
      <c r="I3" s="98"/>
      <c r="J3" s="98"/>
    </row>
    <row r="4" spans="1:35" ht="11.25" customHeight="1" x14ac:dyDescent="0.25">
      <c r="A4" s="395" t="s">
        <v>70</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11.25" customHeight="1" x14ac:dyDescent="0.25">
      <c r="A5" s="400" t="s">
        <v>224</v>
      </c>
      <c r="B5" s="400"/>
      <c r="C5" s="400"/>
      <c r="D5" s="400"/>
      <c r="E5" s="400"/>
      <c r="F5" s="400"/>
      <c r="G5" s="400"/>
      <c r="H5" s="400"/>
      <c r="I5" s="400"/>
      <c r="J5" s="400"/>
      <c r="K5" s="400"/>
      <c r="L5" s="400"/>
      <c r="M5" s="400"/>
      <c r="N5" s="400"/>
      <c r="O5" s="400"/>
      <c r="P5" s="400"/>
      <c r="Q5" s="400"/>
      <c r="R5" s="400"/>
      <c r="S5" s="400"/>
      <c r="T5" s="400"/>
      <c r="U5" s="400"/>
      <c r="V5" s="400"/>
      <c r="W5" s="400"/>
      <c r="X5" s="400"/>
      <c r="Y5" s="400"/>
      <c r="Z5" s="400"/>
      <c r="AA5" s="400"/>
      <c r="AB5" s="400"/>
      <c r="AC5" s="400"/>
      <c r="AD5" s="400"/>
      <c r="AE5" s="400"/>
      <c r="AF5" s="400"/>
      <c r="AG5" s="400"/>
      <c r="AH5" s="400"/>
      <c r="AI5" s="400"/>
    </row>
    <row r="6" spans="1:35" ht="11.25" customHeight="1" x14ac:dyDescent="0.25">
      <c r="A6" s="400"/>
      <c r="B6" s="400"/>
      <c r="C6" s="400"/>
      <c r="D6" s="400"/>
      <c r="E6" s="400"/>
      <c r="F6" s="400"/>
      <c r="G6" s="400"/>
      <c r="H6" s="400"/>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row>
    <row r="7" spans="1:35" ht="7.5" customHeight="1" x14ac:dyDescent="0.25">
      <c r="A7" s="95"/>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row>
    <row r="8" spans="1:35" ht="42" customHeight="1" x14ac:dyDescent="0.25">
      <c r="A8" s="590" t="s">
        <v>390</v>
      </c>
      <c r="B8" s="590"/>
      <c r="C8" s="590"/>
      <c r="D8" s="590"/>
      <c r="E8" s="590"/>
      <c r="F8" s="590"/>
      <c r="G8" s="590"/>
      <c r="H8" s="590"/>
      <c r="I8" s="590"/>
      <c r="J8" s="523" t="s">
        <v>68</v>
      </c>
      <c r="K8" s="523"/>
      <c r="L8" s="599" t="s">
        <v>69</v>
      </c>
      <c r="M8" s="599"/>
      <c r="N8" s="523" t="s">
        <v>371</v>
      </c>
      <c r="O8" s="523"/>
      <c r="P8" s="523" t="s">
        <v>372</v>
      </c>
      <c r="Q8" s="523"/>
      <c r="R8" s="523" t="s">
        <v>373</v>
      </c>
      <c r="S8" s="523"/>
      <c r="T8" s="523" t="s">
        <v>374</v>
      </c>
      <c r="U8" s="523"/>
      <c r="V8" s="523" t="s">
        <v>375</v>
      </c>
      <c r="W8" s="523"/>
      <c r="X8" s="523" t="s">
        <v>376</v>
      </c>
      <c r="Y8" s="523"/>
      <c r="Z8" s="523" t="s">
        <v>377</v>
      </c>
      <c r="AA8" s="523"/>
      <c r="AB8" s="523" t="s">
        <v>378</v>
      </c>
      <c r="AC8" s="523"/>
      <c r="AD8" s="523" t="s">
        <v>379</v>
      </c>
      <c r="AE8" s="523"/>
      <c r="AF8" s="523" t="s">
        <v>380</v>
      </c>
      <c r="AG8" s="523"/>
      <c r="AH8" s="523" t="s">
        <v>381</v>
      </c>
      <c r="AI8" s="523"/>
    </row>
    <row r="9" spans="1:35" ht="11.25" customHeight="1" x14ac:dyDescent="0.25">
      <c r="A9" s="593" t="s">
        <v>299</v>
      </c>
      <c r="B9" s="593"/>
      <c r="C9" s="593"/>
      <c r="D9" s="593"/>
      <c r="E9" s="593"/>
      <c r="F9" s="593"/>
      <c r="G9" s="593"/>
      <c r="H9" s="593"/>
      <c r="I9" s="594"/>
      <c r="J9" s="527" t="s">
        <v>391</v>
      </c>
      <c r="K9" s="527"/>
      <c r="L9" s="527" t="s">
        <v>392</v>
      </c>
      <c r="M9" s="527"/>
      <c r="N9" s="527">
        <v>80.164475416770514</v>
      </c>
      <c r="O9" s="527"/>
      <c r="P9" s="527">
        <v>27.672729122984041</v>
      </c>
      <c r="Q9" s="527"/>
      <c r="R9" s="440">
        <v>19.41086410676105</v>
      </c>
      <c r="S9" s="440"/>
      <c r="T9" s="440">
        <v>117.48666414987277</v>
      </c>
      <c r="U9" s="440"/>
      <c r="V9" s="440">
        <v>32.379154266240093</v>
      </c>
      <c r="W9" s="440"/>
      <c r="X9" s="440">
        <v>7.7022188394891167</v>
      </c>
      <c r="Y9" s="440"/>
      <c r="Z9" s="440">
        <v>16.695757646486587</v>
      </c>
      <c r="AA9" s="440"/>
      <c r="AB9" s="440">
        <v>10.461847073995312</v>
      </c>
      <c r="AC9" s="440"/>
      <c r="AD9" s="440">
        <v>11.438200984724567</v>
      </c>
      <c r="AE9" s="440"/>
      <c r="AF9" s="440">
        <v>21.798761387055411</v>
      </c>
      <c r="AG9" s="440"/>
      <c r="AH9" s="440">
        <v>4.5923262352691063</v>
      </c>
      <c r="AI9" s="440"/>
    </row>
    <row r="10" spans="1:35" ht="11.25" customHeight="1" x14ac:dyDescent="0.25">
      <c r="A10" s="591" t="s">
        <v>298</v>
      </c>
      <c r="B10" s="591"/>
      <c r="C10" s="591"/>
      <c r="D10" s="591"/>
      <c r="E10" s="591"/>
      <c r="F10" s="591"/>
      <c r="G10" s="591"/>
      <c r="H10" s="591"/>
      <c r="I10" s="592"/>
      <c r="J10" s="447" t="s">
        <v>393</v>
      </c>
      <c r="K10" s="447"/>
      <c r="L10" s="447" t="s">
        <v>392</v>
      </c>
      <c r="M10" s="447"/>
      <c r="N10" s="440">
        <v>-8.0000000000002292E-2</v>
      </c>
      <c r="O10" s="440"/>
      <c r="P10" s="440">
        <v>10.119999999999996</v>
      </c>
      <c r="Q10" s="440"/>
      <c r="R10" s="440">
        <v>1.0299999999999976</v>
      </c>
      <c r="S10" s="440"/>
      <c r="T10" s="440">
        <v>-10.999999999999998</v>
      </c>
      <c r="U10" s="440"/>
      <c r="V10" s="440">
        <v>2.7099999999999902</v>
      </c>
      <c r="W10" s="440"/>
      <c r="X10" s="440">
        <v>2.7200000000000113</v>
      </c>
      <c r="Y10" s="440"/>
      <c r="Z10" s="440">
        <v>1.2599999999999945</v>
      </c>
      <c r="AA10" s="440"/>
      <c r="AB10" s="440">
        <v>-2.1900000000000031</v>
      </c>
      <c r="AC10" s="440"/>
      <c r="AD10" s="440">
        <v>-0.12999999999999678</v>
      </c>
      <c r="AE10" s="440"/>
      <c r="AF10" s="440">
        <v>0.72000000000000952</v>
      </c>
      <c r="AG10" s="440"/>
      <c r="AH10" s="440">
        <v>-4.4900000000000055</v>
      </c>
      <c r="AI10" s="440"/>
    </row>
    <row r="11" spans="1:35" ht="11.25" customHeight="1" x14ac:dyDescent="0.25">
      <c r="A11" s="595" t="s">
        <v>295</v>
      </c>
      <c r="B11" s="595"/>
      <c r="C11" s="595"/>
      <c r="D11" s="595"/>
      <c r="E11" s="595"/>
      <c r="F11" s="595"/>
      <c r="G11" s="595"/>
      <c r="H11" s="595"/>
      <c r="I11" s="596"/>
      <c r="J11" s="447" t="s">
        <v>394</v>
      </c>
      <c r="K11" s="447"/>
      <c r="L11" s="447" t="s">
        <v>392</v>
      </c>
      <c r="M11" s="447"/>
      <c r="N11" s="440">
        <v>-23.875963474882301</v>
      </c>
      <c r="O11" s="440"/>
      <c r="P11" s="440">
        <v>-21.258552583159009</v>
      </c>
      <c r="Q11" s="440"/>
      <c r="R11" s="440">
        <v>-6.7365599897709956</v>
      </c>
      <c r="S11" s="440"/>
      <c r="T11" s="440">
        <v>-5.1900000000000057</v>
      </c>
      <c r="U11" s="440"/>
      <c r="V11" s="440">
        <v>-6.5291932667089769</v>
      </c>
      <c r="W11" s="440"/>
      <c r="X11" s="440">
        <v>-4.7518756709180039</v>
      </c>
      <c r="Y11" s="440"/>
      <c r="Z11" s="440">
        <v>-2.0517506413348929</v>
      </c>
      <c r="AA11" s="440"/>
      <c r="AB11" s="440">
        <v>-3.619630035591459</v>
      </c>
      <c r="AC11" s="440"/>
      <c r="AD11" s="440">
        <v>-1.1900000000000022</v>
      </c>
      <c r="AE11" s="440"/>
      <c r="AF11" s="440">
        <v>-0.21999999999999797</v>
      </c>
      <c r="AG11" s="440"/>
      <c r="AH11" s="440">
        <v>0.63260295587106441</v>
      </c>
      <c r="AI11" s="440"/>
    </row>
    <row r="12" spans="1:35" ht="11.25" customHeight="1" x14ac:dyDescent="0.25">
      <c r="A12" s="597" t="s">
        <v>296</v>
      </c>
      <c r="B12" s="597"/>
      <c r="C12" s="597"/>
      <c r="D12" s="597"/>
      <c r="E12" s="597"/>
      <c r="F12" s="597"/>
      <c r="G12" s="597"/>
      <c r="H12" s="597"/>
      <c r="I12" s="598"/>
      <c r="J12" s="447" t="s">
        <v>395</v>
      </c>
      <c r="K12" s="447"/>
      <c r="L12" s="447" t="s">
        <v>392</v>
      </c>
      <c r="M12" s="447"/>
      <c r="N12" s="440">
        <v>-9.7951090571345425</v>
      </c>
      <c r="O12" s="440"/>
      <c r="P12" s="440">
        <v>-2.8914274838845788</v>
      </c>
      <c r="Q12" s="440"/>
      <c r="R12" s="440">
        <v>-2.4496216413527061</v>
      </c>
      <c r="S12" s="440"/>
      <c r="T12" s="440">
        <v>-7.0999999999999952</v>
      </c>
      <c r="U12" s="440"/>
      <c r="V12" s="440">
        <v>-7.46</v>
      </c>
      <c r="W12" s="440"/>
      <c r="X12" s="440">
        <v>-2.6507430295300782</v>
      </c>
      <c r="Y12" s="440"/>
      <c r="Z12" s="440">
        <v>-3.4120755420134818</v>
      </c>
      <c r="AA12" s="440"/>
      <c r="AB12" s="440">
        <v>3.3385105613660038</v>
      </c>
      <c r="AC12" s="440"/>
      <c r="AD12" s="440">
        <v>-0.69000000000000172</v>
      </c>
      <c r="AE12" s="440"/>
      <c r="AF12" s="440">
        <v>-4.2200000000000015</v>
      </c>
      <c r="AG12" s="440"/>
      <c r="AH12" s="440">
        <v>-1.4456325912829415</v>
      </c>
      <c r="AI12" s="440"/>
    </row>
    <row r="13" spans="1:35" ht="11.25" customHeight="1" x14ac:dyDescent="0.25">
      <c r="A13" s="591" t="s">
        <v>297</v>
      </c>
      <c r="B13" s="591"/>
      <c r="C13" s="591"/>
      <c r="D13" s="591"/>
      <c r="E13" s="591"/>
      <c r="F13" s="591"/>
      <c r="G13" s="591"/>
      <c r="H13" s="591"/>
      <c r="I13" s="592"/>
      <c r="J13" s="447" t="s">
        <v>396</v>
      </c>
      <c r="K13" s="447"/>
      <c r="L13" s="447" t="s">
        <v>392</v>
      </c>
      <c r="M13" s="447"/>
      <c r="N13" s="440">
        <v>-41.553149468012293</v>
      </c>
      <c r="O13" s="440"/>
      <c r="P13" s="440">
        <v>-28.709594452827002</v>
      </c>
      <c r="Q13" s="440"/>
      <c r="R13" s="440">
        <v>-15.706591291278471</v>
      </c>
      <c r="S13" s="440"/>
      <c r="T13" s="440">
        <v>-14.219999999999999</v>
      </c>
      <c r="U13" s="440"/>
      <c r="V13" s="440">
        <v>-13.380000000000003</v>
      </c>
      <c r="W13" s="440"/>
      <c r="X13" s="440">
        <v>-13.974127054314046</v>
      </c>
      <c r="Y13" s="440"/>
      <c r="Z13" s="440">
        <v>-9.5212886600421491</v>
      </c>
      <c r="AA13" s="440"/>
      <c r="AB13" s="440">
        <v>-10.303013532738026</v>
      </c>
      <c r="AC13" s="440"/>
      <c r="AD13" s="440">
        <v>-3.4299999999999997</v>
      </c>
      <c r="AE13" s="440"/>
      <c r="AF13" s="440">
        <v>-6.5300000000000029</v>
      </c>
      <c r="AG13" s="440"/>
      <c r="AH13" s="440">
        <v>-4.0627948464907027</v>
      </c>
      <c r="AI13" s="440"/>
    </row>
    <row r="14" spans="1:35" ht="11.25" customHeight="1" x14ac:dyDescent="0.25">
      <c r="A14" s="591" t="s">
        <v>301</v>
      </c>
      <c r="B14" s="591"/>
      <c r="C14" s="591"/>
      <c r="D14" s="591"/>
      <c r="E14" s="591"/>
      <c r="F14" s="591"/>
      <c r="G14" s="591"/>
      <c r="H14" s="591"/>
      <c r="I14" s="592"/>
      <c r="J14" s="447" t="s">
        <v>397</v>
      </c>
      <c r="K14" s="447"/>
      <c r="L14" s="447" t="s">
        <v>392</v>
      </c>
      <c r="M14" s="447"/>
      <c r="N14" s="440">
        <v>4.2827830905294073</v>
      </c>
      <c r="O14" s="440"/>
      <c r="P14" s="440">
        <v>-9.1450870933280868</v>
      </c>
      <c r="Q14" s="440"/>
      <c r="R14" s="440">
        <v>-0.96450934116796283</v>
      </c>
      <c r="S14" s="440"/>
      <c r="T14" s="440">
        <v>0.8799999999999919</v>
      </c>
      <c r="U14" s="440"/>
      <c r="V14" s="440">
        <v>-3.7900000000000045</v>
      </c>
      <c r="W14" s="440"/>
      <c r="X14" s="440">
        <v>0.33155770967236986</v>
      </c>
      <c r="Y14" s="440"/>
      <c r="Z14" s="440">
        <v>-0.75002096197734902</v>
      </c>
      <c r="AA14" s="440"/>
      <c r="AB14" s="440">
        <v>3.2717714206442539</v>
      </c>
      <c r="AC14" s="440"/>
      <c r="AD14" s="440">
        <v>1.5700000000000047</v>
      </c>
      <c r="AE14" s="440"/>
      <c r="AF14" s="440">
        <v>0.23999999999999577</v>
      </c>
      <c r="AG14" s="440"/>
      <c r="AH14" s="440">
        <v>-0.16211163098808212</v>
      </c>
      <c r="AI14" s="440"/>
    </row>
    <row r="15" spans="1:35" ht="11.25" customHeight="1" x14ac:dyDescent="0.25">
      <c r="A15" s="591" t="s">
        <v>303</v>
      </c>
      <c r="B15" s="591"/>
      <c r="C15" s="591"/>
      <c r="D15" s="591"/>
      <c r="E15" s="591"/>
      <c r="F15" s="591"/>
      <c r="G15" s="591"/>
      <c r="H15" s="591"/>
      <c r="I15" s="592"/>
      <c r="J15" s="447" t="s">
        <v>396</v>
      </c>
      <c r="K15" s="447"/>
      <c r="L15" s="447" t="s">
        <v>392</v>
      </c>
      <c r="M15" s="447"/>
      <c r="N15" s="440">
        <v>-47.492240342058992</v>
      </c>
      <c r="O15" s="440"/>
      <c r="P15" s="440">
        <v>7.7702907511103314</v>
      </c>
      <c r="Q15" s="440"/>
      <c r="R15" s="440">
        <v>-5.0109744574361903</v>
      </c>
      <c r="S15" s="440"/>
      <c r="T15" s="440">
        <v>0.35779315367805431</v>
      </c>
      <c r="U15" s="440"/>
      <c r="V15" s="440">
        <v>-10.070597860200724</v>
      </c>
      <c r="W15" s="440"/>
      <c r="X15" s="440">
        <v>1.2295472228025961</v>
      </c>
      <c r="Y15" s="440"/>
      <c r="Z15" s="440">
        <v>-3.6446627799438636</v>
      </c>
      <c r="AA15" s="440"/>
      <c r="AB15" s="440">
        <v>-4.3141756370091322</v>
      </c>
      <c r="AC15" s="440"/>
      <c r="AD15" s="440">
        <v>4.10160921159195</v>
      </c>
      <c r="AE15" s="440"/>
      <c r="AF15" s="440">
        <v>33.358909922343294</v>
      </c>
      <c r="AG15" s="440"/>
      <c r="AH15" s="440">
        <v>0.51079802344231595</v>
      </c>
      <c r="AI15" s="440"/>
    </row>
    <row r="16" spans="1:35" ht="11.25" customHeight="1" x14ac:dyDescent="0.25">
      <c r="A16" s="591" t="s">
        <v>302</v>
      </c>
      <c r="B16" s="591"/>
      <c r="C16" s="591"/>
      <c r="D16" s="591"/>
      <c r="E16" s="591"/>
      <c r="F16" s="591"/>
      <c r="G16" s="591"/>
      <c r="H16" s="591"/>
      <c r="I16" s="592"/>
      <c r="J16" s="447" t="s">
        <v>398</v>
      </c>
      <c r="K16" s="447"/>
      <c r="L16" s="447" t="s">
        <v>392</v>
      </c>
      <c r="M16" s="447"/>
      <c r="N16" s="440">
        <v>12.253238401653954</v>
      </c>
      <c r="O16" s="440"/>
      <c r="P16" s="440">
        <v>0.63034690417953509</v>
      </c>
      <c r="Q16" s="440"/>
      <c r="R16" s="440">
        <v>0.89052681101788878</v>
      </c>
      <c r="S16" s="440"/>
      <c r="T16" s="440">
        <v>-1.7900000000000027</v>
      </c>
      <c r="U16" s="440"/>
      <c r="V16" s="440">
        <v>2.653772361319473</v>
      </c>
      <c r="W16" s="440"/>
      <c r="X16" s="440">
        <v>-5.777164773208554E-2</v>
      </c>
      <c r="Y16" s="440"/>
      <c r="Z16" s="440">
        <v>1.569261482109563</v>
      </c>
      <c r="AA16" s="440"/>
      <c r="AB16" s="440">
        <v>1.9970962436068218</v>
      </c>
      <c r="AC16" s="440"/>
      <c r="AD16" s="440">
        <v>1.4033572062539079</v>
      </c>
      <c r="AE16" s="440"/>
      <c r="AF16" s="440">
        <v>-2.8599999999999959</v>
      </c>
      <c r="AG16" s="440"/>
      <c r="AH16" s="440">
        <v>2.0917000424368615</v>
      </c>
      <c r="AI16" s="440"/>
    </row>
    <row r="17" spans="1:35" ht="11.25" customHeight="1" x14ac:dyDescent="0.25">
      <c r="A17" s="591" t="s">
        <v>300</v>
      </c>
      <c r="B17" s="591"/>
      <c r="C17" s="591"/>
      <c r="D17" s="591"/>
      <c r="E17" s="591"/>
      <c r="F17" s="591"/>
      <c r="G17" s="591"/>
      <c r="H17" s="591"/>
      <c r="I17" s="592"/>
      <c r="J17" s="447" t="s">
        <v>399</v>
      </c>
      <c r="K17" s="447"/>
      <c r="L17" s="447" t="s">
        <v>392</v>
      </c>
      <c r="M17" s="447"/>
      <c r="N17" s="440">
        <v>0.62000000000000011</v>
      </c>
      <c r="O17" s="440"/>
      <c r="P17" s="440">
        <v>2.9999999999999805E-2</v>
      </c>
      <c r="Q17" s="440"/>
      <c r="R17" s="440">
        <v>0.58000000000000007</v>
      </c>
      <c r="S17" s="440"/>
      <c r="T17" s="440">
        <v>0.18999999999999995</v>
      </c>
      <c r="U17" s="440"/>
      <c r="V17" s="440">
        <v>9.0000000000000219E-2</v>
      </c>
      <c r="W17" s="440"/>
      <c r="X17" s="440">
        <v>0.39999999999999991</v>
      </c>
      <c r="Y17" s="440"/>
      <c r="Z17" s="440">
        <v>0.250000000000001</v>
      </c>
      <c r="AA17" s="440"/>
      <c r="AB17" s="440">
        <v>0.32999999999999996</v>
      </c>
      <c r="AC17" s="440"/>
      <c r="AD17" s="440">
        <v>1.9999999999999962E-2</v>
      </c>
      <c r="AE17" s="440"/>
      <c r="AF17" s="440">
        <v>0.45000000000000101</v>
      </c>
      <c r="AG17" s="440"/>
      <c r="AH17" s="440">
        <v>-2.0000000000000018E-2</v>
      </c>
      <c r="AI17" s="440"/>
    </row>
    <row r="18" spans="1:35" ht="11.25" customHeight="1" x14ac:dyDescent="0.25">
      <c r="A18" s="591"/>
      <c r="B18" s="591"/>
      <c r="C18" s="591"/>
      <c r="D18" s="591"/>
      <c r="E18" s="591"/>
      <c r="F18" s="591"/>
      <c r="G18" s="591"/>
      <c r="H18" s="591"/>
      <c r="I18" s="592"/>
      <c r="J18" s="447"/>
      <c r="K18" s="447"/>
      <c r="L18" s="447"/>
      <c r="M18" s="447"/>
      <c r="N18" s="440"/>
      <c r="O18" s="440"/>
      <c r="P18" s="440"/>
      <c r="Q18" s="440"/>
      <c r="R18" s="440"/>
      <c r="S18" s="440"/>
      <c r="T18" s="440"/>
      <c r="U18" s="440"/>
      <c r="V18" s="440"/>
      <c r="W18" s="440"/>
      <c r="X18" s="440"/>
      <c r="Y18" s="440"/>
      <c r="Z18" s="440"/>
      <c r="AA18" s="440"/>
      <c r="AB18" s="440"/>
      <c r="AC18" s="440"/>
      <c r="AD18" s="440"/>
      <c r="AE18" s="440"/>
      <c r="AF18" s="440"/>
      <c r="AG18" s="440"/>
      <c r="AH18" s="440"/>
      <c r="AI18" s="440"/>
    </row>
    <row r="19" spans="1:35" ht="11.25" customHeight="1" x14ac:dyDescent="0.25">
      <c r="A19" s="591"/>
      <c r="B19" s="591"/>
      <c r="C19" s="591"/>
      <c r="D19" s="591"/>
      <c r="E19" s="591"/>
      <c r="F19" s="591"/>
      <c r="G19" s="591"/>
      <c r="H19" s="591"/>
      <c r="I19" s="592"/>
      <c r="J19" s="447"/>
      <c r="K19" s="447"/>
      <c r="L19" s="447"/>
      <c r="M19" s="447"/>
      <c r="N19" s="440"/>
      <c r="O19" s="440"/>
      <c r="P19" s="440"/>
      <c r="Q19" s="440"/>
      <c r="R19" s="440"/>
      <c r="S19" s="440"/>
      <c r="T19" s="440"/>
      <c r="U19" s="440"/>
      <c r="V19" s="440"/>
      <c r="W19" s="440"/>
      <c r="X19" s="440"/>
      <c r="Y19" s="440"/>
      <c r="Z19" s="440"/>
      <c r="AA19" s="440"/>
      <c r="AB19" s="440"/>
      <c r="AC19" s="440"/>
      <c r="AD19" s="440"/>
      <c r="AE19" s="440"/>
      <c r="AF19" s="440"/>
      <c r="AG19" s="440"/>
      <c r="AH19" s="440"/>
      <c r="AI19" s="440"/>
    </row>
    <row r="20" spans="1:35" ht="11.25" customHeight="1" x14ac:dyDescent="0.25">
      <c r="A20" s="591"/>
      <c r="B20" s="591"/>
      <c r="C20" s="591"/>
      <c r="D20" s="591"/>
      <c r="E20" s="591"/>
      <c r="F20" s="591"/>
      <c r="G20" s="591"/>
      <c r="H20" s="591"/>
      <c r="I20" s="592"/>
      <c r="J20" s="447"/>
      <c r="K20" s="447"/>
      <c r="L20" s="447"/>
      <c r="M20" s="447"/>
      <c r="N20" s="440"/>
      <c r="O20" s="440"/>
      <c r="P20" s="440"/>
      <c r="Q20" s="440"/>
      <c r="R20" s="440"/>
      <c r="S20" s="440"/>
      <c r="T20" s="440"/>
      <c r="U20" s="440"/>
      <c r="V20" s="440"/>
      <c r="W20" s="440"/>
      <c r="X20" s="440"/>
      <c r="Y20" s="440"/>
      <c r="Z20" s="440"/>
      <c r="AA20" s="440"/>
      <c r="AB20" s="440"/>
      <c r="AC20" s="440"/>
      <c r="AD20" s="440"/>
      <c r="AE20" s="440"/>
      <c r="AF20" s="440"/>
      <c r="AG20" s="440"/>
      <c r="AH20" s="440"/>
      <c r="AI20" s="440"/>
    </row>
    <row r="21" spans="1:35" ht="11.25" customHeight="1" x14ac:dyDescent="0.25">
      <c r="A21" s="591"/>
      <c r="B21" s="591"/>
      <c r="C21" s="591"/>
      <c r="D21" s="591"/>
      <c r="E21" s="591"/>
      <c r="F21" s="591"/>
      <c r="G21" s="591"/>
      <c r="H21" s="591"/>
      <c r="I21" s="592"/>
      <c r="J21" s="447"/>
      <c r="K21" s="447"/>
      <c r="L21" s="447"/>
      <c r="M21" s="447"/>
      <c r="N21" s="440"/>
      <c r="O21" s="440"/>
      <c r="P21" s="440"/>
      <c r="Q21" s="440"/>
      <c r="R21" s="440"/>
      <c r="S21" s="440"/>
      <c r="T21" s="440"/>
      <c r="U21" s="440"/>
      <c r="V21" s="440"/>
      <c r="W21" s="440"/>
      <c r="X21" s="440"/>
      <c r="Y21" s="440"/>
      <c r="Z21" s="440"/>
      <c r="AA21" s="440"/>
      <c r="AB21" s="440"/>
      <c r="AC21" s="440"/>
      <c r="AD21" s="440"/>
      <c r="AE21" s="440"/>
      <c r="AF21" s="440"/>
      <c r="AG21" s="440"/>
      <c r="AH21" s="440"/>
      <c r="AI21" s="440"/>
    </row>
    <row r="22" spans="1:35" ht="11.25" customHeight="1" x14ac:dyDescent="0.25">
      <c r="A22" s="591"/>
      <c r="B22" s="591"/>
      <c r="C22" s="591"/>
      <c r="D22" s="591"/>
      <c r="E22" s="591"/>
      <c r="F22" s="591"/>
      <c r="G22" s="591"/>
      <c r="H22" s="591"/>
      <c r="I22" s="592"/>
      <c r="J22" s="447"/>
      <c r="K22" s="447"/>
      <c r="L22" s="447"/>
      <c r="M22" s="447"/>
      <c r="N22" s="440"/>
      <c r="O22" s="440"/>
      <c r="P22" s="440"/>
      <c r="Q22" s="440"/>
      <c r="R22" s="440"/>
      <c r="S22" s="440"/>
      <c r="T22" s="440"/>
      <c r="U22" s="440"/>
      <c r="V22" s="440"/>
      <c r="W22" s="440"/>
      <c r="X22" s="440"/>
      <c r="Y22" s="440"/>
      <c r="Z22" s="440"/>
      <c r="AA22" s="440"/>
      <c r="AB22" s="440"/>
      <c r="AC22" s="440"/>
      <c r="AD22" s="440"/>
      <c r="AE22" s="440"/>
      <c r="AF22" s="440"/>
      <c r="AG22" s="440"/>
      <c r="AH22" s="440"/>
      <c r="AI22" s="440"/>
    </row>
    <row r="23" spans="1:35" ht="11.25" customHeight="1" x14ac:dyDescent="0.25">
      <c r="A23" s="591"/>
      <c r="B23" s="591"/>
      <c r="C23" s="591"/>
      <c r="D23" s="591"/>
      <c r="E23" s="591"/>
      <c r="F23" s="591"/>
      <c r="G23" s="591"/>
      <c r="H23" s="591"/>
      <c r="I23" s="592"/>
      <c r="J23" s="447"/>
      <c r="K23" s="447"/>
      <c r="L23" s="447"/>
      <c r="M23" s="447"/>
      <c r="N23" s="440"/>
      <c r="O23" s="440"/>
      <c r="P23" s="440"/>
      <c r="Q23" s="440"/>
      <c r="R23" s="440"/>
      <c r="S23" s="440"/>
      <c r="T23" s="440"/>
      <c r="U23" s="440"/>
      <c r="V23" s="440"/>
      <c r="W23" s="440"/>
      <c r="X23" s="440"/>
      <c r="Y23" s="440"/>
      <c r="Z23" s="440"/>
      <c r="AA23" s="440"/>
      <c r="AB23" s="440"/>
      <c r="AC23" s="440"/>
      <c r="AD23" s="440"/>
      <c r="AE23" s="440"/>
      <c r="AF23" s="440"/>
      <c r="AG23" s="440"/>
      <c r="AH23" s="440"/>
      <c r="AI23" s="440"/>
    </row>
    <row r="24" spans="1:35" ht="11.25" customHeight="1" x14ac:dyDescent="0.25">
      <c r="A24" s="591"/>
      <c r="B24" s="591"/>
      <c r="C24" s="591"/>
      <c r="D24" s="591"/>
      <c r="E24" s="591"/>
      <c r="F24" s="591"/>
      <c r="G24" s="591"/>
      <c r="H24" s="591"/>
      <c r="I24" s="592"/>
      <c r="J24" s="447"/>
      <c r="K24" s="447"/>
      <c r="L24" s="447"/>
      <c r="M24" s="447"/>
      <c r="N24" s="440"/>
      <c r="O24" s="440"/>
      <c r="P24" s="440"/>
      <c r="Q24" s="440"/>
      <c r="R24" s="440"/>
      <c r="S24" s="440"/>
      <c r="T24" s="440"/>
      <c r="U24" s="440"/>
      <c r="V24" s="440"/>
      <c r="W24" s="440"/>
      <c r="X24" s="440"/>
      <c r="Y24" s="440"/>
      <c r="Z24" s="440"/>
      <c r="AA24" s="440"/>
      <c r="AB24" s="440"/>
      <c r="AC24" s="440"/>
      <c r="AD24" s="440"/>
      <c r="AE24" s="440"/>
      <c r="AF24" s="440"/>
      <c r="AG24" s="440"/>
      <c r="AH24" s="440"/>
      <c r="AI24" s="440"/>
    </row>
    <row r="25" spans="1:35" ht="11.25" customHeight="1" x14ac:dyDescent="0.25">
      <c r="A25" s="591"/>
      <c r="B25" s="591"/>
      <c r="C25" s="591"/>
      <c r="D25" s="591"/>
      <c r="E25" s="591"/>
      <c r="F25" s="591"/>
      <c r="G25" s="591"/>
      <c r="H25" s="591"/>
      <c r="I25" s="592"/>
      <c r="J25" s="447"/>
      <c r="K25" s="447"/>
      <c r="L25" s="447"/>
      <c r="M25" s="447"/>
      <c r="N25" s="440"/>
      <c r="O25" s="440"/>
      <c r="P25" s="440"/>
      <c r="Q25" s="440"/>
      <c r="R25" s="440"/>
      <c r="S25" s="440"/>
      <c r="T25" s="440"/>
      <c r="U25" s="440"/>
      <c r="V25" s="440"/>
      <c r="W25" s="440"/>
      <c r="X25" s="440"/>
      <c r="Y25" s="440"/>
      <c r="Z25" s="440"/>
      <c r="AA25" s="440"/>
      <c r="AB25" s="440"/>
      <c r="AC25" s="440"/>
      <c r="AD25" s="440"/>
      <c r="AE25" s="440"/>
      <c r="AF25" s="440"/>
      <c r="AG25" s="440"/>
      <c r="AH25" s="440"/>
      <c r="AI25" s="440"/>
    </row>
    <row r="26" spans="1:35" ht="11.25" customHeight="1" x14ac:dyDescent="0.25">
      <c r="A26" s="591"/>
      <c r="B26" s="591"/>
      <c r="C26" s="591"/>
      <c r="D26" s="591"/>
      <c r="E26" s="591"/>
      <c r="F26" s="591"/>
      <c r="G26" s="591"/>
      <c r="H26" s="591"/>
      <c r="I26" s="592"/>
      <c r="J26" s="447"/>
      <c r="K26" s="447"/>
      <c r="L26" s="447"/>
      <c r="M26" s="447"/>
      <c r="N26" s="440"/>
      <c r="O26" s="440"/>
      <c r="P26" s="440"/>
      <c r="Q26" s="440"/>
      <c r="R26" s="440"/>
      <c r="S26" s="440"/>
      <c r="T26" s="440"/>
      <c r="U26" s="440"/>
      <c r="V26" s="440"/>
      <c r="W26" s="440"/>
      <c r="X26" s="440"/>
      <c r="Y26" s="440"/>
      <c r="Z26" s="440"/>
      <c r="AA26" s="440"/>
      <c r="AB26" s="440"/>
      <c r="AC26" s="440"/>
      <c r="AD26" s="440"/>
      <c r="AE26" s="440"/>
      <c r="AF26" s="440"/>
      <c r="AG26" s="440"/>
      <c r="AH26" s="440"/>
      <c r="AI26" s="440"/>
    </row>
    <row r="27" spans="1:35" ht="11.25" customHeight="1" x14ac:dyDescent="0.25">
      <c r="A27" s="591"/>
      <c r="B27" s="591"/>
      <c r="C27" s="591"/>
      <c r="D27" s="591"/>
      <c r="E27" s="591"/>
      <c r="F27" s="591"/>
      <c r="G27" s="591"/>
      <c r="H27" s="591"/>
      <c r="I27" s="592"/>
      <c r="J27" s="447"/>
      <c r="K27" s="447"/>
      <c r="L27" s="447"/>
      <c r="M27" s="447"/>
      <c r="N27" s="440"/>
      <c r="O27" s="440"/>
      <c r="P27" s="440"/>
      <c r="Q27" s="440"/>
      <c r="R27" s="440"/>
      <c r="S27" s="440"/>
      <c r="T27" s="440"/>
      <c r="U27" s="440"/>
      <c r="V27" s="440"/>
      <c r="W27" s="440"/>
      <c r="X27" s="440"/>
      <c r="Y27" s="440"/>
      <c r="Z27" s="440"/>
      <c r="AA27" s="440"/>
      <c r="AB27" s="440"/>
      <c r="AC27" s="440"/>
      <c r="AD27" s="440"/>
      <c r="AE27" s="440"/>
      <c r="AF27" s="440"/>
      <c r="AG27" s="440"/>
      <c r="AH27" s="440"/>
      <c r="AI27" s="440"/>
    </row>
    <row r="28" spans="1:35" ht="11.25" customHeight="1" x14ac:dyDescent="0.25">
      <c r="A28" s="591"/>
      <c r="B28" s="591"/>
      <c r="C28" s="591"/>
      <c r="D28" s="591"/>
      <c r="E28" s="591"/>
      <c r="F28" s="591"/>
      <c r="G28" s="591"/>
      <c r="H28" s="591"/>
      <c r="I28" s="592"/>
      <c r="J28" s="447"/>
      <c r="K28" s="447"/>
      <c r="L28" s="447"/>
      <c r="M28" s="447"/>
      <c r="N28" s="440"/>
      <c r="O28" s="440"/>
      <c r="P28" s="440"/>
      <c r="Q28" s="440"/>
      <c r="R28" s="440"/>
      <c r="S28" s="440"/>
      <c r="T28" s="440"/>
      <c r="U28" s="440"/>
      <c r="V28" s="440"/>
      <c r="W28" s="440"/>
      <c r="X28" s="440"/>
      <c r="Y28" s="440"/>
      <c r="Z28" s="440"/>
      <c r="AA28" s="440"/>
      <c r="AB28" s="440"/>
      <c r="AC28" s="440"/>
      <c r="AD28" s="440"/>
      <c r="AE28" s="440"/>
      <c r="AF28" s="440"/>
      <c r="AG28" s="440"/>
      <c r="AH28" s="440"/>
      <c r="AI28" s="440"/>
    </row>
    <row r="29" spans="1:35" ht="11.25" customHeight="1" x14ac:dyDescent="0.25">
      <c r="A29" s="591"/>
      <c r="B29" s="591"/>
      <c r="C29" s="591"/>
      <c r="D29" s="591"/>
      <c r="E29" s="591"/>
      <c r="F29" s="591"/>
      <c r="G29" s="591"/>
      <c r="H29" s="591"/>
      <c r="I29" s="592"/>
      <c r="J29" s="447"/>
      <c r="K29" s="447"/>
      <c r="L29" s="447"/>
      <c r="M29" s="447"/>
      <c r="N29" s="440"/>
      <c r="O29" s="440"/>
      <c r="P29" s="440"/>
      <c r="Q29" s="440"/>
      <c r="R29" s="440"/>
      <c r="S29" s="440"/>
      <c r="T29" s="440"/>
      <c r="U29" s="440"/>
      <c r="V29" s="440"/>
      <c r="W29" s="440"/>
      <c r="X29" s="440"/>
      <c r="Y29" s="440"/>
      <c r="Z29" s="440"/>
      <c r="AA29" s="440"/>
      <c r="AB29" s="440"/>
      <c r="AC29" s="440"/>
      <c r="AD29" s="440"/>
      <c r="AE29" s="440"/>
      <c r="AF29" s="440"/>
      <c r="AG29" s="440"/>
      <c r="AH29" s="440"/>
      <c r="AI29" s="440"/>
    </row>
    <row r="30" spans="1:35" ht="11.25" customHeight="1" x14ac:dyDescent="0.25">
      <c r="A30" s="591"/>
      <c r="B30" s="591"/>
      <c r="C30" s="591"/>
      <c r="D30" s="591"/>
      <c r="E30" s="591"/>
      <c r="F30" s="591"/>
      <c r="G30" s="591"/>
      <c r="H30" s="591"/>
      <c r="I30" s="592"/>
      <c r="J30" s="447"/>
      <c r="K30" s="447"/>
      <c r="L30" s="447"/>
      <c r="M30" s="447"/>
      <c r="N30" s="440"/>
      <c r="O30" s="440"/>
      <c r="P30" s="440"/>
      <c r="Q30" s="440"/>
      <c r="R30" s="440"/>
      <c r="S30" s="440"/>
      <c r="T30" s="440"/>
      <c r="U30" s="440"/>
      <c r="V30" s="440"/>
      <c r="W30" s="440"/>
      <c r="X30" s="440"/>
      <c r="Y30" s="440"/>
      <c r="Z30" s="440"/>
      <c r="AA30" s="440"/>
      <c r="AB30" s="440"/>
      <c r="AC30" s="440"/>
      <c r="AD30" s="440"/>
      <c r="AE30" s="440"/>
      <c r="AF30" s="440"/>
      <c r="AG30" s="440"/>
      <c r="AH30" s="440"/>
      <c r="AI30" s="440"/>
    </row>
    <row r="31" spans="1:35" ht="11.25" customHeight="1" x14ac:dyDescent="0.25">
      <c r="A31" s="591"/>
      <c r="B31" s="591"/>
      <c r="C31" s="591"/>
      <c r="D31" s="591"/>
      <c r="E31" s="591"/>
      <c r="F31" s="591"/>
      <c r="G31" s="591"/>
      <c r="H31" s="591"/>
      <c r="I31" s="592"/>
      <c r="J31" s="447"/>
      <c r="K31" s="447"/>
      <c r="L31" s="447"/>
      <c r="M31" s="447"/>
      <c r="N31" s="440"/>
      <c r="O31" s="440"/>
      <c r="P31" s="440"/>
      <c r="Q31" s="440"/>
      <c r="R31" s="440"/>
      <c r="S31" s="440"/>
      <c r="T31" s="440"/>
      <c r="U31" s="440"/>
      <c r="V31" s="440"/>
      <c r="W31" s="440"/>
      <c r="X31" s="440"/>
      <c r="Y31" s="440"/>
      <c r="Z31" s="440"/>
      <c r="AA31" s="440"/>
      <c r="AB31" s="440"/>
      <c r="AC31" s="440"/>
      <c r="AD31" s="440"/>
      <c r="AE31" s="440"/>
      <c r="AF31" s="440"/>
      <c r="AG31" s="440"/>
      <c r="AH31" s="440"/>
      <c r="AI31" s="440"/>
    </row>
    <row r="32" spans="1:35" ht="11.25" customHeight="1" x14ac:dyDescent="0.25">
      <c r="A32" s="591"/>
      <c r="B32" s="591"/>
      <c r="C32" s="591"/>
      <c r="D32" s="591"/>
      <c r="E32" s="591"/>
      <c r="F32" s="591"/>
      <c r="G32" s="591"/>
      <c r="H32" s="591"/>
      <c r="I32" s="592"/>
      <c r="J32" s="447"/>
      <c r="K32" s="447"/>
      <c r="L32" s="447"/>
      <c r="M32" s="447"/>
      <c r="N32" s="440"/>
      <c r="O32" s="440"/>
      <c r="P32" s="440"/>
      <c r="Q32" s="440"/>
      <c r="R32" s="440"/>
      <c r="S32" s="440"/>
      <c r="T32" s="440"/>
      <c r="U32" s="440"/>
      <c r="V32" s="440"/>
      <c r="W32" s="440"/>
      <c r="X32" s="440"/>
      <c r="Y32" s="440"/>
      <c r="Z32" s="440"/>
      <c r="AA32" s="440"/>
      <c r="AB32" s="440"/>
      <c r="AC32" s="440"/>
      <c r="AD32" s="440"/>
      <c r="AE32" s="440"/>
      <c r="AF32" s="440"/>
      <c r="AG32" s="440"/>
      <c r="AH32" s="440"/>
      <c r="AI32" s="440"/>
    </row>
    <row r="33" spans="1:35" ht="11.25" customHeight="1" x14ac:dyDescent="0.25">
      <c r="A33" s="591"/>
      <c r="B33" s="591"/>
      <c r="C33" s="591"/>
      <c r="D33" s="591"/>
      <c r="E33" s="591"/>
      <c r="F33" s="591"/>
      <c r="G33" s="591"/>
      <c r="H33" s="591"/>
      <c r="I33" s="592"/>
      <c r="J33" s="447"/>
      <c r="K33" s="447"/>
      <c r="L33" s="447"/>
      <c r="M33" s="447"/>
      <c r="N33" s="440"/>
      <c r="O33" s="440"/>
      <c r="P33" s="440"/>
      <c r="Q33" s="440"/>
      <c r="R33" s="440"/>
      <c r="S33" s="440"/>
      <c r="T33" s="440"/>
      <c r="U33" s="440"/>
      <c r="V33" s="440"/>
      <c r="W33" s="440"/>
      <c r="X33" s="440"/>
      <c r="Y33" s="440"/>
      <c r="Z33" s="440"/>
      <c r="AA33" s="440"/>
      <c r="AB33" s="440"/>
      <c r="AC33" s="440"/>
      <c r="AD33" s="440"/>
      <c r="AE33" s="440"/>
      <c r="AF33" s="440"/>
      <c r="AG33" s="440"/>
      <c r="AH33" s="440"/>
      <c r="AI33" s="440"/>
    </row>
    <row r="34" spans="1:35" ht="11.25" customHeight="1" x14ac:dyDescent="0.25">
      <c r="A34" s="180"/>
      <c r="B34" s="180"/>
      <c r="C34" s="180"/>
      <c r="D34" s="180"/>
      <c r="E34" s="180"/>
      <c r="F34" s="180"/>
      <c r="G34" s="181"/>
      <c r="H34" s="181"/>
      <c r="I34" s="181"/>
      <c r="J34" s="165"/>
      <c r="K34" s="165"/>
      <c r="L34" s="165"/>
      <c r="M34" s="165"/>
      <c r="N34" s="300"/>
      <c r="O34" s="300"/>
      <c r="P34" s="300"/>
      <c r="Q34" s="300"/>
      <c r="R34" s="300"/>
      <c r="S34" s="300"/>
      <c r="T34" s="300"/>
      <c r="U34" s="300"/>
      <c r="V34" s="300"/>
      <c r="W34" s="300"/>
      <c r="X34" s="300"/>
      <c r="Y34" s="300"/>
      <c r="Z34" s="300"/>
      <c r="AA34" s="300"/>
      <c r="AB34" s="300"/>
      <c r="AC34" s="300"/>
      <c r="AD34" s="300"/>
      <c r="AE34" s="300"/>
      <c r="AF34" s="300"/>
      <c r="AG34" s="300"/>
      <c r="AH34" s="300"/>
      <c r="AI34" s="300"/>
    </row>
    <row r="35" spans="1:35" ht="11.25" customHeight="1" x14ac:dyDescent="0.25">
      <c r="A35" s="180"/>
      <c r="B35" s="180"/>
      <c r="C35" s="180"/>
      <c r="D35" s="180"/>
      <c r="E35" s="180"/>
      <c r="F35" s="180"/>
      <c r="G35" s="181"/>
      <c r="H35" s="181"/>
      <c r="I35" s="181"/>
      <c r="J35" s="165"/>
      <c r="K35" s="165"/>
      <c r="L35" s="165"/>
      <c r="M35" s="165"/>
      <c r="N35" s="300"/>
      <c r="O35" s="300"/>
      <c r="P35" s="300"/>
      <c r="Q35" s="300"/>
      <c r="R35" s="300"/>
      <c r="S35" s="300"/>
      <c r="T35" s="300"/>
      <c r="U35" s="300"/>
      <c r="V35" s="300"/>
      <c r="W35" s="300"/>
      <c r="X35" s="300"/>
      <c r="Y35" s="300"/>
      <c r="Z35" s="300"/>
      <c r="AA35" s="300"/>
      <c r="AB35" s="300"/>
      <c r="AC35" s="300"/>
      <c r="AD35" s="300"/>
      <c r="AE35" s="300"/>
      <c r="AF35" s="300"/>
      <c r="AG35" s="300"/>
      <c r="AH35" s="300"/>
      <c r="AI35" s="300"/>
    </row>
    <row r="36" spans="1:35" ht="11.25" customHeight="1" x14ac:dyDescent="0.25">
      <c r="A36" s="180"/>
      <c r="B36" s="180"/>
      <c r="C36" s="180"/>
      <c r="D36" s="180"/>
      <c r="E36" s="180"/>
      <c r="F36" s="180"/>
      <c r="G36" s="181"/>
      <c r="H36" s="181"/>
      <c r="I36" s="181"/>
      <c r="J36" s="165"/>
      <c r="K36" s="165"/>
      <c r="L36" s="165"/>
      <c r="M36" s="165"/>
      <c r="N36" s="300"/>
      <c r="O36" s="300"/>
      <c r="P36" s="300"/>
      <c r="Q36" s="300"/>
      <c r="R36" s="300"/>
      <c r="S36" s="300"/>
      <c r="T36" s="300"/>
      <c r="U36" s="300"/>
      <c r="V36" s="300"/>
      <c r="W36" s="300"/>
      <c r="X36" s="300"/>
      <c r="Y36" s="300"/>
      <c r="Z36" s="300"/>
      <c r="AA36" s="300"/>
      <c r="AB36" s="300"/>
      <c r="AC36" s="300"/>
      <c r="AD36" s="300"/>
      <c r="AE36" s="300"/>
      <c r="AF36" s="300"/>
      <c r="AG36" s="300"/>
      <c r="AH36" s="300"/>
      <c r="AI36" s="300"/>
    </row>
    <row r="37" spans="1:35" ht="11.25" customHeight="1" x14ac:dyDescent="0.25">
      <c r="A37" s="180"/>
      <c r="B37" s="180"/>
      <c r="C37" s="180"/>
      <c r="D37" s="180"/>
      <c r="E37" s="180"/>
      <c r="F37" s="180"/>
      <c r="G37" s="181"/>
      <c r="H37" s="181"/>
      <c r="I37" s="181"/>
      <c r="J37" s="165"/>
      <c r="K37" s="165"/>
      <c r="L37" s="165"/>
      <c r="M37" s="165"/>
      <c r="N37" s="300"/>
      <c r="O37" s="300"/>
      <c r="P37" s="300"/>
      <c r="Q37" s="300"/>
      <c r="R37" s="300"/>
      <c r="S37" s="300"/>
      <c r="T37" s="300"/>
      <c r="U37" s="300"/>
      <c r="V37" s="300"/>
      <c r="W37" s="300"/>
      <c r="X37" s="300"/>
      <c r="Y37" s="300"/>
      <c r="Z37" s="300"/>
      <c r="AA37" s="300"/>
      <c r="AB37" s="300"/>
      <c r="AC37" s="300"/>
      <c r="AD37" s="300"/>
      <c r="AE37" s="300"/>
      <c r="AF37" s="300"/>
      <c r="AG37" s="300"/>
      <c r="AH37" s="300"/>
      <c r="AI37" s="300"/>
    </row>
    <row r="38" spans="1:35" ht="11.25" customHeight="1" x14ac:dyDescent="0.25">
      <c r="A38" s="180"/>
      <c r="B38" s="180"/>
      <c r="C38" s="180"/>
      <c r="D38" s="180"/>
      <c r="E38" s="180"/>
      <c r="F38" s="180"/>
      <c r="G38" s="181"/>
      <c r="H38" s="181"/>
      <c r="I38" s="181"/>
      <c r="J38" s="165"/>
      <c r="K38" s="165"/>
      <c r="L38" s="165"/>
      <c r="M38" s="165"/>
      <c r="N38" s="300"/>
      <c r="O38" s="300"/>
      <c r="P38" s="300"/>
      <c r="Q38" s="300"/>
      <c r="R38" s="300"/>
      <c r="S38" s="300"/>
      <c r="T38" s="300"/>
      <c r="U38" s="300"/>
      <c r="V38" s="300"/>
      <c r="W38" s="300"/>
      <c r="X38" s="300"/>
      <c r="Y38" s="300"/>
      <c r="Z38" s="300"/>
      <c r="AA38" s="300"/>
      <c r="AB38" s="300"/>
      <c r="AC38" s="300"/>
      <c r="AD38" s="300"/>
      <c r="AE38" s="300"/>
      <c r="AF38" s="300"/>
      <c r="AG38" s="300"/>
      <c r="AH38" s="300"/>
      <c r="AI38" s="300"/>
    </row>
    <row r="39" spans="1:35" ht="11.25" customHeight="1" x14ac:dyDescent="0.25">
      <c r="A39" s="180"/>
      <c r="B39" s="180"/>
      <c r="C39" s="180"/>
      <c r="D39" s="180"/>
      <c r="E39" s="180"/>
      <c r="F39" s="180"/>
      <c r="G39" s="181"/>
      <c r="H39" s="181"/>
      <c r="I39" s="181"/>
      <c r="J39" s="165"/>
      <c r="K39" s="165"/>
      <c r="L39" s="165"/>
      <c r="M39" s="165"/>
      <c r="N39" s="300"/>
      <c r="O39" s="300"/>
      <c r="P39" s="300"/>
      <c r="Q39" s="300"/>
      <c r="R39" s="300"/>
      <c r="S39" s="300"/>
      <c r="T39" s="300"/>
      <c r="U39" s="300"/>
      <c r="V39" s="300"/>
      <c r="W39" s="300"/>
      <c r="X39" s="300"/>
      <c r="Y39" s="300"/>
      <c r="Z39" s="300"/>
      <c r="AA39" s="300"/>
      <c r="AB39" s="300"/>
      <c r="AC39" s="300"/>
      <c r="AD39" s="300"/>
      <c r="AE39" s="300"/>
      <c r="AF39" s="300"/>
      <c r="AG39" s="300"/>
      <c r="AH39" s="300"/>
      <c r="AI39" s="300"/>
    </row>
    <row r="40" spans="1:35" ht="11.25" customHeight="1" x14ac:dyDescent="0.25">
      <c r="A40" s="180"/>
      <c r="B40" s="180"/>
      <c r="C40" s="180"/>
      <c r="D40" s="180"/>
      <c r="E40" s="180"/>
      <c r="F40" s="180"/>
      <c r="G40" s="181"/>
      <c r="H40" s="181"/>
      <c r="I40" s="181"/>
      <c r="J40" s="165"/>
      <c r="K40" s="165"/>
      <c r="L40" s="165"/>
      <c r="M40" s="165"/>
      <c r="N40" s="300"/>
      <c r="O40" s="300"/>
      <c r="P40" s="300"/>
      <c r="Q40" s="300"/>
      <c r="R40" s="300"/>
      <c r="S40" s="300"/>
      <c r="T40" s="300"/>
      <c r="U40" s="300"/>
      <c r="V40" s="300"/>
      <c r="W40" s="300"/>
      <c r="X40" s="300"/>
      <c r="Y40" s="300"/>
      <c r="Z40" s="300"/>
      <c r="AA40" s="300"/>
      <c r="AB40" s="300"/>
      <c r="AC40" s="300"/>
      <c r="AD40" s="300"/>
      <c r="AE40" s="300"/>
      <c r="AF40" s="300"/>
      <c r="AG40" s="300"/>
      <c r="AH40" s="300"/>
      <c r="AI40" s="300"/>
    </row>
    <row r="41" spans="1:35" ht="11.25" customHeight="1" x14ac:dyDescent="0.25">
      <c r="A41" s="180"/>
      <c r="B41" s="180"/>
      <c r="C41" s="180"/>
      <c r="D41" s="180"/>
      <c r="E41" s="180"/>
      <c r="F41" s="180"/>
      <c r="G41" s="181"/>
      <c r="H41" s="181"/>
      <c r="I41" s="181"/>
      <c r="J41" s="165"/>
      <c r="K41" s="165"/>
      <c r="L41" s="165"/>
      <c r="M41" s="165"/>
      <c r="N41" s="300"/>
      <c r="O41" s="300"/>
      <c r="P41" s="300"/>
      <c r="Q41" s="300"/>
      <c r="R41" s="300"/>
      <c r="S41" s="300"/>
      <c r="T41" s="300"/>
      <c r="U41" s="300"/>
      <c r="V41" s="300"/>
      <c r="W41" s="300"/>
      <c r="X41" s="300"/>
      <c r="Y41" s="300"/>
      <c r="Z41" s="300"/>
      <c r="AA41" s="300"/>
      <c r="AB41" s="300"/>
      <c r="AC41" s="300"/>
      <c r="AD41" s="300"/>
      <c r="AE41" s="300"/>
      <c r="AF41" s="300"/>
      <c r="AG41" s="300"/>
      <c r="AH41" s="300"/>
      <c r="AI41" s="300"/>
    </row>
    <row r="42" spans="1:35" ht="11.25" customHeight="1" x14ac:dyDescent="0.25">
      <c r="A42" s="180"/>
      <c r="B42" s="180"/>
      <c r="C42" s="180"/>
      <c r="D42" s="180"/>
      <c r="E42" s="180"/>
      <c r="F42" s="180"/>
      <c r="G42" s="181"/>
      <c r="H42" s="181"/>
      <c r="I42" s="181"/>
      <c r="J42" s="165"/>
      <c r="K42" s="165"/>
      <c r="L42" s="165"/>
      <c r="M42" s="165"/>
      <c r="N42" s="300"/>
      <c r="O42" s="300"/>
      <c r="P42" s="300"/>
      <c r="Q42" s="300"/>
      <c r="R42" s="300"/>
      <c r="S42" s="300"/>
      <c r="T42" s="300"/>
      <c r="U42" s="300"/>
      <c r="V42" s="300"/>
      <c r="W42" s="300"/>
      <c r="X42" s="300"/>
      <c r="Y42" s="300"/>
      <c r="Z42" s="300"/>
      <c r="AA42" s="300"/>
      <c r="AB42" s="300"/>
      <c r="AC42" s="300"/>
      <c r="AD42" s="300"/>
      <c r="AE42" s="300"/>
      <c r="AF42" s="300"/>
      <c r="AG42" s="300"/>
      <c r="AH42" s="300"/>
      <c r="AI42" s="300"/>
    </row>
    <row r="43" spans="1:35" ht="11.25" customHeight="1" x14ac:dyDescent="0.25">
      <c r="A43" s="180"/>
      <c r="B43" s="180"/>
      <c r="C43" s="180"/>
      <c r="D43" s="180"/>
      <c r="E43" s="180"/>
      <c r="F43" s="180"/>
      <c r="G43" s="181"/>
      <c r="H43" s="181"/>
      <c r="I43" s="181"/>
      <c r="J43" s="165"/>
      <c r="K43" s="165"/>
      <c r="L43" s="165"/>
      <c r="M43" s="165"/>
      <c r="N43" s="300"/>
      <c r="O43" s="300"/>
      <c r="P43" s="300"/>
      <c r="Q43" s="300"/>
      <c r="R43" s="300"/>
      <c r="S43" s="300"/>
      <c r="T43" s="300"/>
      <c r="U43" s="300"/>
      <c r="V43" s="300"/>
      <c r="W43" s="300"/>
      <c r="X43" s="300"/>
      <c r="Y43" s="300"/>
      <c r="Z43" s="300"/>
      <c r="AA43" s="300"/>
      <c r="AB43" s="300"/>
      <c r="AC43" s="300"/>
      <c r="AD43" s="300"/>
      <c r="AE43" s="300"/>
      <c r="AF43" s="300"/>
      <c r="AG43" s="300"/>
      <c r="AH43" s="300"/>
      <c r="AI43" s="300"/>
    </row>
    <row r="44" spans="1:35" ht="11.25" customHeight="1" x14ac:dyDescent="0.25">
      <c r="A44" s="180"/>
      <c r="B44" s="180"/>
      <c r="C44" s="180"/>
      <c r="D44" s="180"/>
      <c r="E44" s="180"/>
      <c r="F44" s="180"/>
      <c r="G44" s="181"/>
      <c r="H44" s="181"/>
      <c r="I44" s="181"/>
      <c r="J44" s="165"/>
      <c r="K44" s="165"/>
      <c r="L44" s="165"/>
      <c r="M44" s="165"/>
      <c r="N44" s="300"/>
      <c r="O44" s="300"/>
      <c r="P44" s="300"/>
      <c r="Q44" s="300"/>
      <c r="R44" s="300"/>
      <c r="S44" s="300"/>
      <c r="T44" s="300"/>
      <c r="U44" s="300"/>
      <c r="V44" s="300"/>
      <c r="W44" s="300"/>
      <c r="X44" s="300"/>
      <c r="Y44" s="300"/>
      <c r="Z44" s="300"/>
      <c r="AA44" s="300"/>
      <c r="AB44" s="300"/>
      <c r="AC44" s="300"/>
      <c r="AD44" s="300"/>
      <c r="AE44" s="300"/>
      <c r="AF44" s="300"/>
      <c r="AG44" s="300"/>
      <c r="AH44" s="300"/>
      <c r="AI44" s="300"/>
    </row>
    <row r="45" spans="1:35" ht="11.25" customHeight="1" x14ac:dyDescent="0.25">
      <c r="A45" s="180"/>
      <c r="B45" s="180"/>
      <c r="C45" s="180"/>
      <c r="D45" s="180"/>
      <c r="E45" s="180"/>
      <c r="F45" s="180"/>
      <c r="G45" s="181"/>
      <c r="H45" s="181"/>
      <c r="I45" s="181"/>
      <c r="J45" s="165"/>
      <c r="K45" s="165"/>
      <c r="L45" s="165"/>
      <c r="M45" s="165"/>
      <c r="N45" s="300"/>
      <c r="O45" s="300"/>
      <c r="P45" s="300"/>
      <c r="Q45" s="300"/>
      <c r="R45" s="300"/>
      <c r="S45" s="300"/>
      <c r="T45" s="300"/>
      <c r="U45" s="300"/>
      <c r="V45" s="300"/>
      <c r="W45" s="300"/>
      <c r="X45" s="300"/>
      <c r="Y45" s="300"/>
      <c r="Z45" s="300"/>
      <c r="AA45" s="300"/>
      <c r="AB45" s="300"/>
      <c r="AC45" s="300"/>
      <c r="AD45" s="300"/>
      <c r="AE45" s="300"/>
      <c r="AF45" s="300"/>
      <c r="AG45" s="300"/>
      <c r="AH45" s="300"/>
      <c r="AI45" s="300"/>
    </row>
    <row r="46" spans="1:35" ht="11.25" customHeight="1" x14ac:dyDescent="0.25">
      <c r="A46" s="180"/>
      <c r="B46" s="180"/>
      <c r="C46" s="180"/>
      <c r="D46" s="180"/>
      <c r="E46" s="180"/>
      <c r="F46" s="180"/>
      <c r="G46" s="181"/>
      <c r="H46" s="181"/>
      <c r="I46" s="181"/>
      <c r="J46" s="165"/>
      <c r="K46" s="165"/>
      <c r="L46" s="165"/>
      <c r="M46" s="165"/>
      <c r="N46" s="300"/>
      <c r="O46" s="300"/>
      <c r="P46" s="300"/>
      <c r="Q46" s="300"/>
      <c r="R46" s="300"/>
      <c r="S46" s="300"/>
      <c r="T46" s="300"/>
      <c r="U46" s="300"/>
      <c r="V46" s="300"/>
      <c r="W46" s="300"/>
      <c r="X46" s="300"/>
      <c r="Y46" s="300"/>
      <c r="Z46" s="300"/>
      <c r="AA46" s="300"/>
      <c r="AB46" s="300"/>
      <c r="AC46" s="300"/>
      <c r="AD46" s="300"/>
      <c r="AE46" s="300"/>
      <c r="AF46" s="300"/>
      <c r="AG46" s="300"/>
      <c r="AH46" s="300"/>
      <c r="AI46" s="300"/>
    </row>
    <row r="47" spans="1:35" ht="11.25" customHeight="1" x14ac:dyDescent="0.25">
      <c r="A47" s="180"/>
      <c r="B47" s="180"/>
      <c r="C47" s="180"/>
      <c r="D47" s="180"/>
      <c r="E47" s="180"/>
      <c r="F47" s="180"/>
      <c r="G47" s="181"/>
      <c r="H47" s="181"/>
      <c r="I47" s="181"/>
      <c r="J47" s="165"/>
      <c r="K47" s="165"/>
      <c r="L47" s="165"/>
      <c r="M47" s="165"/>
      <c r="N47" s="300"/>
      <c r="O47" s="300"/>
      <c r="P47" s="300"/>
      <c r="Q47" s="300"/>
      <c r="R47" s="300"/>
      <c r="S47" s="300"/>
      <c r="T47" s="300"/>
      <c r="U47" s="300"/>
      <c r="V47" s="300"/>
      <c r="W47" s="300"/>
      <c r="X47" s="300"/>
      <c r="Y47" s="300"/>
      <c r="Z47" s="300"/>
      <c r="AA47" s="300"/>
      <c r="AB47" s="300"/>
      <c r="AC47" s="300"/>
      <c r="AD47" s="300"/>
      <c r="AE47" s="300"/>
      <c r="AF47" s="300"/>
      <c r="AG47" s="300"/>
      <c r="AH47" s="300"/>
      <c r="AI47" s="300"/>
    </row>
    <row r="48" spans="1:35" ht="11.25" customHeight="1" x14ac:dyDescent="0.25">
      <c r="A48" s="180"/>
      <c r="B48" s="180"/>
      <c r="C48" s="180"/>
      <c r="D48" s="180"/>
      <c r="E48" s="180"/>
      <c r="F48" s="180"/>
      <c r="G48" s="181"/>
      <c r="H48" s="181"/>
      <c r="I48" s="181"/>
      <c r="J48" s="165"/>
      <c r="K48" s="165"/>
      <c r="L48" s="165"/>
      <c r="M48" s="165"/>
      <c r="N48" s="300"/>
      <c r="O48" s="300"/>
      <c r="P48" s="300"/>
      <c r="Q48" s="300"/>
      <c r="R48" s="300"/>
      <c r="S48" s="300"/>
      <c r="T48" s="300"/>
      <c r="U48" s="300"/>
      <c r="V48" s="300"/>
      <c r="W48" s="300"/>
      <c r="X48" s="300"/>
      <c r="Y48" s="300"/>
      <c r="Z48" s="300"/>
      <c r="AA48" s="300"/>
      <c r="AB48" s="300"/>
      <c r="AC48" s="300"/>
      <c r="AD48" s="300"/>
      <c r="AE48" s="300"/>
      <c r="AF48" s="300"/>
      <c r="AG48" s="300"/>
      <c r="AH48" s="300"/>
      <c r="AI48" s="300"/>
    </row>
    <row r="49" spans="1:35" ht="11.25" customHeight="1" x14ac:dyDescent="0.25">
      <c r="A49" s="180"/>
      <c r="B49" s="180"/>
      <c r="C49" s="180"/>
      <c r="D49" s="180"/>
      <c r="E49" s="180"/>
      <c r="F49" s="180"/>
      <c r="G49" s="181"/>
      <c r="H49" s="181"/>
      <c r="I49" s="181"/>
      <c r="J49" s="165"/>
      <c r="K49" s="165"/>
      <c r="L49" s="165"/>
      <c r="M49" s="165"/>
      <c r="N49" s="300"/>
      <c r="O49" s="300"/>
      <c r="P49" s="300"/>
      <c r="Q49" s="300"/>
      <c r="R49" s="300"/>
      <c r="S49" s="300"/>
      <c r="T49" s="300"/>
      <c r="U49" s="300"/>
      <c r="V49" s="300"/>
      <c r="W49" s="300"/>
      <c r="X49" s="300"/>
      <c r="Y49" s="300"/>
      <c r="Z49" s="300"/>
      <c r="AA49" s="300"/>
      <c r="AB49" s="300"/>
      <c r="AC49" s="300"/>
      <c r="AD49" s="300"/>
      <c r="AE49" s="300"/>
      <c r="AF49" s="300"/>
      <c r="AG49" s="300"/>
      <c r="AH49" s="300"/>
      <c r="AI49" s="300"/>
    </row>
    <row r="50" spans="1:35" ht="11.25" customHeight="1" x14ac:dyDescent="0.25">
      <c r="A50" s="180"/>
      <c r="B50" s="180"/>
      <c r="C50" s="180"/>
      <c r="D50" s="180"/>
      <c r="E50" s="180"/>
      <c r="F50" s="180"/>
      <c r="G50" s="181"/>
      <c r="H50" s="181"/>
      <c r="I50" s="181"/>
      <c r="J50" s="165"/>
      <c r="K50" s="165"/>
      <c r="L50" s="165"/>
      <c r="M50" s="165"/>
      <c r="N50" s="300"/>
      <c r="O50" s="300"/>
      <c r="P50" s="300"/>
      <c r="Q50" s="300"/>
      <c r="R50" s="300"/>
      <c r="S50" s="300"/>
      <c r="T50" s="300"/>
      <c r="U50" s="300"/>
      <c r="V50" s="300"/>
      <c r="W50" s="300"/>
      <c r="X50" s="300"/>
      <c r="Y50" s="300"/>
      <c r="Z50" s="300"/>
      <c r="AA50" s="300"/>
      <c r="AB50" s="300"/>
      <c r="AC50" s="300"/>
      <c r="AD50" s="300"/>
      <c r="AE50" s="300"/>
      <c r="AF50" s="300"/>
      <c r="AG50" s="300"/>
      <c r="AH50" s="300"/>
      <c r="AI50" s="300"/>
    </row>
    <row r="51" spans="1:35" ht="11.25" customHeight="1" x14ac:dyDescent="0.25">
      <c r="A51" s="180"/>
      <c r="B51" s="180"/>
      <c r="C51" s="180"/>
      <c r="D51" s="180"/>
      <c r="E51" s="180"/>
      <c r="F51" s="180"/>
      <c r="G51" s="181"/>
      <c r="H51" s="181"/>
      <c r="I51" s="181"/>
      <c r="J51" s="165"/>
      <c r="K51" s="165"/>
      <c r="L51" s="165"/>
      <c r="M51" s="165"/>
      <c r="N51" s="300"/>
      <c r="O51" s="300"/>
      <c r="P51" s="300"/>
      <c r="Q51" s="300"/>
      <c r="R51" s="300"/>
      <c r="S51" s="300"/>
      <c r="T51" s="300"/>
      <c r="U51" s="300"/>
      <c r="V51" s="300"/>
      <c r="W51" s="300"/>
      <c r="X51" s="300"/>
      <c r="Y51" s="300"/>
      <c r="Z51" s="300"/>
      <c r="AA51" s="300"/>
      <c r="AB51" s="300"/>
      <c r="AC51" s="300"/>
      <c r="AD51" s="300"/>
      <c r="AE51" s="300"/>
      <c r="AF51" s="300"/>
      <c r="AG51" s="300"/>
      <c r="AH51" s="300"/>
      <c r="AI51" s="300"/>
    </row>
    <row r="52" spans="1:35" ht="11.25" customHeight="1" x14ac:dyDescent="0.25">
      <c r="A52" s="180"/>
      <c r="B52" s="180"/>
      <c r="C52" s="180"/>
      <c r="D52" s="180"/>
      <c r="E52" s="180"/>
      <c r="F52" s="180"/>
      <c r="G52" s="181"/>
      <c r="H52" s="181"/>
      <c r="I52" s="181"/>
      <c r="J52" s="165"/>
      <c r="K52" s="165"/>
      <c r="L52" s="165"/>
      <c r="M52" s="165"/>
      <c r="N52" s="300"/>
      <c r="O52" s="300"/>
      <c r="P52" s="300"/>
      <c r="Q52" s="300"/>
      <c r="R52" s="300"/>
      <c r="S52" s="300"/>
      <c r="T52" s="300"/>
      <c r="U52" s="300"/>
      <c r="V52" s="300"/>
      <c r="W52" s="300"/>
      <c r="X52" s="300"/>
      <c r="Y52" s="300"/>
      <c r="Z52" s="300"/>
      <c r="AA52" s="300"/>
      <c r="AB52" s="300"/>
      <c r="AC52" s="300"/>
      <c r="AD52" s="300"/>
      <c r="AE52" s="300"/>
      <c r="AF52" s="300"/>
      <c r="AG52" s="300"/>
      <c r="AH52" s="300"/>
      <c r="AI52" s="300"/>
    </row>
    <row r="53" spans="1:35" ht="11.25" customHeight="1" x14ac:dyDescent="0.25">
      <c r="A53" s="180"/>
      <c r="B53" s="180"/>
      <c r="C53" s="180"/>
      <c r="D53" s="180"/>
      <c r="E53" s="180"/>
      <c r="F53" s="180"/>
      <c r="G53" s="181"/>
      <c r="H53" s="181"/>
      <c r="I53" s="181"/>
      <c r="J53" s="165"/>
      <c r="K53" s="165"/>
      <c r="L53" s="165"/>
      <c r="M53" s="165"/>
      <c r="N53" s="300"/>
      <c r="O53" s="300"/>
      <c r="P53" s="300"/>
      <c r="Q53" s="300"/>
      <c r="R53" s="300"/>
      <c r="S53" s="300"/>
      <c r="T53" s="300"/>
      <c r="U53" s="300"/>
      <c r="V53" s="300"/>
      <c r="W53" s="300"/>
      <c r="X53" s="300"/>
      <c r="Y53" s="300"/>
      <c r="Z53" s="300"/>
      <c r="AA53" s="300"/>
      <c r="AB53" s="300"/>
      <c r="AC53" s="300"/>
      <c r="AD53" s="300"/>
      <c r="AE53" s="300"/>
      <c r="AF53" s="300"/>
      <c r="AG53" s="300"/>
      <c r="AH53" s="300"/>
      <c r="AI53" s="300"/>
    </row>
    <row r="54" spans="1:35" ht="11.25" customHeight="1" x14ac:dyDescent="0.25">
      <c r="A54" s="180"/>
      <c r="B54" s="180"/>
      <c r="C54" s="180"/>
      <c r="D54" s="180"/>
      <c r="E54" s="180"/>
      <c r="F54" s="180"/>
      <c r="G54" s="181"/>
      <c r="H54" s="181"/>
      <c r="I54" s="181"/>
      <c r="J54" s="165"/>
      <c r="K54" s="165"/>
      <c r="L54" s="165"/>
      <c r="M54" s="165"/>
      <c r="N54" s="300"/>
      <c r="O54" s="300"/>
      <c r="P54" s="300"/>
      <c r="Q54" s="300"/>
      <c r="R54" s="300"/>
      <c r="S54" s="300"/>
      <c r="T54" s="300"/>
      <c r="U54" s="300"/>
      <c r="V54" s="300"/>
      <c r="W54" s="300"/>
      <c r="X54" s="300"/>
      <c r="Y54" s="300"/>
      <c r="Z54" s="300"/>
      <c r="AA54" s="300"/>
      <c r="AB54" s="300"/>
      <c r="AC54" s="300"/>
      <c r="AD54" s="300"/>
      <c r="AE54" s="300"/>
      <c r="AF54" s="300"/>
      <c r="AG54" s="300"/>
      <c r="AH54" s="300"/>
      <c r="AI54" s="300"/>
    </row>
    <row r="55" spans="1:35" ht="11.25" customHeight="1" x14ac:dyDescent="0.25">
      <c r="A55" s="180"/>
      <c r="B55" s="180"/>
      <c r="C55" s="180"/>
      <c r="D55" s="180"/>
      <c r="E55" s="180"/>
      <c r="F55" s="180"/>
      <c r="G55" s="181"/>
      <c r="H55" s="181"/>
      <c r="I55" s="181"/>
      <c r="J55" s="165"/>
      <c r="K55" s="165"/>
      <c r="L55" s="165"/>
      <c r="M55" s="165"/>
      <c r="N55" s="300"/>
      <c r="O55" s="300"/>
      <c r="P55" s="300"/>
      <c r="Q55" s="300"/>
      <c r="R55" s="300"/>
      <c r="S55" s="300"/>
      <c r="T55" s="300"/>
      <c r="U55" s="300"/>
      <c r="V55" s="300"/>
      <c r="W55" s="300"/>
      <c r="X55" s="300"/>
      <c r="Y55" s="300"/>
      <c r="Z55" s="300"/>
      <c r="AA55" s="300"/>
      <c r="AB55" s="300"/>
      <c r="AC55" s="300"/>
      <c r="AD55" s="300"/>
      <c r="AE55" s="300"/>
      <c r="AF55" s="300"/>
      <c r="AG55" s="300"/>
      <c r="AH55" s="300"/>
      <c r="AI55" s="300"/>
    </row>
    <row r="56" spans="1:35" ht="11.25" customHeight="1" x14ac:dyDescent="0.25">
      <c r="A56" s="180"/>
      <c r="B56" s="180"/>
      <c r="C56" s="180"/>
      <c r="D56" s="180"/>
      <c r="E56" s="180"/>
      <c r="F56" s="180"/>
      <c r="G56" s="181"/>
      <c r="H56" s="181"/>
      <c r="I56" s="181"/>
      <c r="J56" s="165"/>
      <c r="K56" s="165"/>
      <c r="L56" s="165"/>
      <c r="M56" s="165"/>
      <c r="N56" s="300"/>
      <c r="O56" s="300"/>
      <c r="P56" s="300"/>
      <c r="Q56" s="300"/>
      <c r="R56" s="300"/>
      <c r="S56" s="300"/>
      <c r="T56" s="300"/>
      <c r="U56" s="300"/>
      <c r="V56" s="300"/>
      <c r="W56" s="300"/>
      <c r="X56" s="300"/>
      <c r="Y56" s="300"/>
      <c r="Z56" s="300"/>
      <c r="AA56" s="300"/>
      <c r="AB56" s="300"/>
      <c r="AC56" s="300"/>
      <c r="AD56" s="300"/>
      <c r="AE56" s="300"/>
      <c r="AF56" s="300"/>
      <c r="AG56" s="300"/>
      <c r="AH56" s="300"/>
      <c r="AI56" s="300"/>
    </row>
    <row r="57" spans="1:35" ht="11.25" customHeight="1" x14ac:dyDescent="0.25">
      <c r="A57" s="180"/>
      <c r="B57" s="180"/>
      <c r="C57" s="180"/>
      <c r="D57" s="180"/>
      <c r="E57" s="180"/>
      <c r="F57" s="180"/>
      <c r="G57" s="181"/>
      <c r="H57" s="181"/>
      <c r="I57" s="181"/>
      <c r="J57" s="165"/>
      <c r="K57" s="165"/>
      <c r="L57" s="165"/>
      <c r="M57" s="165"/>
      <c r="N57" s="300"/>
      <c r="O57" s="300"/>
      <c r="P57" s="300"/>
      <c r="Q57" s="300"/>
      <c r="R57" s="300"/>
      <c r="S57" s="300"/>
      <c r="T57" s="300"/>
      <c r="U57" s="300"/>
      <c r="V57" s="300"/>
      <c r="W57" s="300"/>
      <c r="X57" s="300"/>
      <c r="Y57" s="300"/>
      <c r="Z57" s="300"/>
      <c r="AA57" s="300"/>
      <c r="AB57" s="300"/>
      <c r="AC57" s="300"/>
      <c r="AD57" s="300"/>
      <c r="AE57" s="300"/>
      <c r="AF57" s="300"/>
      <c r="AG57" s="300"/>
      <c r="AH57" s="300"/>
      <c r="AI57" s="300"/>
    </row>
    <row r="58" spans="1:35" ht="11.25" customHeight="1" x14ac:dyDescent="0.25">
      <c r="A58"/>
      <c r="B58"/>
      <c r="C58"/>
      <c r="D58"/>
      <c r="E58"/>
      <c r="F58"/>
      <c r="G58"/>
      <c r="H58"/>
      <c r="I58"/>
      <c r="J58"/>
      <c r="N58" s="298"/>
      <c r="O58" s="298"/>
      <c r="P58" s="298"/>
      <c r="Q58" s="298"/>
      <c r="R58" s="298"/>
      <c r="S58" s="298"/>
      <c r="T58" s="298"/>
      <c r="U58" s="298"/>
      <c r="V58" s="298"/>
      <c r="W58" s="298"/>
      <c r="X58" s="298"/>
      <c r="Y58" s="298"/>
      <c r="Z58" s="298"/>
      <c r="AA58" s="298"/>
      <c r="AB58" s="298"/>
      <c r="AC58" s="298"/>
      <c r="AD58" s="298"/>
      <c r="AE58" s="298"/>
      <c r="AF58" s="298"/>
      <c r="AG58" s="298"/>
      <c r="AH58" s="298"/>
      <c r="AI58" s="298"/>
    </row>
    <row r="59" spans="1:35" ht="11.25" customHeight="1" x14ac:dyDescent="0.25">
      <c r="A59"/>
      <c r="B59"/>
      <c r="C59"/>
      <c r="D59"/>
      <c r="E59"/>
      <c r="F59"/>
      <c r="G59"/>
      <c r="H59"/>
      <c r="I59"/>
      <c r="J59"/>
      <c r="N59" s="298"/>
      <c r="O59" s="298"/>
      <c r="P59" s="298"/>
      <c r="Q59" s="298"/>
      <c r="R59" s="298"/>
      <c r="S59" s="298"/>
      <c r="T59" s="298"/>
      <c r="U59" s="298"/>
      <c r="V59" s="298"/>
      <c r="W59" s="298"/>
      <c r="X59" s="298"/>
      <c r="Y59" s="298"/>
      <c r="Z59" s="298"/>
      <c r="AA59" s="298"/>
      <c r="AB59" s="298"/>
      <c r="AC59" s="298"/>
      <c r="AD59" s="298"/>
      <c r="AE59" s="298"/>
      <c r="AF59" s="298"/>
      <c r="AG59" s="298"/>
      <c r="AH59" s="298"/>
      <c r="AI59" s="298"/>
    </row>
    <row r="60" spans="1:35" ht="11.25" customHeight="1" x14ac:dyDescent="0.25">
      <c r="A60"/>
      <c r="B60"/>
      <c r="C60"/>
      <c r="D60"/>
      <c r="E60"/>
      <c r="F60"/>
      <c r="G60"/>
      <c r="H60"/>
      <c r="I60"/>
      <c r="J60"/>
      <c r="N60" s="298"/>
      <c r="O60" s="298"/>
      <c r="P60" s="298"/>
      <c r="Q60" s="298"/>
      <c r="R60" s="298"/>
      <c r="S60" s="298"/>
      <c r="T60" s="298"/>
      <c r="U60" s="298"/>
      <c r="V60" s="298"/>
      <c r="W60" s="298"/>
      <c r="X60" s="298"/>
      <c r="Y60" s="298"/>
      <c r="Z60" s="298"/>
      <c r="AA60" s="298"/>
      <c r="AB60" s="298"/>
      <c r="AC60" s="298"/>
      <c r="AD60" s="298"/>
      <c r="AE60" s="298"/>
      <c r="AF60" s="298"/>
      <c r="AG60" s="298"/>
      <c r="AH60" s="298"/>
      <c r="AI60" s="298"/>
    </row>
    <row r="61" spans="1:35" ht="11.25" customHeight="1" x14ac:dyDescent="0.25">
      <c r="A61"/>
      <c r="B61"/>
      <c r="C61"/>
      <c r="D61"/>
      <c r="E61"/>
      <c r="F61"/>
      <c r="G61"/>
      <c r="H61"/>
      <c r="I61"/>
      <c r="J61"/>
      <c r="N61" s="298"/>
      <c r="O61" s="298"/>
      <c r="P61" s="298"/>
      <c r="Q61" s="298"/>
      <c r="R61" s="298"/>
      <c r="S61" s="298"/>
      <c r="T61" s="298"/>
      <c r="U61" s="298"/>
      <c r="V61" s="298"/>
      <c r="W61" s="298"/>
      <c r="X61" s="298"/>
      <c r="Y61" s="298"/>
      <c r="Z61" s="298"/>
      <c r="AA61" s="298"/>
      <c r="AB61" s="298"/>
      <c r="AC61" s="298"/>
      <c r="AD61" s="298"/>
      <c r="AE61" s="298"/>
      <c r="AF61" s="298"/>
      <c r="AG61" s="298"/>
      <c r="AH61" s="298"/>
      <c r="AI61" s="298"/>
    </row>
    <row r="62" spans="1:35" ht="11.25" customHeight="1" x14ac:dyDescent="0.25">
      <c r="A62"/>
      <c r="B62"/>
      <c r="C62"/>
      <c r="D62"/>
      <c r="E62"/>
      <c r="F62"/>
      <c r="G62"/>
      <c r="H62"/>
      <c r="I62"/>
      <c r="J62"/>
      <c r="N62" s="298"/>
      <c r="O62" s="298"/>
      <c r="P62" s="298"/>
      <c r="Q62" s="298"/>
      <c r="R62" s="298"/>
      <c r="S62" s="298"/>
      <c r="T62" s="298"/>
      <c r="U62" s="298"/>
      <c r="V62" s="298"/>
      <c r="W62" s="298"/>
      <c r="X62" s="298"/>
      <c r="Y62" s="298"/>
      <c r="Z62" s="298"/>
      <c r="AA62" s="298"/>
      <c r="AB62" s="298"/>
      <c r="AC62" s="298"/>
      <c r="AD62" s="298"/>
      <c r="AE62" s="298"/>
      <c r="AF62" s="298"/>
      <c r="AG62" s="298"/>
      <c r="AH62" s="298"/>
      <c r="AI62" s="298"/>
    </row>
    <row r="63" spans="1:35" ht="11.25" customHeight="1" x14ac:dyDescent="0.25">
      <c r="A63"/>
      <c r="B63"/>
      <c r="C63"/>
      <c r="D63"/>
      <c r="E63"/>
      <c r="F63"/>
      <c r="G63"/>
      <c r="H63"/>
      <c r="I63"/>
      <c r="J63"/>
      <c r="N63" s="298"/>
      <c r="O63" s="298"/>
      <c r="P63" s="298"/>
      <c r="Q63" s="298"/>
      <c r="R63" s="298"/>
      <c r="S63" s="298"/>
      <c r="T63" s="298"/>
      <c r="U63" s="298"/>
      <c r="V63" s="298"/>
      <c r="W63" s="298"/>
      <c r="X63" s="298"/>
      <c r="Y63" s="298"/>
      <c r="Z63" s="298"/>
      <c r="AA63" s="298"/>
      <c r="AB63" s="298"/>
      <c r="AC63" s="298"/>
      <c r="AD63" s="298"/>
      <c r="AE63" s="298"/>
      <c r="AF63" s="298"/>
      <c r="AG63" s="298"/>
      <c r="AH63" s="298"/>
      <c r="AI63" s="298"/>
    </row>
    <row r="64" spans="1:35" ht="11.25" customHeight="1" x14ac:dyDescent="0.25">
      <c r="A64"/>
      <c r="B64"/>
      <c r="C64"/>
      <c r="D64"/>
      <c r="E64"/>
      <c r="F64"/>
      <c r="G64"/>
      <c r="H64"/>
      <c r="I64"/>
      <c r="J64"/>
      <c r="N64" s="298"/>
      <c r="O64" s="298"/>
      <c r="P64" s="298"/>
      <c r="Q64" s="298"/>
      <c r="R64" s="298"/>
      <c r="S64" s="298"/>
      <c r="T64" s="298"/>
      <c r="U64" s="298"/>
      <c r="V64" s="298"/>
      <c r="W64" s="298"/>
      <c r="X64" s="298"/>
      <c r="Y64" s="298"/>
      <c r="Z64" s="298"/>
      <c r="AA64" s="298"/>
      <c r="AB64" s="298"/>
      <c r="AC64" s="298"/>
      <c r="AD64" s="298"/>
      <c r="AE64" s="298"/>
      <c r="AF64" s="298"/>
      <c r="AG64" s="298"/>
      <c r="AH64" s="298"/>
      <c r="AI64" s="298"/>
    </row>
    <row r="65" spans="1:35" ht="11.25" customHeight="1" x14ac:dyDescent="0.25">
      <c r="A65"/>
      <c r="B65"/>
      <c r="C65"/>
      <c r="D65"/>
      <c r="E65"/>
      <c r="F65"/>
      <c r="G65"/>
      <c r="H65"/>
      <c r="I65"/>
      <c r="J65"/>
      <c r="N65" s="298"/>
      <c r="O65" s="298"/>
      <c r="P65" s="298"/>
      <c r="Q65" s="298"/>
      <c r="R65" s="298"/>
      <c r="S65" s="298"/>
      <c r="T65" s="298"/>
      <c r="U65" s="298"/>
      <c r="V65" s="298"/>
      <c r="W65" s="298"/>
      <c r="X65" s="298"/>
      <c r="Y65" s="298"/>
      <c r="Z65" s="298"/>
      <c r="AA65" s="298"/>
      <c r="AB65" s="298"/>
      <c r="AC65" s="298"/>
      <c r="AD65" s="298"/>
      <c r="AE65" s="298"/>
      <c r="AF65" s="298"/>
      <c r="AG65" s="298"/>
      <c r="AH65" s="298"/>
      <c r="AI65" s="298"/>
    </row>
    <row r="66" spans="1:35" ht="11.25" customHeight="1" x14ac:dyDescent="0.25">
      <c r="N66" s="298"/>
      <c r="O66" s="298"/>
      <c r="P66" s="298"/>
      <c r="Q66" s="298"/>
      <c r="R66" s="298"/>
      <c r="S66" s="298"/>
      <c r="T66" s="298"/>
      <c r="U66" s="298"/>
      <c r="V66" s="298"/>
      <c r="W66" s="298"/>
      <c r="X66" s="298"/>
      <c r="Y66" s="298"/>
      <c r="Z66" s="298"/>
      <c r="AA66" s="298"/>
      <c r="AB66" s="298"/>
      <c r="AC66" s="298"/>
      <c r="AD66" s="298"/>
      <c r="AE66" s="298"/>
      <c r="AF66" s="298"/>
      <c r="AG66" s="298"/>
      <c r="AH66" s="298"/>
      <c r="AI66" s="298"/>
    </row>
    <row r="67" spans="1:35" ht="11.25" customHeight="1" x14ac:dyDescent="0.25">
      <c r="N67" s="298"/>
      <c r="O67" s="298"/>
      <c r="P67" s="298"/>
      <c r="Q67" s="298"/>
      <c r="R67" s="298"/>
      <c r="S67" s="298"/>
      <c r="T67" s="298"/>
      <c r="U67" s="298"/>
      <c r="V67" s="298"/>
      <c r="W67" s="298"/>
      <c r="X67" s="298"/>
      <c r="Y67" s="298"/>
      <c r="Z67" s="298"/>
      <c r="AA67" s="298"/>
      <c r="AB67" s="298"/>
      <c r="AC67" s="298"/>
      <c r="AD67" s="298"/>
      <c r="AE67" s="298"/>
      <c r="AF67" s="298"/>
      <c r="AG67" s="298"/>
      <c r="AH67" s="298"/>
      <c r="AI67" s="298"/>
    </row>
    <row r="68" spans="1:35" ht="11.25" customHeight="1" x14ac:dyDescent="0.25">
      <c r="N68" s="298"/>
      <c r="O68" s="298"/>
      <c r="P68" s="298"/>
      <c r="Q68" s="298"/>
      <c r="R68" s="298"/>
      <c r="S68" s="298"/>
      <c r="T68" s="298"/>
      <c r="U68" s="298"/>
      <c r="V68" s="298"/>
      <c r="W68" s="298"/>
      <c r="X68" s="298"/>
      <c r="Y68" s="298"/>
      <c r="Z68" s="298"/>
      <c r="AA68" s="298"/>
      <c r="AB68" s="298"/>
      <c r="AC68" s="298"/>
      <c r="AD68" s="298"/>
      <c r="AE68" s="298"/>
      <c r="AF68" s="298"/>
      <c r="AG68" s="298"/>
      <c r="AH68" s="298"/>
      <c r="AI68" s="298"/>
    </row>
    <row r="69" spans="1:35" ht="11.25" customHeight="1" x14ac:dyDescent="0.25">
      <c r="N69" s="298"/>
      <c r="O69" s="298"/>
      <c r="P69" s="298"/>
      <c r="Q69" s="298"/>
      <c r="R69" s="298"/>
      <c r="S69" s="298"/>
      <c r="T69" s="298"/>
      <c r="U69" s="298"/>
      <c r="V69" s="298"/>
      <c r="W69" s="298"/>
      <c r="X69" s="298"/>
      <c r="Y69" s="298"/>
      <c r="Z69" s="298"/>
      <c r="AA69" s="298"/>
      <c r="AB69" s="298"/>
      <c r="AC69" s="298"/>
      <c r="AD69" s="298"/>
      <c r="AE69" s="298"/>
      <c r="AF69" s="298"/>
      <c r="AG69" s="298"/>
      <c r="AH69" s="298"/>
      <c r="AI69" s="298"/>
    </row>
    <row r="70" spans="1:35" ht="11.25" customHeight="1" x14ac:dyDescent="0.25">
      <c r="N70" s="298"/>
      <c r="O70" s="298"/>
      <c r="P70" s="298"/>
      <c r="Q70" s="298"/>
      <c r="R70" s="298"/>
      <c r="S70" s="298"/>
      <c r="T70" s="298"/>
      <c r="U70" s="298"/>
      <c r="V70" s="298"/>
      <c r="W70" s="298"/>
      <c r="X70" s="298"/>
      <c r="Y70" s="298"/>
      <c r="Z70" s="298"/>
      <c r="AA70" s="298"/>
      <c r="AB70" s="298"/>
      <c r="AC70" s="298"/>
      <c r="AD70" s="298"/>
      <c r="AE70" s="298"/>
      <c r="AF70" s="298"/>
      <c r="AG70" s="298"/>
      <c r="AH70" s="298"/>
      <c r="AI70" s="298"/>
    </row>
    <row r="71" spans="1:35" ht="11.25" customHeight="1" x14ac:dyDescent="0.25">
      <c r="N71" s="298"/>
      <c r="O71" s="298"/>
      <c r="P71" s="298"/>
      <c r="Q71" s="298"/>
      <c r="R71" s="298"/>
      <c r="S71" s="298"/>
      <c r="T71" s="298"/>
      <c r="U71" s="298"/>
      <c r="V71" s="298"/>
      <c r="W71" s="298"/>
      <c r="X71" s="298"/>
      <c r="Y71" s="298"/>
      <c r="Z71" s="298"/>
      <c r="AA71" s="298"/>
      <c r="AB71" s="298"/>
      <c r="AC71" s="298"/>
      <c r="AD71" s="298"/>
      <c r="AE71" s="298"/>
      <c r="AF71" s="298"/>
      <c r="AG71" s="298"/>
      <c r="AH71" s="298"/>
      <c r="AI71" s="298"/>
    </row>
    <row r="72" spans="1:35" ht="11.25" customHeight="1" x14ac:dyDescent="0.25">
      <c r="N72" s="298"/>
      <c r="O72" s="298"/>
      <c r="P72" s="298"/>
      <c r="Q72" s="298"/>
      <c r="R72" s="298"/>
      <c r="S72" s="298"/>
      <c r="T72" s="298"/>
      <c r="U72" s="298"/>
      <c r="V72" s="298"/>
      <c r="W72" s="298"/>
      <c r="X72" s="298"/>
      <c r="Y72" s="298"/>
      <c r="Z72" s="298"/>
      <c r="AA72" s="298"/>
      <c r="AB72" s="298"/>
      <c r="AC72" s="298"/>
      <c r="AD72" s="298"/>
      <c r="AE72" s="298"/>
      <c r="AF72" s="298"/>
      <c r="AG72" s="298"/>
      <c r="AH72" s="298"/>
      <c r="AI72" s="298"/>
    </row>
    <row r="73" spans="1:35" ht="11.25" customHeight="1" x14ac:dyDescent="0.25">
      <c r="N73" s="298"/>
      <c r="O73" s="298"/>
      <c r="P73" s="298"/>
      <c r="Q73" s="298"/>
      <c r="R73" s="298"/>
      <c r="S73" s="298"/>
      <c r="T73" s="298"/>
      <c r="U73" s="298"/>
      <c r="V73" s="298"/>
      <c r="W73" s="298"/>
      <c r="X73" s="298"/>
      <c r="Y73" s="298"/>
      <c r="Z73" s="298"/>
      <c r="AA73" s="298"/>
      <c r="AB73" s="298"/>
      <c r="AC73" s="298"/>
      <c r="AD73" s="298"/>
      <c r="AE73" s="298"/>
      <c r="AF73" s="298"/>
      <c r="AG73" s="298"/>
      <c r="AH73" s="298"/>
      <c r="AI73" s="298"/>
    </row>
    <row r="74" spans="1:35" ht="11.25" customHeight="1" x14ac:dyDescent="0.25">
      <c r="N74" s="298"/>
      <c r="O74" s="298"/>
      <c r="P74" s="298"/>
      <c r="Q74" s="298"/>
      <c r="R74" s="298"/>
      <c r="S74" s="298"/>
      <c r="T74" s="298"/>
      <c r="U74" s="298"/>
      <c r="V74" s="298"/>
      <c r="W74" s="298"/>
      <c r="X74" s="298"/>
      <c r="Y74" s="298"/>
      <c r="Z74" s="298"/>
      <c r="AA74" s="298"/>
      <c r="AB74" s="298"/>
      <c r="AC74" s="298"/>
      <c r="AD74" s="298"/>
      <c r="AE74" s="298"/>
      <c r="AF74" s="298"/>
      <c r="AG74" s="298"/>
      <c r="AH74" s="298"/>
      <c r="AI74" s="298"/>
    </row>
    <row r="75" spans="1:35" ht="11.25" customHeight="1" x14ac:dyDescent="0.25"/>
    <row r="76" spans="1:35" ht="11.25" customHeight="1" x14ac:dyDescent="0.25"/>
    <row r="77" spans="1:35" ht="11.25" customHeight="1" x14ac:dyDescent="0.25"/>
    <row r="78" spans="1:35" ht="11.25" customHeight="1" x14ac:dyDescent="0.25"/>
    <row r="79" spans="1:35" ht="11.25" customHeight="1" x14ac:dyDescent="0.25"/>
    <row r="80" spans="1:35" ht="11.25" customHeight="1" x14ac:dyDescent="0.25"/>
    <row r="81" ht="11.25" customHeight="1" x14ac:dyDescent="0.25"/>
    <row r="82" ht="11.25" customHeight="1" x14ac:dyDescent="0.25"/>
  </sheetData>
  <mergeCells count="367">
    <mergeCell ref="AD32:AE32"/>
    <mergeCell ref="AF32:AG32"/>
    <mergeCell ref="AH32:AI32"/>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J32:K32"/>
    <mergeCell ref="L32:M32"/>
    <mergeCell ref="N32:O32"/>
    <mergeCell ref="P32:Q32"/>
    <mergeCell ref="R32:S32"/>
    <mergeCell ref="T32:U32"/>
    <mergeCell ref="V32:W32"/>
    <mergeCell ref="X30:Y30"/>
    <mergeCell ref="Z30:AA30"/>
    <mergeCell ref="AB30:AC30"/>
    <mergeCell ref="R30:S30"/>
    <mergeCell ref="T30:U30"/>
    <mergeCell ref="V30:W30"/>
    <mergeCell ref="X32:Y32"/>
    <mergeCell ref="Z32:AA32"/>
    <mergeCell ref="AB32:AC32"/>
    <mergeCell ref="A25:I25"/>
    <mergeCell ref="AD30:AE30"/>
    <mergeCell ref="AF30:AG30"/>
    <mergeCell ref="AH30:AI30"/>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J30:K30"/>
    <mergeCell ref="L30:M30"/>
    <mergeCell ref="N30:O30"/>
    <mergeCell ref="P30:Q30"/>
    <mergeCell ref="AH28:AI28"/>
    <mergeCell ref="AH29:AI29"/>
    <mergeCell ref="X27:Y27"/>
    <mergeCell ref="AH22:AI22"/>
    <mergeCell ref="AH23:AI23"/>
    <mergeCell ref="AH24:AI24"/>
    <mergeCell ref="AH25:AI25"/>
    <mergeCell ref="AH26:AI26"/>
    <mergeCell ref="AH27:AI27"/>
    <mergeCell ref="AH16:AI16"/>
    <mergeCell ref="AH17:AI17"/>
    <mergeCell ref="AH18:AI18"/>
    <mergeCell ref="AH19:AI19"/>
    <mergeCell ref="AH20:AI20"/>
    <mergeCell ref="AH21:AI21"/>
    <mergeCell ref="X15:Y15"/>
    <mergeCell ref="Z15:AA15"/>
    <mergeCell ref="AB15:AC15"/>
    <mergeCell ref="AD15:AE15"/>
    <mergeCell ref="AF15:AG15"/>
    <mergeCell ref="AD14:AE14"/>
    <mergeCell ref="AF14:AG14"/>
    <mergeCell ref="X14:Y14"/>
    <mergeCell ref="Z14:AA14"/>
    <mergeCell ref="AB14:AC14"/>
    <mergeCell ref="AH10:AI10"/>
    <mergeCell ref="AH11:AI11"/>
    <mergeCell ref="AH12:AI12"/>
    <mergeCell ref="Z11:AA11"/>
    <mergeCell ref="AB11:AC11"/>
    <mergeCell ref="AD11:AE11"/>
    <mergeCell ref="AH13:AI13"/>
    <mergeCell ref="AH14:AI14"/>
    <mergeCell ref="AH15:AI15"/>
    <mergeCell ref="Z10:AA10"/>
    <mergeCell ref="AB10:AC10"/>
    <mergeCell ref="AD10:AE10"/>
    <mergeCell ref="AF10:AG10"/>
    <mergeCell ref="Z12:AA12"/>
    <mergeCell ref="AB12:AC12"/>
    <mergeCell ref="AD12:AE12"/>
    <mergeCell ref="AF12:AG12"/>
    <mergeCell ref="AF11:AG11"/>
    <mergeCell ref="Z13:AA13"/>
    <mergeCell ref="AB13:AC13"/>
    <mergeCell ref="AD13:AE13"/>
    <mergeCell ref="AF13:AG13"/>
    <mergeCell ref="AB9:AC9"/>
    <mergeCell ref="AD9:AE9"/>
    <mergeCell ref="R10:S10"/>
    <mergeCell ref="T10:U10"/>
    <mergeCell ref="V10:W10"/>
    <mergeCell ref="L12:M12"/>
    <mergeCell ref="N12:O12"/>
    <mergeCell ref="P12:Q12"/>
    <mergeCell ref="R12:S12"/>
    <mergeCell ref="T12:U12"/>
    <mergeCell ref="V12:W12"/>
    <mergeCell ref="X10:Y10"/>
    <mergeCell ref="X12:Y12"/>
    <mergeCell ref="V9:W9"/>
    <mergeCell ref="X9:Y9"/>
    <mergeCell ref="V8:W8"/>
    <mergeCell ref="X8:Y8"/>
    <mergeCell ref="Z8:AA8"/>
    <mergeCell ref="AB8:AC8"/>
    <mergeCell ref="AD8:AE8"/>
    <mergeCell ref="X21:Y21"/>
    <mergeCell ref="J29:K29"/>
    <mergeCell ref="L29:M29"/>
    <mergeCell ref="N29:O29"/>
    <mergeCell ref="P29:Q29"/>
    <mergeCell ref="R29:S29"/>
    <mergeCell ref="T29:U29"/>
    <mergeCell ref="V29:W29"/>
    <mergeCell ref="R28:S28"/>
    <mergeCell ref="T28:U28"/>
    <mergeCell ref="V28:W28"/>
    <mergeCell ref="J28:K28"/>
    <mergeCell ref="L28:M28"/>
    <mergeCell ref="N28:O28"/>
    <mergeCell ref="P28:Q28"/>
    <mergeCell ref="Z29:AA29"/>
    <mergeCell ref="AB29:AC29"/>
    <mergeCell ref="R8:S8"/>
    <mergeCell ref="Z9:AA9"/>
    <mergeCell ref="Z27:AA27"/>
    <mergeCell ref="AB27:AC27"/>
    <mergeCell ref="X25:Y25"/>
    <mergeCell ref="Z25:AA25"/>
    <mergeCell ref="AB25:AC25"/>
    <mergeCell ref="X23:Y23"/>
    <mergeCell ref="Z23:AA23"/>
    <mergeCell ref="AB23:AC23"/>
    <mergeCell ref="Z24:AA24"/>
    <mergeCell ref="AB24:AC24"/>
    <mergeCell ref="X24:Y24"/>
    <mergeCell ref="X29:Y29"/>
    <mergeCell ref="Z21:AA21"/>
    <mergeCell ref="AB21:AC21"/>
    <mergeCell ref="X19:Y19"/>
    <mergeCell ref="Z19:AA19"/>
    <mergeCell ref="AB19:AC19"/>
    <mergeCell ref="AD29:AE29"/>
    <mergeCell ref="AF29:AG29"/>
    <mergeCell ref="AD28:AE28"/>
    <mergeCell ref="AF28:AG28"/>
    <mergeCell ref="X28:Y28"/>
    <mergeCell ref="Z28:AA28"/>
    <mergeCell ref="AB28:AC28"/>
    <mergeCell ref="AD27:AE27"/>
    <mergeCell ref="AF27:AG27"/>
    <mergeCell ref="AD26:AE26"/>
    <mergeCell ref="AF26:AG26"/>
    <mergeCell ref="X26:Y26"/>
    <mergeCell ref="Z26:AA26"/>
    <mergeCell ref="AB26:AC26"/>
    <mergeCell ref="AD25:AE25"/>
    <mergeCell ref="AF25:AG25"/>
    <mergeCell ref="AD24:AE24"/>
    <mergeCell ref="AF24:AG24"/>
    <mergeCell ref="J27:K27"/>
    <mergeCell ref="L27:M27"/>
    <mergeCell ref="N27:O27"/>
    <mergeCell ref="P27:Q27"/>
    <mergeCell ref="R27:S27"/>
    <mergeCell ref="T27:U27"/>
    <mergeCell ref="V27:W27"/>
    <mergeCell ref="R26:S26"/>
    <mergeCell ref="T26:U26"/>
    <mergeCell ref="V26:W26"/>
    <mergeCell ref="J26:K26"/>
    <mergeCell ref="L26:M26"/>
    <mergeCell ref="N26:O26"/>
    <mergeCell ref="P26:Q26"/>
    <mergeCell ref="J25:K25"/>
    <mergeCell ref="L25:M25"/>
    <mergeCell ref="N25:O25"/>
    <mergeCell ref="P25:Q25"/>
    <mergeCell ref="R25:S25"/>
    <mergeCell ref="T25:U25"/>
    <mergeCell ref="V25:W25"/>
    <mergeCell ref="R24:S24"/>
    <mergeCell ref="T24:U24"/>
    <mergeCell ref="V24:W24"/>
    <mergeCell ref="AD23:AE23"/>
    <mergeCell ref="AF23:AG23"/>
    <mergeCell ref="J24:K24"/>
    <mergeCell ref="L24:M24"/>
    <mergeCell ref="N24:O24"/>
    <mergeCell ref="P24:Q24"/>
    <mergeCell ref="AD22:AE22"/>
    <mergeCell ref="AF22:AG22"/>
    <mergeCell ref="J23:K23"/>
    <mergeCell ref="L23:M23"/>
    <mergeCell ref="N23:O23"/>
    <mergeCell ref="P23:Q23"/>
    <mergeCell ref="R23:S23"/>
    <mergeCell ref="T23:U23"/>
    <mergeCell ref="V23:W23"/>
    <mergeCell ref="R22:S22"/>
    <mergeCell ref="T22:U22"/>
    <mergeCell ref="V22:W22"/>
    <mergeCell ref="X22:Y22"/>
    <mergeCell ref="Z22:AA22"/>
    <mergeCell ref="AB22:AC22"/>
    <mergeCell ref="AD21:AE21"/>
    <mergeCell ref="AF21:AG21"/>
    <mergeCell ref="J22:K22"/>
    <mergeCell ref="L22:M22"/>
    <mergeCell ref="N22:O22"/>
    <mergeCell ref="P22:Q22"/>
    <mergeCell ref="AD20:AE20"/>
    <mergeCell ref="AF20:AG20"/>
    <mergeCell ref="J21:K21"/>
    <mergeCell ref="L21:M21"/>
    <mergeCell ref="N21:O21"/>
    <mergeCell ref="P21:Q21"/>
    <mergeCell ref="R21:S21"/>
    <mergeCell ref="T21:U21"/>
    <mergeCell ref="V21:W21"/>
    <mergeCell ref="R20:S20"/>
    <mergeCell ref="T20:U20"/>
    <mergeCell ref="V20:W20"/>
    <mergeCell ref="X20:Y20"/>
    <mergeCell ref="Z20:AA20"/>
    <mergeCell ref="AB20:AC20"/>
    <mergeCell ref="J20:K20"/>
    <mergeCell ref="L20:M20"/>
    <mergeCell ref="N20:O20"/>
    <mergeCell ref="P20:Q20"/>
    <mergeCell ref="AD18:AE18"/>
    <mergeCell ref="AF18:AG18"/>
    <mergeCell ref="J19:K19"/>
    <mergeCell ref="L19:M19"/>
    <mergeCell ref="N19:O19"/>
    <mergeCell ref="P19:Q19"/>
    <mergeCell ref="R19:S19"/>
    <mergeCell ref="T19:U19"/>
    <mergeCell ref="V19:W19"/>
    <mergeCell ref="R18:S18"/>
    <mergeCell ref="T18:U18"/>
    <mergeCell ref="V18:W18"/>
    <mergeCell ref="X18:Y18"/>
    <mergeCell ref="Z18:AA18"/>
    <mergeCell ref="AB18:AC18"/>
    <mergeCell ref="J18:K18"/>
    <mergeCell ref="L18:M18"/>
    <mergeCell ref="N18:O18"/>
    <mergeCell ref="P18:Q18"/>
    <mergeCell ref="AD19:AE19"/>
    <mergeCell ref="AF19:AG19"/>
    <mergeCell ref="AD16:AE16"/>
    <mergeCell ref="AF16:AG16"/>
    <mergeCell ref="J17:K17"/>
    <mergeCell ref="L17:M17"/>
    <mergeCell ref="N17:O17"/>
    <mergeCell ref="P17:Q17"/>
    <mergeCell ref="R17:S17"/>
    <mergeCell ref="T17:U17"/>
    <mergeCell ref="V17:W17"/>
    <mergeCell ref="R16:S16"/>
    <mergeCell ref="T16:U16"/>
    <mergeCell ref="V16:W16"/>
    <mergeCell ref="X16:Y16"/>
    <mergeCell ref="Z16:AA16"/>
    <mergeCell ref="AB16:AC16"/>
    <mergeCell ref="J16:K16"/>
    <mergeCell ref="L16:M16"/>
    <mergeCell ref="N16:O16"/>
    <mergeCell ref="P16:Q16"/>
    <mergeCell ref="X17:Y17"/>
    <mergeCell ref="Z17:AA17"/>
    <mergeCell ref="AB17:AC17"/>
    <mergeCell ref="AD17:AE17"/>
    <mergeCell ref="AF17:AG17"/>
    <mergeCell ref="J15:K15"/>
    <mergeCell ref="L15:M15"/>
    <mergeCell ref="N15:O15"/>
    <mergeCell ref="P15:Q15"/>
    <mergeCell ref="R15:S15"/>
    <mergeCell ref="T15:U15"/>
    <mergeCell ref="V15:W15"/>
    <mergeCell ref="R14:S14"/>
    <mergeCell ref="T14:U14"/>
    <mergeCell ref="V14:W14"/>
    <mergeCell ref="J14:K14"/>
    <mergeCell ref="L14:M14"/>
    <mergeCell ref="N14:O14"/>
    <mergeCell ref="P14:Q14"/>
    <mergeCell ref="L13:M13"/>
    <mergeCell ref="N13:O13"/>
    <mergeCell ref="P13:Q13"/>
    <mergeCell ref="R13:S13"/>
    <mergeCell ref="T13:U13"/>
    <mergeCell ref="V13:W13"/>
    <mergeCell ref="X13:Y13"/>
    <mergeCell ref="J11:K11"/>
    <mergeCell ref="L11:M11"/>
    <mergeCell ref="N11:O11"/>
    <mergeCell ref="P11:Q11"/>
    <mergeCell ref="R11:S11"/>
    <mergeCell ref="J12:K12"/>
    <mergeCell ref="T11:U11"/>
    <mergeCell ref="V11:W11"/>
    <mergeCell ref="X11:Y11"/>
    <mergeCell ref="A24:I24"/>
    <mergeCell ref="B1:J2"/>
    <mergeCell ref="A5:AI6"/>
    <mergeCell ref="J9:K9"/>
    <mergeCell ref="L9:M9"/>
    <mergeCell ref="J10:K10"/>
    <mergeCell ref="L10:M10"/>
    <mergeCell ref="N10:O10"/>
    <mergeCell ref="P10:Q10"/>
    <mergeCell ref="A4:AI4"/>
    <mergeCell ref="J8:K8"/>
    <mergeCell ref="L8:M8"/>
    <mergeCell ref="N8:O8"/>
    <mergeCell ref="P8:Q8"/>
    <mergeCell ref="AF9:AG9"/>
    <mergeCell ref="AH9:AI9"/>
    <mergeCell ref="AH8:AI8"/>
    <mergeCell ref="N9:O9"/>
    <mergeCell ref="P9:Q9"/>
    <mergeCell ref="R9:S9"/>
    <mergeCell ref="T9:U9"/>
    <mergeCell ref="AF8:AG8"/>
    <mergeCell ref="T8:U8"/>
    <mergeCell ref="J13:K13"/>
    <mergeCell ref="A8:I8"/>
    <mergeCell ref="A26:I26"/>
    <mergeCell ref="A27:I27"/>
    <mergeCell ref="A28:I28"/>
    <mergeCell ref="A29:I29"/>
    <mergeCell ref="A30:I30"/>
    <mergeCell ref="A31:I31"/>
    <mergeCell ref="A32:I32"/>
    <mergeCell ref="A33:I33"/>
    <mergeCell ref="A9:I9"/>
    <mergeCell ref="A10:I10"/>
    <mergeCell ref="A11:I11"/>
    <mergeCell ref="A12:I12"/>
    <mergeCell ref="A13:I13"/>
    <mergeCell ref="A14:I14"/>
    <mergeCell ref="A15:I15"/>
    <mergeCell ref="A16:I16"/>
    <mergeCell ref="A17:I17"/>
    <mergeCell ref="A18:I18"/>
    <mergeCell ref="A19:I19"/>
    <mergeCell ref="A20:I20"/>
    <mergeCell ref="A21:I21"/>
    <mergeCell ref="A22:I22"/>
    <mergeCell ref="A23:I23"/>
  </mergeCells>
  <conditionalFormatting sqref="A9:I33">
    <cfRule type="expression" dxfId="106" priority="2">
      <formula>ISBLANK(A9)</formula>
    </cfRule>
  </conditionalFormatting>
  <conditionalFormatting sqref="J9:AI33">
    <cfRule type="expression" dxfId="105" priority="4">
      <formula>ISBLANK($A9)</formula>
    </cfRule>
  </conditionalFormatting>
  <conditionalFormatting sqref="N8:AI8">
    <cfRule type="cellIs" dxfId="104" priority="5" operator="equal">
      <formula>"%scenario"</formula>
    </cfRule>
  </conditionalFormatting>
  <conditionalFormatting sqref="N9:AI33">
    <cfRule type="cellIs" dxfId="103" priority="1" operator="lessThan">
      <formula>0</formula>
    </cfRule>
  </conditionalFormatting>
  <pageMargins left="0.7" right="0.7" top="0" bottom="0" header="0" footer="0"/>
  <pageSetup scale="66" fitToHeight="0" orientation="landscape" r:id="rId1"/>
  <drawing r:id="rId2"/>
  <extLst>
    <ext xmlns:x14="http://schemas.microsoft.com/office/spreadsheetml/2009/9/main" uri="{05C60535-1F16-4fd2-B633-F4F36F0B64E0}">
      <x14:sparklineGroups xmlns:xm="http://schemas.microsoft.com/office/excel/2006/main">
        <x14:sparklineGroup type="stacked" displayEmptyCellsAs="gap" negative="1" xr2:uid="{00000000-0003-0000-13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'STRESSED FACTOR VALUES'!N34:AI34</xm:f>
              <xm:sqref>G34</xm:sqref>
            </x14:sparkline>
            <x14:sparkline>
              <xm:f>'STRESSED FACTOR VALUES'!N35:AI35</xm:f>
              <xm:sqref>G35</xm:sqref>
            </x14:sparkline>
            <x14:sparkline>
              <xm:f>'STRESSED FACTOR VALUES'!N36:AI36</xm:f>
              <xm:sqref>G36</xm:sqref>
            </x14:sparkline>
            <x14:sparkline>
              <xm:f>'STRESSED FACTOR VALUES'!N37:AI37</xm:f>
              <xm:sqref>G37</xm:sqref>
            </x14:sparkline>
            <x14:sparkline>
              <xm:f>'STRESSED FACTOR VALUES'!N38:AI38</xm:f>
              <xm:sqref>G38</xm:sqref>
            </x14:sparkline>
            <x14:sparkline>
              <xm:f>'STRESSED FACTOR VALUES'!N39:AI39</xm:f>
              <xm:sqref>G39</xm:sqref>
            </x14:sparkline>
            <x14:sparkline>
              <xm:f>'STRESSED FACTOR VALUES'!N40:AI40</xm:f>
              <xm:sqref>G40</xm:sqref>
            </x14:sparkline>
            <x14:sparkline>
              <xm:f>'STRESSED FACTOR VALUES'!N41:AI41</xm:f>
              <xm:sqref>G41</xm:sqref>
            </x14:sparkline>
            <x14:sparkline>
              <xm:f>'STRESSED FACTOR VALUES'!N42:AI42</xm:f>
              <xm:sqref>G42</xm:sqref>
            </x14:sparkline>
            <x14:sparkline>
              <xm:f>'STRESSED FACTOR VALUES'!N43:AI43</xm:f>
              <xm:sqref>G43</xm:sqref>
            </x14:sparkline>
            <x14:sparkline>
              <xm:f>'STRESSED FACTOR VALUES'!N44:AI44</xm:f>
              <xm:sqref>G44</xm:sqref>
            </x14:sparkline>
            <x14:sparkline>
              <xm:f>'STRESSED FACTOR VALUES'!N45:AI45</xm:f>
              <xm:sqref>G45</xm:sqref>
            </x14:sparkline>
            <x14:sparkline>
              <xm:f>'STRESSED FACTOR VALUES'!N46:AI46</xm:f>
              <xm:sqref>G46</xm:sqref>
            </x14:sparkline>
            <x14:sparkline>
              <xm:f>'STRESSED FACTOR VALUES'!N47:AI47</xm:f>
              <xm:sqref>G47</xm:sqref>
            </x14:sparkline>
            <x14:sparkline>
              <xm:f>'STRESSED FACTOR VALUES'!N48:AI48</xm:f>
              <xm:sqref>G48</xm:sqref>
            </x14:sparkline>
            <x14:sparkline>
              <xm:f>'STRESSED FACTOR VALUES'!N49:AI49</xm:f>
              <xm:sqref>G49</xm:sqref>
            </x14:sparkline>
            <x14:sparkline>
              <xm:f>'STRESSED FACTOR VALUES'!N50:AI50</xm:f>
              <xm:sqref>G50</xm:sqref>
            </x14:sparkline>
            <x14:sparkline>
              <xm:f>'STRESSED FACTOR VALUES'!N51:AI51</xm:f>
              <xm:sqref>G51</xm:sqref>
            </x14:sparkline>
            <x14:sparkline>
              <xm:f>'STRESSED FACTOR VALUES'!N52:AI52</xm:f>
              <xm:sqref>G52</xm:sqref>
            </x14:sparkline>
            <x14:sparkline>
              <xm:f>'STRESSED FACTOR VALUES'!N53:AI53</xm:f>
              <xm:sqref>G53</xm:sqref>
            </x14:sparkline>
            <x14:sparkline>
              <xm:f>'STRESSED FACTOR VALUES'!N54:AI54</xm:f>
              <xm:sqref>G54</xm:sqref>
            </x14:sparkline>
            <x14:sparkline>
              <xm:f>'STRESSED FACTOR VALUES'!N55:AI55</xm:f>
              <xm:sqref>G55</xm:sqref>
            </x14:sparkline>
            <x14:sparkline>
              <xm:f>'STRESSED FACTOR VALUES'!N56:AI56</xm:f>
              <xm:sqref>G56</xm:sqref>
            </x14:sparkline>
            <x14:sparkline>
              <xm:f>'STRESSED FACTOR VALUES'!N57:AI57</xm:f>
              <xm:sqref>G57</xm:sqref>
            </x14:sparkline>
          </x14:sparklines>
        </x14:sparklineGroup>
      </x14:sparklineGroup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pageSetUpPr fitToPage="1"/>
  </sheetPr>
  <dimension ref="A1:AI154"/>
  <sheetViews>
    <sheetView showGridLines="0" zoomScaleNormal="100" workbookViewId="0">
      <selection activeCell="A10" sqref="A10:F10"/>
    </sheetView>
  </sheetViews>
  <sheetFormatPr defaultRowHeight="15" x14ac:dyDescent="0.25"/>
  <cols>
    <col min="1" max="35" width="5" style="41" customWidth="1"/>
    <col min="36" max="16384" width="9.140625" style="41"/>
  </cols>
  <sheetData>
    <row r="1" spans="1:35" x14ac:dyDescent="0.25">
      <c r="B1" s="386"/>
      <c r="C1" s="386"/>
      <c r="D1" s="386"/>
      <c r="E1" s="386"/>
      <c r="F1" s="386"/>
      <c r="G1" s="386"/>
      <c r="H1" s="386"/>
      <c r="I1" s="386"/>
      <c r="J1" s="386"/>
    </row>
    <row r="2" spans="1:35" x14ac:dyDescent="0.25">
      <c r="B2" s="386"/>
      <c r="C2" s="386"/>
      <c r="D2" s="386"/>
      <c r="E2" s="386"/>
      <c r="F2" s="386"/>
      <c r="G2" s="386"/>
      <c r="H2" s="386"/>
      <c r="I2" s="386"/>
      <c r="J2" s="386"/>
    </row>
    <row r="3" spans="1:35" ht="9.75" customHeight="1" x14ac:dyDescent="0.25">
      <c r="B3" s="98"/>
      <c r="C3" s="98"/>
      <c r="D3" s="98"/>
      <c r="E3" s="98"/>
      <c r="F3" s="98"/>
      <c r="G3" s="98"/>
      <c r="H3" s="98"/>
      <c r="I3" s="98"/>
      <c r="J3" s="98"/>
    </row>
    <row r="4" spans="1:35" ht="11.25" customHeight="1" x14ac:dyDescent="0.25">
      <c r="A4" s="395" t="s">
        <v>73</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11.25" customHeight="1" x14ac:dyDescent="0.25">
      <c r="A5" s="508" t="s">
        <v>236</v>
      </c>
      <c r="B5" s="400"/>
      <c r="C5" s="400"/>
      <c r="D5" s="400"/>
      <c r="E5" s="400"/>
      <c r="F5" s="400"/>
      <c r="G5" s="400"/>
      <c r="H5" s="400"/>
      <c r="I5" s="400"/>
      <c r="J5" s="400"/>
      <c r="K5" s="400"/>
      <c r="L5" s="400"/>
      <c r="M5" s="400"/>
      <c r="N5" s="400"/>
      <c r="O5" s="400"/>
      <c r="P5" s="400"/>
      <c r="Q5" s="400"/>
      <c r="R5" s="400"/>
      <c r="S5" s="400"/>
      <c r="T5" s="400"/>
      <c r="U5" s="400"/>
      <c r="V5" s="400"/>
      <c r="W5" s="400"/>
      <c r="X5" s="400"/>
      <c r="Y5" s="400"/>
      <c r="Z5" s="400"/>
      <c r="AA5" s="400"/>
      <c r="AB5" s="400"/>
      <c r="AC5" s="400"/>
      <c r="AD5" s="400"/>
      <c r="AE5" s="400"/>
      <c r="AF5" s="400"/>
      <c r="AG5" s="400"/>
      <c r="AH5" s="400"/>
      <c r="AI5" s="400"/>
    </row>
    <row r="6" spans="1:35" ht="11.25" customHeight="1" x14ac:dyDescent="0.25">
      <c r="A6" s="508"/>
      <c r="B6" s="400"/>
      <c r="C6" s="400"/>
      <c r="D6" s="400"/>
      <c r="E6" s="400"/>
      <c r="F6" s="400"/>
      <c r="G6" s="400"/>
      <c r="H6" s="400"/>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row>
    <row r="7" spans="1:35" ht="11.25" customHeight="1" x14ac:dyDescent="0.25">
      <c r="A7" s="150"/>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0"/>
      <c r="AC7" s="150"/>
      <c r="AD7" s="150"/>
      <c r="AE7" s="150"/>
      <c r="AF7" s="150"/>
      <c r="AG7" s="150"/>
      <c r="AH7" s="150"/>
      <c r="AI7" s="150"/>
    </row>
    <row r="8" spans="1:35" ht="44.25" customHeight="1" x14ac:dyDescent="0.25">
      <c r="A8" s="611" t="s">
        <v>76</v>
      </c>
      <c r="B8" s="611"/>
      <c r="C8" s="611"/>
      <c r="D8" s="612" t="s">
        <v>77</v>
      </c>
      <c r="E8" s="612"/>
      <c r="F8" s="612"/>
      <c r="G8" s="603" t="s">
        <v>351</v>
      </c>
      <c r="H8" s="603"/>
      <c r="I8" s="601" t="s">
        <v>323</v>
      </c>
      <c r="J8" s="601"/>
      <c r="K8" s="601" t="s">
        <v>324</v>
      </c>
      <c r="L8" s="601"/>
      <c r="M8" s="601" t="s">
        <v>313</v>
      </c>
      <c r="N8" s="601"/>
      <c r="O8" s="601" t="s">
        <v>325</v>
      </c>
      <c r="P8" s="601"/>
      <c r="Q8" s="601" t="s">
        <v>326</v>
      </c>
      <c r="R8" s="601"/>
      <c r="S8" s="601" t="s">
        <v>327</v>
      </c>
      <c r="T8" s="601"/>
      <c r="U8" s="601" t="s">
        <v>328</v>
      </c>
      <c r="V8" s="601"/>
      <c r="W8" s="601" t="s">
        <v>329</v>
      </c>
      <c r="X8" s="601"/>
      <c r="Y8" s="601" t="s">
        <v>330</v>
      </c>
      <c r="Z8" s="601"/>
      <c r="AA8" s="601" t="s">
        <v>312</v>
      </c>
      <c r="AB8" s="601"/>
      <c r="AC8" s="601" t="s">
        <v>331</v>
      </c>
      <c r="AD8" s="601"/>
      <c r="AE8" s="601" t="s">
        <v>311</v>
      </c>
      <c r="AF8" s="601"/>
      <c r="AG8" s="601" t="s">
        <v>309</v>
      </c>
      <c r="AH8" s="601"/>
    </row>
    <row r="9" spans="1:35" ht="5.25" customHeight="1" x14ac:dyDescent="0.25">
      <c r="A9" s="605" t="s">
        <v>294</v>
      </c>
      <c r="B9" s="606"/>
      <c r="C9" s="606"/>
      <c r="D9" s="606"/>
      <c r="E9" s="606"/>
      <c r="F9" s="606"/>
      <c r="G9" s="604"/>
      <c r="H9" s="604"/>
      <c r="I9" s="602"/>
      <c r="J9" s="602"/>
      <c r="K9" s="602"/>
      <c r="L9" s="602"/>
      <c r="M9" s="602"/>
      <c r="N9" s="602"/>
      <c r="O9" s="602"/>
      <c r="P9" s="602"/>
      <c r="Q9" s="602"/>
      <c r="R9" s="602"/>
      <c r="S9" s="602"/>
      <c r="T9" s="602"/>
      <c r="U9" s="602"/>
      <c r="V9" s="602"/>
      <c r="W9" s="602"/>
      <c r="X9" s="602"/>
      <c r="Y9" s="602"/>
      <c r="Z9" s="602"/>
      <c r="AA9" s="602"/>
      <c r="AB9" s="602"/>
      <c r="AC9" s="602"/>
      <c r="AD9" s="602"/>
      <c r="AE9" s="602"/>
      <c r="AF9" s="602"/>
      <c r="AG9" s="602"/>
      <c r="AH9" s="602"/>
    </row>
    <row r="10" spans="1:35" ht="11.25" customHeight="1" x14ac:dyDescent="0.25">
      <c r="A10" s="610" t="s">
        <v>137</v>
      </c>
      <c r="B10" s="610"/>
      <c r="C10" s="610"/>
      <c r="D10" s="610"/>
      <c r="E10" s="610"/>
      <c r="F10" s="610"/>
      <c r="G10" s="616">
        <v>0.41378505320822179</v>
      </c>
      <c r="H10" s="616"/>
      <c r="I10" s="617">
        <v>0.20840771366002686</v>
      </c>
      <c r="J10" s="617"/>
      <c r="K10" s="617">
        <v>4.2751853889608227E-2</v>
      </c>
      <c r="L10" s="617"/>
      <c r="M10" s="617">
        <v>7.5344680683520515E-2</v>
      </c>
      <c r="N10" s="617"/>
      <c r="O10" s="614">
        <v>0.43107911794192444</v>
      </c>
      <c r="P10" s="614"/>
      <c r="Q10" s="614">
        <v>5.7216328874366784E-2</v>
      </c>
      <c r="R10" s="614"/>
      <c r="S10" s="614">
        <v>3.0866625995556563E-2</v>
      </c>
      <c r="T10" s="614"/>
      <c r="U10" s="614">
        <v>0.1327292800730423</v>
      </c>
      <c r="V10" s="614"/>
      <c r="W10" s="614">
        <v>0.1875819274426318</v>
      </c>
      <c r="X10" s="614"/>
      <c r="Y10" s="614">
        <v>0.10272775637072251</v>
      </c>
      <c r="Z10" s="614"/>
      <c r="AA10" s="614">
        <v>0.16189765747118523</v>
      </c>
      <c r="AB10" s="614"/>
      <c r="AC10" s="614">
        <v>0.27264157585617266</v>
      </c>
      <c r="AD10" s="614"/>
      <c r="AE10" s="614">
        <v>0.1870390317640146</v>
      </c>
      <c r="AF10" s="614"/>
      <c r="AG10" s="614">
        <v>8.0299424040961909E-2</v>
      </c>
      <c r="AH10" s="614"/>
    </row>
    <row r="11" spans="1:35" ht="11.25" customHeight="1" x14ac:dyDescent="0.25">
      <c r="A11" s="609" t="s">
        <v>75</v>
      </c>
      <c r="B11" s="609"/>
      <c r="C11" s="609"/>
      <c r="D11" s="609"/>
      <c r="E11" s="609"/>
      <c r="F11" s="609"/>
      <c r="G11" s="615" t="s">
        <v>294</v>
      </c>
      <c r="H11" s="615"/>
      <c r="I11" s="613">
        <v>2.5361625521462351E-2</v>
      </c>
      <c r="J11" s="613"/>
      <c r="K11" s="613">
        <v>3.2872586081060973E-2</v>
      </c>
      <c r="L11" s="613"/>
      <c r="M11" s="613">
        <v>2.3300405783505462E-2</v>
      </c>
      <c r="N11" s="613"/>
      <c r="O11" s="613">
        <v>6.564852400442747E-3</v>
      </c>
      <c r="P11" s="613"/>
      <c r="Q11" s="613">
        <v>1.1305303846375233E-2</v>
      </c>
      <c r="R11" s="613"/>
      <c r="S11" s="613">
        <v>2.5173662101394375E-2</v>
      </c>
      <c r="T11" s="613"/>
      <c r="U11" s="613">
        <v>8.4165059505385571E-3</v>
      </c>
      <c r="V11" s="613"/>
      <c r="W11" s="613">
        <v>9.4566004507137102E-3</v>
      </c>
      <c r="X11" s="613"/>
      <c r="Y11" s="613">
        <v>4.017637911880808E-2</v>
      </c>
      <c r="Z11" s="613"/>
      <c r="AA11" s="613">
        <v>1.5326194972501341E-2</v>
      </c>
      <c r="AB11" s="613"/>
      <c r="AC11" s="613">
        <v>2.384529810973509E-2</v>
      </c>
      <c r="AD11" s="613"/>
      <c r="AE11" s="613">
        <v>9.2204551277357757E-3</v>
      </c>
      <c r="AF11" s="613"/>
      <c r="AG11" s="613">
        <v>3.4597367393764455E-2</v>
      </c>
      <c r="AH11" s="613"/>
    </row>
    <row r="12" spans="1:35" ht="11.25" customHeight="1" x14ac:dyDescent="0.25">
      <c r="A12" s="600" t="s">
        <v>400</v>
      </c>
      <c r="B12" s="600"/>
      <c r="C12" s="600"/>
      <c r="D12" s="600"/>
      <c r="E12" s="600"/>
      <c r="F12" s="600"/>
      <c r="G12" s="115">
        <v>8.1733237220841057E-3</v>
      </c>
      <c r="H12" s="88" t="s">
        <v>294</v>
      </c>
      <c r="I12" s="116">
        <v>8.3265544764247763E-3</v>
      </c>
      <c r="J12" s="89">
        <v>5.3970508407208597E-3</v>
      </c>
      <c r="K12" s="116">
        <v>-6.4620852150651968E-3</v>
      </c>
      <c r="L12" s="89">
        <v>8.0717207622976475E-2</v>
      </c>
      <c r="M12" s="116">
        <v>8.1395288389472797E-3</v>
      </c>
      <c r="N12" s="89">
        <v>3.017849762172389E-3</v>
      </c>
      <c r="O12" s="116">
        <v>6.882103890668987E-3</v>
      </c>
      <c r="P12" s="89">
        <v>9.2121473576090537E-14</v>
      </c>
      <c r="Q12" s="116">
        <v>8.0223560516886026E-3</v>
      </c>
      <c r="R12" s="89">
        <v>2.2081391383701081E-8</v>
      </c>
      <c r="S12" s="116">
        <v>1.0812430941489327E-2</v>
      </c>
      <c r="T12" s="89">
        <v>3.1852482665040242E-4</v>
      </c>
      <c r="U12" s="116">
        <v>8.8013021261941719E-3</v>
      </c>
      <c r="V12" s="89">
        <v>1.910153948311162E-14</v>
      </c>
      <c r="W12" s="116">
        <v>7.4852123816899494E-3</v>
      </c>
      <c r="X12" s="89">
        <v>9.0363070165166682E-10</v>
      </c>
      <c r="Y12" s="116" t="s">
        <v>294</v>
      </c>
      <c r="Z12" s="89"/>
      <c r="AA12" s="116">
        <v>1.0129189803206748E-2</v>
      </c>
      <c r="AB12" s="89">
        <v>1.3902573247699609E-7</v>
      </c>
      <c r="AC12" s="116">
        <v>1.4304991138537327E-2</v>
      </c>
      <c r="AD12" s="89">
        <v>1.5097851855198121E-6</v>
      </c>
      <c r="AE12" s="116">
        <v>1.3825025192690195E-2</v>
      </c>
      <c r="AF12" s="89">
        <v>4.8984773383097212E-22</v>
      </c>
      <c r="AG12" s="116">
        <v>1.2811321830103721E-2</v>
      </c>
      <c r="AH12" s="89">
        <v>1.4813851593529512E-3</v>
      </c>
    </row>
    <row r="13" spans="1:35" ht="11.25" customHeight="1" x14ac:dyDescent="0.25">
      <c r="A13" s="600" t="s">
        <v>401</v>
      </c>
      <c r="B13" s="600"/>
      <c r="C13" s="600"/>
      <c r="D13" s="600"/>
      <c r="E13" s="600"/>
      <c r="F13" s="600"/>
      <c r="G13" s="115">
        <v>-4.8516357070425755E-3</v>
      </c>
      <c r="H13" s="88" t="s">
        <v>294</v>
      </c>
      <c r="I13" s="116">
        <v>-0.11287883723106319</v>
      </c>
      <c r="J13" s="89">
        <v>2.6720537332174724E-2</v>
      </c>
      <c r="K13" s="116">
        <v>-0.10986425526683682</v>
      </c>
      <c r="L13" s="89">
        <v>6.4021318656287421E-2</v>
      </c>
      <c r="M13" s="116" t="s">
        <v>294</v>
      </c>
      <c r="N13" s="89"/>
      <c r="O13" s="116" t="s">
        <v>294</v>
      </c>
      <c r="P13" s="89"/>
      <c r="Q13" s="116" t="s">
        <v>294</v>
      </c>
      <c r="R13" s="89"/>
      <c r="S13" s="116" t="s">
        <v>294</v>
      </c>
      <c r="T13" s="89"/>
      <c r="U13" s="116">
        <v>-4.814691616472714E-2</v>
      </c>
      <c r="V13" s="89">
        <v>2.5122669387320998E-3</v>
      </c>
      <c r="W13" s="116" t="s">
        <v>294</v>
      </c>
      <c r="X13" s="89"/>
      <c r="Y13" s="116">
        <v>0.11485111871837386</v>
      </c>
      <c r="Z13" s="89">
        <v>0.12693183274251685</v>
      </c>
      <c r="AA13" s="116" t="s">
        <v>294</v>
      </c>
      <c r="AB13" s="89"/>
      <c r="AC13" s="116">
        <v>0.10436237837811818</v>
      </c>
      <c r="AD13" s="89">
        <v>2.2221133275455607E-2</v>
      </c>
      <c r="AE13" s="116">
        <v>-4.4589748814140275E-2</v>
      </c>
      <c r="AF13" s="89">
        <v>1.0007208641908497E-2</v>
      </c>
      <c r="AG13" s="116" t="s">
        <v>294</v>
      </c>
      <c r="AH13" s="89"/>
    </row>
    <row r="14" spans="1:35" ht="11.25" customHeight="1" x14ac:dyDescent="0.25">
      <c r="A14" s="600" t="s">
        <v>402</v>
      </c>
      <c r="B14" s="600"/>
      <c r="C14" s="600"/>
      <c r="D14" s="600"/>
      <c r="E14" s="600"/>
      <c r="F14" s="600"/>
      <c r="G14" s="115">
        <v>-4.2907993067618777E-2</v>
      </c>
      <c r="H14" s="88" t="s">
        <v>294</v>
      </c>
      <c r="I14" s="116" t="s">
        <v>294</v>
      </c>
      <c r="J14" s="89"/>
      <c r="K14" s="116" t="s">
        <v>294</v>
      </c>
      <c r="L14" s="89"/>
      <c r="M14" s="116" t="s">
        <v>294</v>
      </c>
      <c r="N14" s="89"/>
      <c r="O14" s="116" t="s">
        <v>294</v>
      </c>
      <c r="P14" s="89"/>
      <c r="Q14" s="116" t="s">
        <v>294</v>
      </c>
      <c r="R14" s="89"/>
      <c r="S14" s="116" t="s">
        <v>294</v>
      </c>
      <c r="T14" s="89"/>
      <c r="U14" s="116">
        <v>-9.542317745738764E-2</v>
      </c>
      <c r="V14" s="89">
        <v>3.2447602478990457E-2</v>
      </c>
      <c r="W14" s="116" t="s">
        <v>294</v>
      </c>
      <c r="X14" s="89"/>
      <c r="Y14" s="116" t="s">
        <v>294</v>
      </c>
      <c r="Z14" s="89"/>
      <c r="AA14" s="116" t="s">
        <v>294</v>
      </c>
      <c r="AB14" s="89"/>
      <c r="AC14" s="116" t="s">
        <v>294</v>
      </c>
      <c r="AD14" s="89"/>
      <c r="AE14" s="116">
        <v>-0.18459191322984259</v>
      </c>
      <c r="AF14" s="89">
        <v>2.4427600343719853E-4</v>
      </c>
      <c r="AG14" s="116">
        <v>-0.46429235305292765</v>
      </c>
      <c r="AH14" s="89">
        <v>1.6858420765419508E-2</v>
      </c>
    </row>
    <row r="15" spans="1:35" ht="11.25" customHeight="1" x14ac:dyDescent="0.25">
      <c r="A15" s="600" t="s">
        <v>403</v>
      </c>
      <c r="B15" s="600"/>
      <c r="C15" s="600"/>
      <c r="D15" s="600"/>
      <c r="E15" s="600"/>
      <c r="F15" s="600"/>
      <c r="G15" s="115">
        <v>0.20128461620731386</v>
      </c>
      <c r="H15" s="88" t="s">
        <v>294</v>
      </c>
      <c r="I15" s="116">
        <v>0.25860753492080013</v>
      </c>
      <c r="J15" s="89">
        <v>8.1138100873467192E-2</v>
      </c>
      <c r="K15" s="116" t="s">
        <v>294</v>
      </c>
      <c r="L15" s="89"/>
      <c r="M15" s="116" t="s">
        <v>294</v>
      </c>
      <c r="N15" s="89"/>
      <c r="O15" s="116">
        <v>0.10715606994667065</v>
      </c>
      <c r="P15" s="89">
        <v>2.4147825364381943E-2</v>
      </c>
      <c r="Q15" s="116" t="s">
        <v>294</v>
      </c>
      <c r="R15" s="89"/>
      <c r="S15" s="116" t="s">
        <v>294</v>
      </c>
      <c r="T15" s="89"/>
      <c r="U15" s="116" t="s">
        <v>294</v>
      </c>
      <c r="V15" s="89"/>
      <c r="W15" s="116" t="s">
        <v>294</v>
      </c>
      <c r="X15" s="89"/>
      <c r="Y15" s="116" t="s">
        <v>294</v>
      </c>
      <c r="Z15" s="89"/>
      <c r="AA15" s="116" t="s">
        <v>294</v>
      </c>
      <c r="AB15" s="89"/>
      <c r="AC15" s="116">
        <v>0.54223712093561638</v>
      </c>
      <c r="AD15" s="89">
        <v>2.1757965765584084E-4</v>
      </c>
      <c r="AE15" s="116" t="s">
        <v>294</v>
      </c>
      <c r="AF15" s="89"/>
      <c r="AG15" s="116">
        <v>-0.34597050494979215</v>
      </c>
      <c r="AH15" s="89">
        <v>7.5463677419538383E-2</v>
      </c>
    </row>
    <row r="16" spans="1:35" ht="11.25" customHeight="1" x14ac:dyDescent="0.25">
      <c r="A16" s="600" t="s">
        <v>404</v>
      </c>
      <c r="B16" s="600"/>
      <c r="C16" s="600"/>
      <c r="D16" s="600"/>
      <c r="E16" s="600"/>
      <c r="F16" s="600"/>
      <c r="G16" s="115">
        <v>3.7744727977881358E-2</v>
      </c>
      <c r="H16" s="88" t="s">
        <v>294</v>
      </c>
      <c r="I16" s="116">
        <v>-0.32653176549262042</v>
      </c>
      <c r="J16" s="89">
        <v>1.8622044077408272E-2</v>
      </c>
      <c r="K16" s="116" t="s">
        <v>294</v>
      </c>
      <c r="L16" s="89"/>
      <c r="M16" s="116">
        <v>-0.20966127219174077</v>
      </c>
      <c r="N16" s="89">
        <v>6.9776137970845725E-2</v>
      </c>
      <c r="O16" s="116">
        <v>8.1490673102338471E-2</v>
      </c>
      <c r="P16" s="89">
        <v>2.4779319903558056E-2</v>
      </c>
      <c r="Q16" s="116" t="s">
        <v>294</v>
      </c>
      <c r="R16" s="89"/>
      <c r="S16" s="116" t="s">
        <v>294</v>
      </c>
      <c r="T16" s="89"/>
      <c r="U16" s="116" t="s">
        <v>294</v>
      </c>
      <c r="V16" s="89"/>
      <c r="W16" s="116" t="s">
        <v>294</v>
      </c>
      <c r="X16" s="89"/>
      <c r="Y16" s="116" t="s">
        <v>294</v>
      </c>
      <c r="Z16" s="89"/>
      <c r="AA16" s="116">
        <v>0.12410118400028117</v>
      </c>
      <c r="AB16" s="89">
        <v>0.10203384469059762</v>
      </c>
      <c r="AC16" s="116">
        <v>0.23272790851766481</v>
      </c>
      <c r="AD16" s="89">
        <v>7.8414725836502039E-2</v>
      </c>
      <c r="AE16" s="116" t="s">
        <v>294</v>
      </c>
      <c r="AF16" s="89"/>
      <c r="AG16" s="116" t="s">
        <v>294</v>
      </c>
      <c r="AH16" s="89"/>
    </row>
    <row r="17" spans="1:34" ht="11.25" customHeight="1" x14ac:dyDescent="0.25">
      <c r="A17" s="600" t="s">
        <v>405</v>
      </c>
      <c r="B17" s="600"/>
      <c r="C17" s="600"/>
      <c r="D17" s="600"/>
      <c r="E17" s="600"/>
      <c r="F17" s="600"/>
      <c r="G17" s="115">
        <v>1.4730596114410188E-2</v>
      </c>
      <c r="H17" s="88" t="s">
        <v>294</v>
      </c>
      <c r="I17" s="116" t="s">
        <v>294</v>
      </c>
      <c r="J17" s="89"/>
      <c r="K17" s="116" t="s">
        <v>294</v>
      </c>
      <c r="L17" s="89"/>
      <c r="M17" s="116" t="s">
        <v>294</v>
      </c>
      <c r="N17" s="89"/>
      <c r="O17" s="116" t="s">
        <v>294</v>
      </c>
      <c r="P17" s="89"/>
      <c r="Q17" s="116">
        <v>5.818290839152071E-2</v>
      </c>
      <c r="R17" s="89">
        <v>3.1503108860574836E-2</v>
      </c>
      <c r="S17" s="116">
        <v>9.3855217924781034E-2</v>
      </c>
      <c r="T17" s="89">
        <v>0.11668186559826876</v>
      </c>
      <c r="U17" s="116" t="s">
        <v>294</v>
      </c>
      <c r="V17" s="89"/>
      <c r="W17" s="116" t="s">
        <v>294</v>
      </c>
      <c r="X17" s="89"/>
      <c r="Y17" s="116" t="s">
        <v>294</v>
      </c>
      <c r="Z17" s="89"/>
      <c r="AA17" s="116" t="s">
        <v>294</v>
      </c>
      <c r="AB17" s="89"/>
      <c r="AC17" s="116" t="s">
        <v>294</v>
      </c>
      <c r="AD17" s="89"/>
      <c r="AE17" s="116" t="s">
        <v>294</v>
      </c>
      <c r="AF17" s="89"/>
      <c r="AG17" s="116" t="s">
        <v>294</v>
      </c>
      <c r="AH17" s="89"/>
    </row>
    <row r="18" spans="1:34" ht="11.25" customHeight="1" x14ac:dyDescent="0.25">
      <c r="A18" s="600" t="s">
        <v>406</v>
      </c>
      <c r="B18" s="600"/>
      <c r="C18" s="600"/>
      <c r="D18" s="600"/>
      <c r="E18" s="600"/>
      <c r="F18" s="600"/>
      <c r="G18" s="115">
        <v>-1.3749977912600681E-2</v>
      </c>
      <c r="H18" s="88" t="s">
        <v>294</v>
      </c>
      <c r="I18" s="116" t="s">
        <v>294</v>
      </c>
      <c r="J18" s="89"/>
      <c r="K18" s="116" t="s">
        <v>294</v>
      </c>
      <c r="L18" s="89"/>
      <c r="M18" s="116" t="s">
        <v>294</v>
      </c>
      <c r="N18" s="89"/>
      <c r="O18" s="116">
        <v>-3.7106599131888018E-2</v>
      </c>
      <c r="P18" s="89">
        <v>0.10750128253606706</v>
      </c>
      <c r="Q18" s="116" t="s">
        <v>294</v>
      </c>
      <c r="R18" s="89"/>
      <c r="S18" s="116" t="s">
        <v>294</v>
      </c>
      <c r="T18" s="89"/>
      <c r="U18" s="116" t="s">
        <v>294</v>
      </c>
      <c r="V18" s="89"/>
      <c r="W18" s="116">
        <v>-6.6732685485112353E-2</v>
      </c>
      <c r="X18" s="89">
        <v>3.2367465998198987E-2</v>
      </c>
      <c r="Y18" s="116" t="s">
        <v>294</v>
      </c>
      <c r="Z18" s="89"/>
      <c r="AA18" s="116" t="s">
        <v>294</v>
      </c>
      <c r="AB18" s="89"/>
      <c r="AC18" s="116">
        <v>-0.30149025637473298</v>
      </c>
      <c r="AD18" s="89">
        <v>4.9546267803515179E-4</v>
      </c>
      <c r="AE18" s="116" t="s">
        <v>294</v>
      </c>
      <c r="AF18" s="89"/>
      <c r="AG18" s="116" t="s">
        <v>294</v>
      </c>
      <c r="AH18" s="89"/>
    </row>
    <row r="19" spans="1:34" ht="11.25" customHeight="1" x14ac:dyDescent="0.25">
      <c r="A19" s="600" t="s">
        <v>407</v>
      </c>
      <c r="B19" s="600"/>
      <c r="C19" s="600"/>
      <c r="D19" s="600"/>
      <c r="E19" s="600"/>
      <c r="F19" s="600"/>
      <c r="G19" s="115">
        <v>-1.1900747430768372E-2</v>
      </c>
      <c r="H19" s="88" t="s">
        <v>294</v>
      </c>
      <c r="I19" s="116" t="s">
        <v>294</v>
      </c>
      <c r="J19" s="89"/>
      <c r="K19" s="116" t="s">
        <v>294</v>
      </c>
      <c r="L19" s="89"/>
      <c r="M19" s="116">
        <v>8.8817861700831752E-2</v>
      </c>
      <c r="N19" s="89">
        <v>2.6232090679565882E-2</v>
      </c>
      <c r="O19" s="116">
        <v>4.2475338181034251E-2</v>
      </c>
      <c r="P19" s="89">
        <v>3.4495104262682445E-3</v>
      </c>
      <c r="Q19" s="116" t="s">
        <v>294</v>
      </c>
      <c r="R19" s="89"/>
      <c r="S19" s="116" t="s">
        <v>294</v>
      </c>
      <c r="T19" s="89"/>
      <c r="U19" s="116" t="s">
        <v>294</v>
      </c>
      <c r="V19" s="89"/>
      <c r="W19" s="116">
        <v>6.5835003205698531E-2</v>
      </c>
      <c r="X19" s="89">
        <v>7.9713398151964469E-5</v>
      </c>
      <c r="Y19" s="116">
        <v>-0.13324906779632562</v>
      </c>
      <c r="Z19" s="89">
        <v>4.3941825708246951E-2</v>
      </c>
      <c r="AA19" s="116">
        <v>-9.9786411152509955E-2</v>
      </c>
      <c r="AB19" s="89">
        <v>2.2435873260885509E-4</v>
      </c>
      <c r="AC19" s="116" t="s">
        <v>294</v>
      </c>
      <c r="AD19" s="89"/>
      <c r="AE19" s="116" t="s">
        <v>294</v>
      </c>
      <c r="AF19" s="89"/>
      <c r="AG19" s="116" t="s">
        <v>294</v>
      </c>
      <c r="AH19" s="89"/>
    </row>
    <row r="20" spans="1:34" ht="11.25" customHeight="1" x14ac:dyDescent="0.25">
      <c r="A20" s="600" t="s">
        <v>408</v>
      </c>
      <c r="B20" s="600"/>
      <c r="C20" s="600"/>
      <c r="D20" s="600"/>
      <c r="E20" s="600"/>
      <c r="F20" s="600"/>
      <c r="G20" s="115">
        <v>4.376475970106616E-3</v>
      </c>
      <c r="H20" s="88" t="s">
        <v>294</v>
      </c>
      <c r="I20" s="116">
        <v>0.44244024973454699</v>
      </c>
      <c r="J20" s="89">
        <v>3.6674748877376886E-2</v>
      </c>
      <c r="K20" s="116" t="s">
        <v>294</v>
      </c>
      <c r="L20" s="89"/>
      <c r="M20" s="116" t="s">
        <v>294</v>
      </c>
      <c r="N20" s="89"/>
      <c r="O20" s="116" t="s">
        <v>294</v>
      </c>
      <c r="P20" s="89"/>
      <c r="Q20" s="116" t="s">
        <v>294</v>
      </c>
      <c r="R20" s="89"/>
      <c r="S20" s="116" t="s">
        <v>294</v>
      </c>
      <c r="T20" s="89"/>
      <c r="U20" s="116" t="s">
        <v>294</v>
      </c>
      <c r="V20" s="89"/>
      <c r="W20" s="116" t="s">
        <v>294</v>
      </c>
      <c r="X20" s="89"/>
      <c r="Y20" s="116" t="s">
        <v>294</v>
      </c>
      <c r="Z20" s="89"/>
      <c r="AA20" s="116" t="s">
        <v>294</v>
      </c>
      <c r="AB20" s="89"/>
      <c r="AC20" s="116" t="s">
        <v>294</v>
      </c>
      <c r="AD20" s="89"/>
      <c r="AE20" s="116" t="s">
        <v>294</v>
      </c>
      <c r="AF20" s="89"/>
      <c r="AG20" s="116" t="s">
        <v>294</v>
      </c>
      <c r="AH20" s="89"/>
    </row>
    <row r="21" spans="1:34" ht="11.25" customHeight="1" x14ac:dyDescent="0.25">
      <c r="A21" s="600" t="s">
        <v>409</v>
      </c>
      <c r="B21" s="600"/>
      <c r="C21" s="600"/>
      <c r="D21" s="600"/>
      <c r="E21" s="600"/>
      <c r="F21" s="600"/>
      <c r="G21" s="115">
        <v>7.1919360699085832E-4</v>
      </c>
      <c r="H21" s="88" t="s">
        <v>294</v>
      </c>
      <c r="I21" s="116">
        <v>1.1205231117350344E-2</v>
      </c>
      <c r="J21" s="89">
        <v>0.12686711879842094</v>
      </c>
      <c r="K21" s="116" t="s">
        <v>294</v>
      </c>
      <c r="L21" s="89"/>
      <c r="M21" s="116" t="s">
        <v>294</v>
      </c>
      <c r="N21" s="89"/>
      <c r="O21" s="116" t="s">
        <v>294</v>
      </c>
      <c r="P21" s="89"/>
      <c r="Q21" s="116" t="s">
        <v>294</v>
      </c>
      <c r="R21" s="89"/>
      <c r="S21" s="116" t="s">
        <v>294</v>
      </c>
      <c r="T21" s="89"/>
      <c r="U21" s="116" t="s">
        <v>294</v>
      </c>
      <c r="V21" s="89"/>
      <c r="W21" s="116" t="s">
        <v>294</v>
      </c>
      <c r="X21" s="89"/>
      <c r="Y21" s="116" t="s">
        <v>294</v>
      </c>
      <c r="Z21" s="89"/>
      <c r="AA21" s="116" t="s">
        <v>294</v>
      </c>
      <c r="AB21" s="89"/>
      <c r="AC21" s="116" t="s">
        <v>294</v>
      </c>
      <c r="AD21" s="89"/>
      <c r="AE21" s="116" t="s">
        <v>294</v>
      </c>
      <c r="AF21" s="89"/>
      <c r="AG21" s="116" t="s">
        <v>294</v>
      </c>
      <c r="AH21" s="89"/>
    </row>
    <row r="22" spans="1:34" ht="11.25" customHeight="1" x14ac:dyDescent="0.25">
      <c r="A22" s="600"/>
      <c r="B22" s="600"/>
      <c r="C22" s="600"/>
      <c r="D22" s="600"/>
      <c r="E22" s="600"/>
      <c r="F22" s="600"/>
      <c r="G22" s="115"/>
      <c r="H22" s="88"/>
      <c r="I22" s="116"/>
      <c r="J22" s="89"/>
      <c r="K22" s="116"/>
      <c r="L22" s="89"/>
      <c r="M22" s="116"/>
      <c r="N22" s="89"/>
      <c r="O22" s="116"/>
      <c r="P22" s="89"/>
      <c r="Q22" s="116"/>
      <c r="R22" s="89"/>
      <c r="S22" s="116"/>
      <c r="T22" s="89"/>
      <c r="U22" s="116"/>
      <c r="V22" s="89"/>
      <c r="W22" s="116"/>
      <c r="X22" s="89"/>
      <c r="Y22" s="116"/>
      <c r="Z22" s="89"/>
      <c r="AA22" s="116"/>
      <c r="AB22" s="89"/>
      <c r="AC22" s="116"/>
      <c r="AD22" s="89"/>
      <c r="AE22" s="116"/>
      <c r="AF22" s="89"/>
      <c r="AG22" s="116"/>
      <c r="AH22" s="89"/>
    </row>
    <row r="23" spans="1:34" ht="11.25" customHeight="1" x14ac:dyDescent="0.25">
      <c r="A23" s="600"/>
      <c r="B23" s="600"/>
      <c r="C23" s="600"/>
      <c r="D23" s="600"/>
      <c r="E23" s="600"/>
      <c r="F23" s="600"/>
      <c r="G23" s="115"/>
      <c r="H23" s="88"/>
      <c r="I23" s="116"/>
      <c r="J23" s="89"/>
      <c r="K23" s="116"/>
      <c r="L23" s="89"/>
      <c r="M23" s="116"/>
      <c r="N23" s="89"/>
      <c r="O23" s="116"/>
      <c r="P23" s="89"/>
      <c r="Q23" s="116"/>
      <c r="R23" s="89"/>
      <c r="S23" s="116"/>
      <c r="T23" s="89"/>
      <c r="U23" s="116"/>
      <c r="V23" s="89"/>
      <c r="W23" s="116"/>
      <c r="X23" s="89"/>
      <c r="Y23" s="116"/>
      <c r="Z23" s="89"/>
      <c r="AA23" s="116"/>
      <c r="AB23" s="89"/>
      <c r="AC23" s="116"/>
      <c r="AD23" s="89"/>
      <c r="AE23" s="116"/>
      <c r="AF23" s="89"/>
      <c r="AG23" s="116"/>
      <c r="AH23" s="89"/>
    </row>
    <row r="24" spans="1:34" ht="11.25" customHeight="1" x14ac:dyDescent="0.25">
      <c r="A24" s="600"/>
      <c r="B24" s="600"/>
      <c r="C24" s="600"/>
      <c r="D24" s="600"/>
      <c r="E24" s="600"/>
      <c r="F24" s="600"/>
      <c r="G24" s="115"/>
      <c r="H24" s="88"/>
      <c r="I24" s="116"/>
      <c r="J24" s="89"/>
      <c r="K24" s="116"/>
      <c r="L24" s="89"/>
      <c r="M24" s="116"/>
      <c r="N24" s="89"/>
      <c r="O24" s="116"/>
      <c r="P24" s="89"/>
      <c r="Q24" s="116"/>
      <c r="R24" s="89"/>
      <c r="S24" s="116"/>
      <c r="T24" s="89"/>
      <c r="U24" s="116"/>
      <c r="V24" s="89"/>
      <c r="W24" s="116"/>
      <c r="X24" s="89"/>
      <c r="Y24" s="116"/>
      <c r="Z24" s="89"/>
      <c r="AA24" s="116"/>
      <c r="AB24" s="89"/>
      <c r="AC24" s="116"/>
      <c r="AD24" s="89"/>
      <c r="AE24" s="116"/>
      <c r="AF24" s="89"/>
      <c r="AG24" s="116"/>
      <c r="AH24" s="89"/>
    </row>
    <row r="25" spans="1:34" ht="11.25" customHeight="1" x14ac:dyDescent="0.25">
      <c r="A25" s="600"/>
      <c r="B25" s="600"/>
      <c r="C25" s="600"/>
      <c r="D25" s="600"/>
      <c r="E25" s="600"/>
      <c r="F25" s="600"/>
      <c r="G25" s="115"/>
      <c r="H25" s="88"/>
      <c r="I25" s="116"/>
      <c r="J25" s="89"/>
      <c r="K25" s="116"/>
      <c r="L25" s="89"/>
      <c r="M25" s="116"/>
      <c r="N25" s="89"/>
      <c r="O25" s="116"/>
      <c r="P25" s="89"/>
      <c r="Q25" s="116"/>
      <c r="R25" s="89"/>
      <c r="S25" s="116"/>
      <c r="T25" s="89"/>
      <c r="U25" s="116"/>
      <c r="V25" s="89"/>
      <c r="W25" s="116"/>
      <c r="X25" s="89"/>
      <c r="Y25" s="116"/>
      <c r="Z25" s="89"/>
      <c r="AA25" s="116"/>
      <c r="AB25" s="89"/>
      <c r="AC25" s="116"/>
      <c r="AD25" s="89"/>
      <c r="AE25" s="116"/>
      <c r="AF25" s="89"/>
      <c r="AG25" s="116"/>
      <c r="AH25" s="89"/>
    </row>
    <row r="26" spans="1:34" ht="11.25" customHeight="1" x14ac:dyDescent="0.25">
      <c r="A26" s="600"/>
      <c r="B26" s="600"/>
      <c r="C26" s="600"/>
      <c r="D26" s="600"/>
      <c r="E26" s="600"/>
      <c r="F26" s="600"/>
      <c r="G26" s="115"/>
      <c r="H26" s="88"/>
      <c r="I26" s="116"/>
      <c r="J26" s="89"/>
      <c r="K26" s="116"/>
      <c r="L26" s="89"/>
      <c r="M26" s="116"/>
      <c r="N26" s="89"/>
      <c r="O26" s="116"/>
      <c r="P26" s="89"/>
      <c r="Q26" s="116"/>
      <c r="R26" s="89"/>
      <c r="S26" s="116"/>
      <c r="T26" s="89"/>
      <c r="U26" s="116"/>
      <c r="V26" s="89"/>
      <c r="W26" s="116"/>
      <c r="X26" s="89"/>
      <c r="Y26" s="116"/>
      <c r="Z26" s="89"/>
      <c r="AA26" s="116"/>
      <c r="AB26" s="89"/>
      <c r="AC26" s="116"/>
      <c r="AD26" s="89"/>
      <c r="AE26" s="116"/>
      <c r="AF26" s="89"/>
      <c r="AG26" s="116"/>
      <c r="AH26" s="89"/>
    </row>
    <row r="27" spans="1:34" ht="11.25" customHeight="1" x14ac:dyDescent="0.25">
      <c r="A27" s="600"/>
      <c r="B27" s="600"/>
      <c r="C27" s="600"/>
      <c r="D27" s="600"/>
      <c r="E27" s="600"/>
      <c r="F27" s="600"/>
      <c r="G27" s="115"/>
      <c r="H27" s="88"/>
      <c r="I27" s="116"/>
      <c r="J27" s="89"/>
      <c r="K27" s="116"/>
      <c r="L27" s="89"/>
      <c r="M27" s="116"/>
      <c r="N27" s="89"/>
      <c r="O27" s="116"/>
      <c r="P27" s="89"/>
      <c r="Q27" s="116"/>
      <c r="R27" s="89"/>
      <c r="S27" s="116"/>
      <c r="T27" s="89"/>
      <c r="U27" s="116"/>
      <c r="V27" s="89"/>
      <c r="W27" s="116"/>
      <c r="X27" s="89"/>
      <c r="Y27" s="116"/>
      <c r="Z27" s="89"/>
      <c r="AA27" s="116"/>
      <c r="AB27" s="89"/>
      <c r="AC27" s="116"/>
      <c r="AD27" s="89"/>
      <c r="AE27" s="116"/>
      <c r="AF27" s="89"/>
      <c r="AG27" s="116"/>
      <c r="AH27" s="89"/>
    </row>
    <row r="28" spans="1:34" ht="11.25" customHeight="1" x14ac:dyDescent="0.25">
      <c r="A28" s="600"/>
      <c r="B28" s="600"/>
      <c r="C28" s="600"/>
      <c r="D28" s="600"/>
      <c r="E28" s="600"/>
      <c r="F28" s="600"/>
      <c r="G28" s="115"/>
      <c r="H28" s="88"/>
      <c r="I28" s="116"/>
      <c r="J28" s="89"/>
      <c r="K28" s="116"/>
      <c r="L28" s="89"/>
      <c r="M28" s="116"/>
      <c r="N28" s="89"/>
      <c r="O28" s="116"/>
      <c r="P28" s="89"/>
      <c r="Q28" s="116"/>
      <c r="R28" s="89"/>
      <c r="S28" s="116"/>
      <c r="T28" s="89"/>
      <c r="U28" s="116"/>
      <c r="V28" s="89"/>
      <c r="W28" s="116"/>
      <c r="X28" s="89"/>
      <c r="Y28" s="116"/>
      <c r="Z28" s="89"/>
      <c r="AA28" s="116"/>
      <c r="AB28" s="89"/>
      <c r="AC28" s="116"/>
      <c r="AD28" s="89"/>
      <c r="AE28" s="116"/>
      <c r="AF28" s="89"/>
      <c r="AG28" s="116"/>
      <c r="AH28" s="89"/>
    </row>
    <row r="29" spans="1:34" ht="11.25" customHeight="1" x14ac:dyDescent="0.25">
      <c r="A29" s="600"/>
      <c r="B29" s="600"/>
      <c r="C29" s="600"/>
      <c r="D29" s="600"/>
      <c r="E29" s="600"/>
      <c r="F29" s="600"/>
      <c r="G29" s="115"/>
      <c r="H29" s="88"/>
      <c r="I29" s="116"/>
      <c r="J29" s="89"/>
      <c r="K29" s="116"/>
      <c r="L29" s="89"/>
      <c r="M29" s="116"/>
      <c r="N29" s="89"/>
      <c r="O29" s="116"/>
      <c r="P29" s="89"/>
      <c r="Q29" s="116"/>
      <c r="R29" s="89"/>
      <c r="S29" s="116"/>
      <c r="T29" s="89"/>
      <c r="U29" s="116"/>
      <c r="V29" s="89"/>
      <c r="W29" s="116"/>
      <c r="X29" s="89"/>
      <c r="Y29" s="116"/>
      <c r="Z29" s="89"/>
      <c r="AA29" s="116"/>
      <c r="AB29" s="89"/>
      <c r="AC29" s="116"/>
      <c r="AD29" s="89"/>
      <c r="AE29" s="116"/>
      <c r="AF29" s="89"/>
      <c r="AG29" s="116"/>
      <c r="AH29" s="89"/>
    </row>
    <row r="30" spans="1:34" ht="11.25" customHeight="1" x14ac:dyDescent="0.25">
      <c r="A30" s="600"/>
      <c r="B30" s="600"/>
      <c r="C30" s="600"/>
      <c r="D30" s="600"/>
      <c r="E30" s="600"/>
      <c r="F30" s="600"/>
      <c r="G30" s="115"/>
      <c r="H30" s="88"/>
      <c r="I30" s="116"/>
      <c r="J30" s="89"/>
      <c r="K30" s="116"/>
      <c r="L30" s="89"/>
      <c r="M30" s="116"/>
      <c r="N30" s="89"/>
      <c r="O30" s="116"/>
      <c r="P30" s="89"/>
      <c r="Q30" s="116"/>
      <c r="R30" s="89"/>
      <c r="S30" s="116"/>
      <c r="T30" s="89"/>
      <c r="U30" s="116"/>
      <c r="V30" s="89"/>
      <c r="W30" s="116"/>
      <c r="X30" s="89"/>
      <c r="Y30" s="116"/>
      <c r="Z30" s="89"/>
      <c r="AA30" s="116"/>
      <c r="AB30" s="89"/>
      <c r="AC30" s="116"/>
      <c r="AD30" s="89"/>
      <c r="AE30" s="116"/>
      <c r="AF30" s="89"/>
      <c r="AG30" s="116"/>
      <c r="AH30" s="89"/>
    </row>
    <row r="31" spans="1:34" ht="11.25" customHeight="1" x14ac:dyDescent="0.25">
      <c r="A31" s="600"/>
      <c r="B31" s="600"/>
      <c r="C31" s="600"/>
      <c r="D31" s="600"/>
      <c r="E31" s="600"/>
      <c r="F31" s="600"/>
      <c r="G31" s="115"/>
      <c r="H31" s="88"/>
      <c r="I31" s="116"/>
      <c r="J31" s="89"/>
      <c r="K31" s="116"/>
      <c r="L31" s="89"/>
      <c r="M31" s="116"/>
      <c r="N31" s="89"/>
      <c r="O31" s="116"/>
      <c r="P31" s="89"/>
      <c r="Q31" s="116"/>
      <c r="R31" s="89"/>
      <c r="S31" s="116"/>
      <c r="T31" s="89"/>
      <c r="U31" s="116"/>
      <c r="V31" s="89"/>
      <c r="W31" s="116"/>
      <c r="X31" s="89"/>
      <c r="Y31" s="116"/>
      <c r="Z31" s="89"/>
      <c r="AA31" s="116"/>
      <c r="AB31" s="89"/>
      <c r="AC31" s="116"/>
      <c r="AD31" s="89"/>
      <c r="AE31" s="116"/>
      <c r="AF31" s="89"/>
      <c r="AG31" s="116"/>
      <c r="AH31" s="89"/>
    </row>
    <row r="32" spans="1:34" ht="11.25" customHeight="1" x14ac:dyDescent="0.25">
      <c r="A32" s="600"/>
      <c r="B32" s="600"/>
      <c r="C32" s="600"/>
      <c r="D32" s="600"/>
      <c r="E32" s="600"/>
      <c r="F32" s="600"/>
      <c r="G32" s="115"/>
      <c r="H32" s="88"/>
      <c r="I32" s="116"/>
      <c r="J32" s="89"/>
      <c r="K32" s="116"/>
      <c r="L32" s="89"/>
      <c r="M32" s="116"/>
      <c r="N32" s="89"/>
      <c r="O32" s="116"/>
      <c r="P32" s="89"/>
      <c r="Q32" s="116"/>
      <c r="R32" s="89"/>
      <c r="S32" s="116"/>
      <c r="T32" s="89"/>
      <c r="U32" s="116"/>
      <c r="V32" s="89"/>
      <c r="W32" s="116"/>
      <c r="X32" s="89"/>
      <c r="Y32" s="116"/>
      <c r="Z32" s="89"/>
      <c r="AA32" s="116"/>
      <c r="AB32" s="89"/>
      <c r="AC32" s="116"/>
      <c r="AD32" s="89"/>
      <c r="AE32" s="116"/>
      <c r="AF32" s="89"/>
      <c r="AG32" s="116"/>
      <c r="AH32" s="89"/>
    </row>
    <row r="33" spans="1:34" ht="11.25" customHeight="1" x14ac:dyDescent="0.25">
      <c r="A33" s="600"/>
      <c r="B33" s="600"/>
      <c r="C33" s="600"/>
      <c r="D33" s="600"/>
      <c r="E33" s="600"/>
      <c r="F33" s="600"/>
      <c r="G33" s="115"/>
      <c r="H33" s="88"/>
      <c r="I33" s="116"/>
      <c r="J33" s="89"/>
      <c r="K33" s="116"/>
      <c r="L33" s="89"/>
      <c r="M33" s="116"/>
      <c r="N33" s="89"/>
      <c r="O33" s="116"/>
      <c r="P33" s="89"/>
      <c r="Q33" s="116"/>
      <c r="R33" s="89"/>
      <c r="S33" s="116"/>
      <c r="T33" s="89"/>
      <c r="U33" s="116"/>
      <c r="V33" s="89"/>
      <c r="W33" s="116"/>
      <c r="X33" s="89"/>
      <c r="Y33" s="116"/>
      <c r="Z33" s="89"/>
      <c r="AA33" s="116"/>
      <c r="AB33" s="89"/>
      <c r="AC33" s="116"/>
      <c r="AD33" s="89"/>
      <c r="AE33" s="116"/>
      <c r="AF33" s="89"/>
      <c r="AG33" s="116"/>
      <c r="AH33" s="89"/>
    </row>
    <row r="34" spans="1:34" ht="11.25" customHeight="1" x14ac:dyDescent="0.25">
      <c r="A34" s="600"/>
      <c r="B34" s="600"/>
      <c r="C34" s="600"/>
      <c r="D34" s="600"/>
      <c r="E34" s="600"/>
      <c r="F34" s="600"/>
      <c r="G34" s="115"/>
      <c r="H34" s="88"/>
      <c r="I34" s="116"/>
      <c r="J34" s="89"/>
      <c r="K34" s="116"/>
      <c r="L34" s="89"/>
      <c r="M34" s="116"/>
      <c r="N34" s="89"/>
      <c r="O34" s="116"/>
      <c r="P34" s="89"/>
      <c r="Q34" s="116"/>
      <c r="R34" s="89"/>
      <c r="S34" s="116"/>
      <c r="T34" s="89"/>
      <c r="U34" s="116"/>
      <c r="V34" s="89"/>
      <c r="W34" s="116"/>
      <c r="X34" s="89"/>
      <c r="Y34" s="116"/>
      <c r="Z34" s="89"/>
      <c r="AA34" s="116"/>
      <c r="AB34" s="89"/>
      <c r="AC34" s="116"/>
      <c r="AD34" s="89"/>
      <c r="AE34" s="116"/>
      <c r="AF34" s="89"/>
      <c r="AG34" s="116"/>
      <c r="AH34" s="89"/>
    </row>
    <row r="35" spans="1:34" ht="11.25" customHeight="1" x14ac:dyDescent="0.25">
      <c r="A35" s="600"/>
      <c r="B35" s="600"/>
      <c r="C35" s="600"/>
      <c r="D35" s="600"/>
      <c r="E35" s="600"/>
      <c r="F35" s="600"/>
      <c r="G35" s="115"/>
      <c r="H35" s="88"/>
      <c r="I35" s="116"/>
      <c r="J35" s="89"/>
      <c r="K35" s="116"/>
      <c r="L35" s="89"/>
      <c r="M35" s="116"/>
      <c r="N35" s="89"/>
      <c r="O35" s="116"/>
      <c r="P35" s="89"/>
      <c r="Q35" s="116"/>
      <c r="R35" s="89"/>
      <c r="S35" s="116"/>
      <c r="T35" s="89"/>
      <c r="U35" s="116"/>
      <c r="V35" s="89"/>
      <c r="W35" s="116"/>
      <c r="X35" s="89"/>
      <c r="Y35" s="116"/>
      <c r="Z35" s="89"/>
      <c r="AA35" s="116"/>
      <c r="AB35" s="89"/>
      <c r="AC35" s="116"/>
      <c r="AD35" s="89"/>
      <c r="AE35" s="116"/>
      <c r="AF35" s="89"/>
      <c r="AG35" s="116"/>
      <c r="AH35" s="89"/>
    </row>
    <row r="36" spans="1:34" ht="11.25" customHeight="1" x14ac:dyDescent="0.25">
      <c r="A36" s="600"/>
      <c r="B36" s="600"/>
      <c r="C36" s="600"/>
      <c r="D36" s="600"/>
      <c r="E36" s="600"/>
      <c r="F36" s="600"/>
      <c r="G36" s="115"/>
      <c r="H36" s="88"/>
      <c r="I36" s="116"/>
      <c r="J36" s="89"/>
      <c r="K36" s="116"/>
      <c r="L36" s="89"/>
      <c r="M36" s="116"/>
      <c r="N36" s="89"/>
      <c r="O36" s="116"/>
      <c r="P36" s="89"/>
      <c r="Q36" s="116"/>
      <c r="R36" s="89"/>
      <c r="S36" s="116"/>
      <c r="T36" s="89"/>
      <c r="U36" s="116"/>
      <c r="V36" s="89"/>
      <c r="W36" s="116"/>
      <c r="X36" s="89"/>
      <c r="Y36" s="116"/>
      <c r="Z36" s="89"/>
      <c r="AA36" s="116"/>
      <c r="AB36" s="89"/>
      <c r="AC36" s="116"/>
      <c r="AD36" s="89"/>
      <c r="AE36" s="116"/>
      <c r="AF36" s="89"/>
      <c r="AG36" s="116"/>
      <c r="AH36" s="89"/>
    </row>
    <row r="37" spans="1:34" ht="11.25" customHeight="1" x14ac:dyDescent="0.25">
      <c r="A37" s="600"/>
      <c r="B37" s="600"/>
      <c r="C37" s="600"/>
      <c r="D37" s="600"/>
      <c r="E37" s="600"/>
      <c r="F37" s="600"/>
      <c r="G37" s="115"/>
      <c r="H37" s="88"/>
      <c r="I37" s="116"/>
      <c r="J37" s="89"/>
      <c r="K37" s="116"/>
      <c r="L37" s="89"/>
      <c r="M37" s="116"/>
      <c r="N37" s="89"/>
      <c r="O37" s="116"/>
      <c r="P37" s="89"/>
      <c r="Q37" s="116"/>
      <c r="R37" s="89"/>
      <c r="S37" s="116"/>
      <c r="T37" s="89"/>
      <c r="U37" s="116"/>
      <c r="V37" s="89"/>
      <c r="W37" s="116"/>
      <c r="X37" s="89"/>
      <c r="Y37" s="116"/>
      <c r="Z37" s="89"/>
      <c r="AA37" s="116"/>
      <c r="AB37" s="89"/>
      <c r="AC37" s="116"/>
      <c r="AD37" s="89"/>
      <c r="AE37" s="116"/>
      <c r="AF37" s="89"/>
      <c r="AG37" s="116"/>
      <c r="AH37" s="89"/>
    </row>
    <row r="38" spans="1:34" ht="11.25" customHeight="1" x14ac:dyDescent="0.25">
      <c r="A38" s="600"/>
      <c r="B38" s="600"/>
      <c r="C38" s="600"/>
      <c r="D38" s="600"/>
      <c r="E38" s="600"/>
      <c r="F38" s="600"/>
      <c r="G38" s="115"/>
      <c r="H38" s="88"/>
      <c r="I38" s="116"/>
      <c r="J38" s="89"/>
      <c r="K38" s="116"/>
      <c r="L38" s="89"/>
      <c r="M38" s="116"/>
      <c r="N38" s="89"/>
      <c r="O38" s="116"/>
      <c r="P38" s="89"/>
      <c r="Q38" s="116"/>
      <c r="R38" s="89"/>
      <c r="S38" s="116"/>
      <c r="T38" s="89"/>
      <c r="U38" s="116"/>
      <c r="V38" s="89"/>
      <c r="W38" s="116"/>
      <c r="X38" s="89"/>
      <c r="Y38" s="116"/>
      <c r="Z38" s="89"/>
      <c r="AA38" s="116"/>
      <c r="AB38" s="89"/>
      <c r="AC38" s="116"/>
      <c r="AD38" s="89"/>
      <c r="AE38" s="116"/>
      <c r="AF38" s="89"/>
      <c r="AG38" s="116"/>
      <c r="AH38" s="89"/>
    </row>
    <row r="39" spans="1:34" ht="11.25" customHeight="1" x14ac:dyDescent="0.25">
      <c r="A39" s="600"/>
      <c r="B39" s="600"/>
      <c r="C39" s="600"/>
      <c r="D39" s="600"/>
      <c r="E39" s="600"/>
      <c r="F39" s="600"/>
      <c r="G39" s="115"/>
      <c r="H39" s="88"/>
      <c r="I39" s="116"/>
      <c r="J39" s="89"/>
      <c r="K39" s="116"/>
      <c r="L39" s="89"/>
      <c r="M39" s="116"/>
      <c r="N39" s="89"/>
      <c r="O39" s="116"/>
      <c r="P39" s="89"/>
      <c r="Q39" s="116"/>
      <c r="R39" s="89"/>
      <c r="S39" s="116"/>
      <c r="T39" s="89"/>
      <c r="U39" s="116"/>
      <c r="V39" s="89"/>
      <c r="W39" s="116"/>
      <c r="X39" s="89"/>
      <c r="Y39" s="116"/>
      <c r="Z39" s="89"/>
      <c r="AA39" s="116"/>
      <c r="AB39" s="89"/>
      <c r="AC39" s="116"/>
      <c r="AD39" s="89"/>
      <c r="AE39" s="116"/>
      <c r="AF39" s="89"/>
      <c r="AG39" s="116"/>
      <c r="AH39" s="89"/>
    </row>
    <row r="40" spans="1:34" ht="11.25" customHeight="1" x14ac:dyDescent="0.25"/>
    <row r="41" spans="1:34" ht="44.25" customHeight="1" x14ac:dyDescent="0.25">
      <c r="A41" s="611" t="s">
        <v>76</v>
      </c>
      <c r="B41" s="611"/>
      <c r="C41" s="611"/>
      <c r="D41" s="612" t="s">
        <v>77</v>
      </c>
      <c r="E41" s="612"/>
      <c r="F41" s="612"/>
      <c r="G41" s="607" t="s">
        <v>332</v>
      </c>
      <c r="H41" s="607"/>
      <c r="I41" s="601" t="s">
        <v>333</v>
      </c>
      <c r="J41" s="601"/>
      <c r="K41" s="601" t="s">
        <v>334</v>
      </c>
      <c r="L41" s="601"/>
      <c r="M41" s="601" t="s">
        <v>335</v>
      </c>
      <c r="N41" s="601"/>
      <c r="O41" s="601" t="s">
        <v>336</v>
      </c>
      <c r="P41" s="601"/>
      <c r="Q41" s="601" t="s">
        <v>307</v>
      </c>
      <c r="R41" s="601"/>
      <c r="S41" s="601" t="s">
        <v>337</v>
      </c>
      <c r="T41" s="601"/>
      <c r="U41" s="601" t="s">
        <v>338</v>
      </c>
      <c r="V41" s="601"/>
      <c r="W41" s="601" t="s">
        <v>339</v>
      </c>
      <c r="X41" s="601"/>
      <c r="Y41" s="601" t="s">
        <v>340</v>
      </c>
      <c r="Z41" s="601"/>
      <c r="AA41" s="601" t="s">
        <v>341</v>
      </c>
      <c r="AB41" s="601"/>
      <c r="AC41" s="601" t="s">
        <v>310</v>
      </c>
      <c r="AD41" s="601"/>
      <c r="AE41" s="601" t="s">
        <v>305</v>
      </c>
      <c r="AF41" s="601"/>
      <c r="AG41" s="601" t="s">
        <v>342</v>
      </c>
      <c r="AH41" s="601"/>
    </row>
    <row r="42" spans="1:34" ht="5.25" customHeight="1" x14ac:dyDescent="0.25">
      <c r="A42" s="605" t="s">
        <v>294</v>
      </c>
      <c r="B42" s="606"/>
      <c r="C42" s="606"/>
      <c r="D42" s="606"/>
      <c r="E42" s="606"/>
      <c r="F42" s="606"/>
      <c r="G42" s="608"/>
      <c r="H42" s="608"/>
      <c r="I42" s="602"/>
      <c r="J42" s="602"/>
      <c r="K42" s="602"/>
      <c r="L42" s="602"/>
      <c r="M42" s="602"/>
      <c r="N42" s="602"/>
      <c r="O42" s="602"/>
      <c r="P42" s="602"/>
      <c r="Q42" s="602"/>
      <c r="R42" s="602"/>
      <c r="S42" s="602"/>
      <c r="T42" s="602"/>
      <c r="U42" s="602"/>
      <c r="V42" s="602"/>
      <c r="W42" s="602"/>
      <c r="X42" s="602"/>
      <c r="Y42" s="602"/>
      <c r="Z42" s="602"/>
      <c r="AA42" s="602"/>
      <c r="AB42" s="602"/>
      <c r="AC42" s="602"/>
      <c r="AD42" s="602"/>
      <c r="AE42" s="602"/>
      <c r="AF42" s="602"/>
      <c r="AG42" s="602"/>
      <c r="AH42" s="602"/>
    </row>
    <row r="43" spans="1:34" ht="11.25" customHeight="1" x14ac:dyDescent="0.25">
      <c r="A43" s="610" t="s">
        <v>137</v>
      </c>
      <c r="B43" s="610"/>
      <c r="C43" s="610"/>
      <c r="D43" s="610"/>
      <c r="E43" s="610"/>
      <c r="F43" s="610"/>
      <c r="G43" s="618">
        <v>0.28596659813102265</v>
      </c>
      <c r="H43" s="618"/>
      <c r="I43" s="617">
        <v>0.2514552190135052</v>
      </c>
      <c r="J43" s="617"/>
      <c r="K43" s="617">
        <v>0.17678070223486197</v>
      </c>
      <c r="L43" s="617"/>
      <c r="M43" s="617">
        <v>4.6681492741570185E-2</v>
      </c>
      <c r="N43" s="617"/>
      <c r="O43" s="617">
        <v>0.1681372857037039</v>
      </c>
      <c r="P43" s="617"/>
      <c r="Q43" s="614">
        <v>0.42465465282343295</v>
      </c>
      <c r="R43" s="614"/>
      <c r="S43" s="614">
        <v>7.7443378915025396E-2</v>
      </c>
      <c r="T43" s="614"/>
      <c r="U43" s="614">
        <v>0.51144670906456602</v>
      </c>
      <c r="V43" s="614"/>
      <c r="W43" s="614">
        <v>1.2178215620861965E-2</v>
      </c>
      <c r="X43" s="614"/>
      <c r="Y43" s="614">
        <v>1.1230512887057342E-2</v>
      </c>
      <c r="Z43" s="614"/>
      <c r="AA43" s="614">
        <v>0.29548285879781899</v>
      </c>
      <c r="AB43" s="614"/>
      <c r="AC43" s="614">
        <v>9.1580468238416923E-3</v>
      </c>
      <c r="AD43" s="614"/>
      <c r="AE43" s="614">
        <v>0.50118967636034584</v>
      </c>
      <c r="AF43" s="614"/>
      <c r="AG43" s="614">
        <v>0.48732129683860503</v>
      </c>
      <c r="AH43" s="614"/>
    </row>
    <row r="44" spans="1:34" ht="11.25" customHeight="1" x14ac:dyDescent="0.25">
      <c r="A44" s="609" t="s">
        <v>75</v>
      </c>
      <c r="B44" s="609"/>
      <c r="C44" s="609"/>
      <c r="D44" s="609"/>
      <c r="E44" s="609"/>
      <c r="F44" s="609"/>
      <c r="G44" s="619">
        <v>1.8360596992695516E-2</v>
      </c>
      <c r="H44" s="619"/>
      <c r="I44" s="613">
        <v>1.7021766324958783E-2</v>
      </c>
      <c r="J44" s="613"/>
      <c r="K44" s="613">
        <v>6.9188810439632827E-3</v>
      </c>
      <c r="L44" s="613"/>
      <c r="M44" s="613">
        <v>1.9775423709066174E-2</v>
      </c>
      <c r="N44" s="613"/>
      <c r="O44" s="613">
        <v>1.2728748267694014E-2</v>
      </c>
      <c r="P44" s="613"/>
      <c r="Q44" s="613">
        <v>1.8361286451296501E-2</v>
      </c>
      <c r="R44" s="613"/>
      <c r="S44" s="613">
        <v>3.726571777764448E-2</v>
      </c>
      <c r="T44" s="613"/>
      <c r="U44" s="613">
        <v>1.0802863015956406E-2</v>
      </c>
      <c r="V44" s="613"/>
      <c r="W44" s="613">
        <v>2.0377117218646931E-2</v>
      </c>
      <c r="X44" s="613"/>
      <c r="Y44" s="613">
        <v>3.328456453482713E-2</v>
      </c>
      <c r="Z44" s="613"/>
      <c r="AA44" s="613">
        <v>1.4962447759021807E-2</v>
      </c>
      <c r="AB44" s="613"/>
      <c r="AC44" s="613">
        <v>3.4977557199999967E-2</v>
      </c>
      <c r="AD44" s="613"/>
      <c r="AE44" s="613">
        <v>2.4465666537650459E-2</v>
      </c>
      <c r="AF44" s="613"/>
      <c r="AG44" s="613">
        <v>1.6063138458277428E-2</v>
      </c>
      <c r="AH44" s="613"/>
    </row>
    <row r="45" spans="1:34" ht="11.25" customHeight="1" x14ac:dyDescent="0.25">
      <c r="A45" s="600" t="s">
        <v>400</v>
      </c>
      <c r="B45" s="600"/>
      <c r="C45" s="600"/>
      <c r="D45" s="600"/>
      <c r="E45" s="600"/>
      <c r="F45" s="600"/>
      <c r="G45" s="274">
        <v>9.8751610344154448E-3</v>
      </c>
      <c r="H45" s="89">
        <v>1.1149777585194948E-5</v>
      </c>
      <c r="I45" s="116">
        <v>4.2838943096054054E-3</v>
      </c>
      <c r="J45" s="89">
        <v>2.9591230477595154E-2</v>
      </c>
      <c r="K45" s="116">
        <v>6.8687691575771148E-3</v>
      </c>
      <c r="L45" s="89">
        <v>4.380324968767332E-13</v>
      </c>
      <c r="M45" s="116">
        <v>8.9617334430220196E-3</v>
      </c>
      <c r="N45" s="89">
        <v>1.1805907832059938E-4</v>
      </c>
      <c r="O45" s="116">
        <v>5.4510280902607096E-3</v>
      </c>
      <c r="P45" s="89">
        <v>2.7492388412099088E-4</v>
      </c>
      <c r="Q45" s="116">
        <v>5.6107856444941604E-3</v>
      </c>
      <c r="R45" s="89">
        <v>9.309242107052168E-3</v>
      </c>
      <c r="S45" s="116" t="s">
        <v>294</v>
      </c>
      <c r="T45" s="89"/>
      <c r="U45" s="116">
        <v>7.4367316577744246E-3</v>
      </c>
      <c r="V45" s="89">
        <v>7.2277670995387315E-8</v>
      </c>
      <c r="W45" s="116">
        <v>8.2866063242682964E-3</v>
      </c>
      <c r="X45" s="89">
        <v>4.9152250131752459E-4</v>
      </c>
      <c r="Y45" s="116" t="s">
        <v>294</v>
      </c>
      <c r="Z45" s="89"/>
      <c r="AA45" s="116" t="s">
        <v>294</v>
      </c>
      <c r="AB45" s="89"/>
      <c r="AC45" s="116" t="s">
        <v>294</v>
      </c>
      <c r="AD45" s="89"/>
      <c r="AE45" s="116" t="s">
        <v>294</v>
      </c>
      <c r="AF45" s="89"/>
      <c r="AG45" s="116">
        <v>3.4446770948976632E-3</v>
      </c>
      <c r="AH45" s="89">
        <v>7.1364302088323686E-2</v>
      </c>
    </row>
    <row r="46" spans="1:34" ht="11.25" customHeight="1" x14ac:dyDescent="0.25">
      <c r="A46" s="600" t="s">
        <v>401</v>
      </c>
      <c r="B46" s="600"/>
      <c r="C46" s="600"/>
      <c r="D46" s="600"/>
      <c r="E46" s="600"/>
      <c r="F46" s="600"/>
      <c r="G46" s="274" t="s">
        <v>294</v>
      </c>
      <c r="H46" s="89"/>
      <c r="I46" s="116" t="s">
        <v>294</v>
      </c>
      <c r="J46" s="89"/>
      <c r="K46" s="116">
        <v>2.6333743260338147E-2</v>
      </c>
      <c r="L46" s="89">
        <v>6.0419756417384306E-2</v>
      </c>
      <c r="M46" s="116" t="s">
        <v>294</v>
      </c>
      <c r="N46" s="89"/>
      <c r="O46" s="116" t="s">
        <v>294</v>
      </c>
      <c r="P46" s="89"/>
      <c r="Q46" s="116">
        <v>-5.3802259606666097E-2</v>
      </c>
      <c r="R46" s="89">
        <v>0.11654137260535968</v>
      </c>
      <c r="S46" s="116" t="s">
        <v>294</v>
      </c>
      <c r="T46" s="89"/>
      <c r="U46" s="116" t="s">
        <v>294</v>
      </c>
      <c r="V46" s="89"/>
      <c r="W46" s="116" t="s">
        <v>294</v>
      </c>
      <c r="X46" s="89"/>
      <c r="Y46" s="116" t="s">
        <v>294</v>
      </c>
      <c r="Z46" s="89"/>
      <c r="AA46" s="116">
        <v>-8.0068095306930098E-2</v>
      </c>
      <c r="AB46" s="89">
        <v>4.6730014443272178E-3</v>
      </c>
      <c r="AC46" s="116" t="s">
        <v>294</v>
      </c>
      <c r="AD46" s="89"/>
      <c r="AE46" s="116" t="s">
        <v>294</v>
      </c>
      <c r="AF46" s="89"/>
      <c r="AG46" s="116" t="s">
        <v>294</v>
      </c>
      <c r="AH46" s="89"/>
    </row>
    <row r="47" spans="1:34" ht="11.25" customHeight="1" x14ac:dyDescent="0.25">
      <c r="A47" s="600" t="s">
        <v>402</v>
      </c>
      <c r="B47" s="600"/>
      <c r="C47" s="600"/>
      <c r="D47" s="600"/>
      <c r="E47" s="600"/>
      <c r="F47" s="600"/>
      <c r="G47" s="274" t="s">
        <v>294</v>
      </c>
      <c r="H47" s="89"/>
      <c r="I47" s="116" t="s">
        <v>294</v>
      </c>
      <c r="J47" s="89"/>
      <c r="K47" s="116">
        <v>8.9338294247218314E-2</v>
      </c>
      <c r="L47" s="89">
        <v>3.3153620950131066E-2</v>
      </c>
      <c r="M47" s="116" t="s">
        <v>294</v>
      </c>
      <c r="N47" s="89"/>
      <c r="O47" s="116">
        <v>0.12382438290268091</v>
      </c>
      <c r="P47" s="89">
        <v>8.0573599124446602E-2</v>
      </c>
      <c r="Q47" s="116" t="s">
        <v>294</v>
      </c>
      <c r="R47" s="89"/>
      <c r="S47" s="116" t="s">
        <v>294</v>
      </c>
      <c r="T47" s="89"/>
      <c r="U47" s="116" t="s">
        <v>294</v>
      </c>
      <c r="V47" s="89"/>
      <c r="W47" s="116" t="s">
        <v>294</v>
      </c>
      <c r="X47" s="89"/>
      <c r="Y47" s="116">
        <v>0.1600675165140307</v>
      </c>
      <c r="Z47" s="89">
        <v>0.34334538391287606</v>
      </c>
      <c r="AA47" s="116" t="s">
        <v>294</v>
      </c>
      <c r="AB47" s="89"/>
      <c r="AC47" s="116" t="s">
        <v>294</v>
      </c>
      <c r="AD47" s="89"/>
      <c r="AE47" s="116" t="s">
        <v>294</v>
      </c>
      <c r="AF47" s="89"/>
      <c r="AG47" s="116" t="s">
        <v>294</v>
      </c>
      <c r="AH47" s="89"/>
    </row>
    <row r="48" spans="1:34" ht="11.25" customHeight="1" x14ac:dyDescent="0.25">
      <c r="A48" s="600" t="s">
        <v>403</v>
      </c>
      <c r="B48" s="600"/>
      <c r="C48" s="600"/>
      <c r="D48" s="600"/>
      <c r="E48" s="600"/>
      <c r="F48" s="600"/>
      <c r="G48" s="274">
        <v>0.32072102037919931</v>
      </c>
      <c r="H48" s="89">
        <v>2.7615231453271961E-3</v>
      </c>
      <c r="I48" s="116">
        <v>0.13350392413628498</v>
      </c>
      <c r="J48" s="89">
        <v>0.14739735707987789</v>
      </c>
      <c r="K48" s="116">
        <v>0.13581608227479222</v>
      </c>
      <c r="L48" s="89">
        <v>2.3419477473676019E-3</v>
      </c>
      <c r="M48" s="116" t="s">
        <v>294</v>
      </c>
      <c r="N48" s="89"/>
      <c r="O48" s="116">
        <v>0.28001102867293964</v>
      </c>
      <c r="P48" s="89">
        <v>1.6252249652396689E-4</v>
      </c>
      <c r="Q48" s="116">
        <v>0.56584401929507555</v>
      </c>
      <c r="R48" s="89">
        <v>8.8939990395686218E-7</v>
      </c>
      <c r="S48" s="116" t="s">
        <v>294</v>
      </c>
      <c r="T48" s="89"/>
      <c r="U48" s="116">
        <v>0.20193467697480411</v>
      </c>
      <c r="V48" s="89">
        <v>1.0197086794438939E-2</v>
      </c>
      <c r="W48" s="116" t="s">
        <v>294</v>
      </c>
      <c r="X48" s="89"/>
      <c r="Y48" s="116" t="s">
        <v>294</v>
      </c>
      <c r="Z48" s="89"/>
      <c r="AA48" s="116">
        <v>0.31828216808535875</v>
      </c>
      <c r="AB48" s="89">
        <v>1.0796317335998106E-4</v>
      </c>
      <c r="AC48" s="116" t="s">
        <v>294</v>
      </c>
      <c r="AD48" s="89"/>
      <c r="AE48" s="116">
        <v>0.540416063407405</v>
      </c>
      <c r="AF48" s="89">
        <v>2.4127483433004728E-3</v>
      </c>
      <c r="AG48" s="116">
        <v>0.26832265468819466</v>
      </c>
      <c r="AH48" s="89">
        <v>2.7081768931401413E-3</v>
      </c>
    </row>
    <row r="49" spans="1:34" ht="11.25" customHeight="1" x14ac:dyDescent="0.25">
      <c r="A49" s="600" t="s">
        <v>404</v>
      </c>
      <c r="B49" s="600"/>
      <c r="C49" s="600"/>
      <c r="D49" s="600"/>
      <c r="E49" s="600"/>
      <c r="F49" s="600"/>
      <c r="G49" s="274">
        <v>0.26830161410971465</v>
      </c>
      <c r="H49" s="89">
        <v>5.0142083699409729E-3</v>
      </c>
      <c r="I49" s="116" t="s">
        <v>294</v>
      </c>
      <c r="J49" s="89"/>
      <c r="K49" s="116" t="s">
        <v>294</v>
      </c>
      <c r="L49" s="89"/>
      <c r="M49" s="116">
        <v>0.17791371299834083</v>
      </c>
      <c r="N49" s="89">
        <v>5.2714106412172591E-2</v>
      </c>
      <c r="O49" s="116" t="s">
        <v>294</v>
      </c>
      <c r="P49" s="89"/>
      <c r="Q49" s="116">
        <v>0.14282092951559458</v>
      </c>
      <c r="R49" s="89">
        <v>0.12965048400996459</v>
      </c>
      <c r="S49" s="116" t="s">
        <v>294</v>
      </c>
      <c r="T49" s="89"/>
      <c r="U49" s="116">
        <v>0.21635711637294053</v>
      </c>
      <c r="V49" s="89">
        <v>4.1213713139791157E-4</v>
      </c>
      <c r="W49" s="116">
        <v>-9.1986806991846082E-2</v>
      </c>
      <c r="X49" s="89">
        <v>0.32671253239390785</v>
      </c>
      <c r="Y49" s="116" t="s">
        <v>294</v>
      </c>
      <c r="Z49" s="89"/>
      <c r="AA49" s="116" t="s">
        <v>294</v>
      </c>
      <c r="AB49" s="89"/>
      <c r="AC49" s="116" t="s">
        <v>294</v>
      </c>
      <c r="AD49" s="89"/>
      <c r="AE49" s="116">
        <v>0.26717689588899679</v>
      </c>
      <c r="AF49" s="89">
        <v>3.1493975890782504E-2</v>
      </c>
      <c r="AG49" s="116" t="s">
        <v>294</v>
      </c>
      <c r="AH49" s="89"/>
    </row>
    <row r="50" spans="1:34" ht="11.25" customHeight="1" x14ac:dyDescent="0.25">
      <c r="A50" s="600" t="s">
        <v>405</v>
      </c>
      <c r="B50" s="600"/>
      <c r="C50" s="600"/>
      <c r="D50" s="600"/>
      <c r="E50" s="600"/>
      <c r="F50" s="600"/>
      <c r="G50" s="274" t="s">
        <v>294</v>
      </c>
      <c r="H50" s="89"/>
      <c r="I50" s="116" t="s">
        <v>294</v>
      </c>
      <c r="J50" s="89"/>
      <c r="K50" s="116" t="s">
        <v>294</v>
      </c>
      <c r="L50" s="89"/>
      <c r="M50" s="116" t="s">
        <v>294</v>
      </c>
      <c r="N50" s="89"/>
      <c r="O50" s="116" t="s">
        <v>294</v>
      </c>
      <c r="P50" s="89"/>
      <c r="Q50" s="116" t="s">
        <v>294</v>
      </c>
      <c r="R50" s="89"/>
      <c r="S50" s="116">
        <v>0.2210908839048101</v>
      </c>
      <c r="T50" s="89">
        <v>1.1356788232119783E-2</v>
      </c>
      <c r="U50" s="116" t="s">
        <v>294</v>
      </c>
      <c r="V50" s="89"/>
      <c r="W50" s="116" t="s">
        <v>294</v>
      </c>
      <c r="X50" s="89"/>
      <c r="Y50" s="116" t="s">
        <v>294</v>
      </c>
      <c r="Z50" s="89"/>
      <c r="AA50" s="116" t="s">
        <v>294</v>
      </c>
      <c r="AB50" s="89"/>
      <c r="AC50" s="116" t="s">
        <v>294</v>
      </c>
      <c r="AD50" s="89"/>
      <c r="AE50" s="116" t="s">
        <v>294</v>
      </c>
      <c r="AF50" s="89"/>
      <c r="AG50" s="116">
        <v>0.1122121131894129</v>
      </c>
      <c r="AH50" s="89">
        <v>2.8485825178828889E-2</v>
      </c>
    </row>
    <row r="51" spans="1:34" ht="11.25" customHeight="1" x14ac:dyDescent="0.25">
      <c r="A51" s="600" t="s">
        <v>406</v>
      </c>
      <c r="B51" s="600"/>
      <c r="C51" s="600"/>
      <c r="D51" s="600"/>
      <c r="E51" s="600"/>
      <c r="F51" s="600"/>
      <c r="G51" s="274" t="s">
        <v>294</v>
      </c>
      <c r="H51" s="89"/>
      <c r="I51" s="116">
        <v>-0.2241927443700463</v>
      </c>
      <c r="J51" s="89">
        <v>9.6112744481126192E-5</v>
      </c>
      <c r="K51" s="116">
        <v>3.4203497594440177E-2</v>
      </c>
      <c r="L51" s="89">
        <v>0.1302946544367527</v>
      </c>
      <c r="M51" s="116" t="s">
        <v>294</v>
      </c>
      <c r="N51" s="89"/>
      <c r="O51" s="116" t="s">
        <v>294</v>
      </c>
      <c r="P51" s="89"/>
      <c r="Q51" s="116" t="s">
        <v>294</v>
      </c>
      <c r="R51" s="89"/>
      <c r="S51" s="116" t="s">
        <v>294</v>
      </c>
      <c r="T51" s="89"/>
      <c r="U51" s="116">
        <v>-0.10714745217742495</v>
      </c>
      <c r="V51" s="89">
        <v>5.4966265196619932E-3</v>
      </c>
      <c r="W51" s="116" t="s">
        <v>294</v>
      </c>
      <c r="X51" s="89"/>
      <c r="Y51" s="116" t="s">
        <v>294</v>
      </c>
      <c r="Z51" s="89"/>
      <c r="AA51" s="116" t="s">
        <v>294</v>
      </c>
      <c r="AB51" s="89"/>
      <c r="AC51" s="116" t="s">
        <v>294</v>
      </c>
      <c r="AD51" s="89"/>
      <c r="AE51" s="116" t="s">
        <v>294</v>
      </c>
      <c r="AF51" s="89"/>
      <c r="AG51" s="116" t="s">
        <v>294</v>
      </c>
      <c r="AH51" s="89"/>
    </row>
    <row r="52" spans="1:34" ht="11.25" customHeight="1" x14ac:dyDescent="0.25">
      <c r="A52" s="600" t="s">
        <v>407</v>
      </c>
      <c r="B52" s="600"/>
      <c r="C52" s="600"/>
      <c r="D52" s="600"/>
      <c r="E52" s="600"/>
      <c r="F52" s="600"/>
      <c r="G52" s="274" t="s">
        <v>294</v>
      </c>
      <c r="H52" s="89"/>
      <c r="I52" s="116" t="s">
        <v>294</v>
      </c>
      <c r="J52" s="89"/>
      <c r="K52" s="116" t="s">
        <v>294</v>
      </c>
      <c r="L52" s="89"/>
      <c r="M52" s="116" t="s">
        <v>294</v>
      </c>
      <c r="N52" s="89"/>
      <c r="O52" s="116" t="s">
        <v>294</v>
      </c>
      <c r="P52" s="89"/>
      <c r="Q52" s="116" t="s">
        <v>294</v>
      </c>
      <c r="R52" s="89"/>
      <c r="S52" s="116" t="s">
        <v>294</v>
      </c>
      <c r="T52" s="89"/>
      <c r="U52" s="116">
        <v>7.1953788801852908E-2</v>
      </c>
      <c r="V52" s="89">
        <v>2.6490072766525703E-3</v>
      </c>
      <c r="W52" s="116" t="s">
        <v>294</v>
      </c>
      <c r="X52" s="89"/>
      <c r="Y52" s="116" t="s">
        <v>294</v>
      </c>
      <c r="Z52" s="89"/>
      <c r="AA52" s="116" t="s">
        <v>294</v>
      </c>
      <c r="AB52" s="89"/>
      <c r="AC52" s="116" t="s">
        <v>294</v>
      </c>
      <c r="AD52" s="89"/>
      <c r="AE52" s="116">
        <v>0.15013413978848317</v>
      </c>
      <c r="AF52" s="89">
        <v>4.6325511829450527E-3</v>
      </c>
      <c r="AG52" s="116" t="s">
        <v>294</v>
      </c>
      <c r="AH52" s="89"/>
    </row>
    <row r="53" spans="1:34" ht="11.25" customHeight="1" x14ac:dyDescent="0.25">
      <c r="A53" s="600" t="s">
        <v>408</v>
      </c>
      <c r="B53" s="600"/>
      <c r="C53" s="600"/>
      <c r="D53" s="600"/>
      <c r="E53" s="600"/>
      <c r="F53" s="600"/>
      <c r="G53" s="274" t="s">
        <v>294</v>
      </c>
      <c r="H53" s="89"/>
      <c r="I53" s="116" t="s">
        <v>294</v>
      </c>
      <c r="J53" s="89"/>
      <c r="K53" s="116" t="s">
        <v>294</v>
      </c>
      <c r="L53" s="89"/>
      <c r="M53" s="116" t="s">
        <v>294</v>
      </c>
      <c r="N53" s="89"/>
      <c r="O53" s="116" t="s">
        <v>294</v>
      </c>
      <c r="P53" s="89"/>
      <c r="Q53" s="116" t="s">
        <v>294</v>
      </c>
      <c r="R53" s="89"/>
      <c r="S53" s="116" t="s">
        <v>294</v>
      </c>
      <c r="T53" s="89"/>
      <c r="U53" s="116" t="s">
        <v>294</v>
      </c>
      <c r="V53" s="89"/>
      <c r="W53" s="116" t="s">
        <v>294</v>
      </c>
      <c r="X53" s="89"/>
      <c r="Y53" s="116" t="s">
        <v>294</v>
      </c>
      <c r="Z53" s="89"/>
      <c r="AA53" s="116" t="s">
        <v>294</v>
      </c>
      <c r="AB53" s="89"/>
      <c r="AC53" s="116">
        <v>0.21198631915984065</v>
      </c>
      <c r="AD53" s="89">
        <v>0.39241778606594901</v>
      </c>
      <c r="AE53" s="116" t="s">
        <v>294</v>
      </c>
      <c r="AF53" s="89"/>
      <c r="AG53" s="116">
        <v>-0.47124272319339555</v>
      </c>
      <c r="AH53" s="89">
        <v>2.043036044175234E-3</v>
      </c>
    </row>
    <row r="54" spans="1:34" ht="11.25" customHeight="1" x14ac:dyDescent="0.25">
      <c r="A54" s="600" t="s">
        <v>409</v>
      </c>
      <c r="B54" s="600"/>
      <c r="C54" s="600"/>
      <c r="D54" s="600"/>
      <c r="E54" s="600"/>
      <c r="F54" s="600"/>
      <c r="G54" s="274" t="s">
        <v>294</v>
      </c>
      <c r="H54" s="89"/>
      <c r="I54" s="116">
        <v>1.5552013158418934E-2</v>
      </c>
      <c r="J54" s="89">
        <v>1.9927362076028565E-3</v>
      </c>
      <c r="K54" s="116" t="s">
        <v>294</v>
      </c>
      <c r="L54" s="89"/>
      <c r="M54" s="116" t="s">
        <v>294</v>
      </c>
      <c r="N54" s="89"/>
      <c r="O54" s="116" t="s">
        <v>294</v>
      </c>
      <c r="P54" s="89"/>
      <c r="Q54" s="116" t="s">
        <v>294</v>
      </c>
      <c r="R54" s="89"/>
      <c r="S54" s="116" t="s">
        <v>294</v>
      </c>
      <c r="T54" s="89"/>
      <c r="U54" s="116" t="s">
        <v>294</v>
      </c>
      <c r="V54" s="89"/>
      <c r="W54" s="116" t="s">
        <v>294</v>
      </c>
      <c r="X54" s="89"/>
      <c r="Y54" s="116" t="s">
        <v>294</v>
      </c>
      <c r="Z54" s="89"/>
      <c r="AA54" s="116" t="s">
        <v>294</v>
      </c>
      <c r="AB54" s="89"/>
      <c r="AC54" s="116" t="s">
        <v>294</v>
      </c>
      <c r="AD54" s="89"/>
      <c r="AE54" s="116" t="s">
        <v>294</v>
      </c>
      <c r="AF54" s="89"/>
      <c r="AG54" s="116">
        <v>-9.6315129276062193E-3</v>
      </c>
      <c r="AH54" s="89">
        <v>3.9675713691489069E-2</v>
      </c>
    </row>
    <row r="55" spans="1:34" ht="11.25" customHeight="1" x14ac:dyDescent="0.25">
      <c r="A55" s="600"/>
      <c r="B55" s="600"/>
      <c r="C55" s="600"/>
      <c r="D55" s="600"/>
      <c r="E55" s="600"/>
      <c r="F55" s="600"/>
      <c r="G55" s="274"/>
      <c r="H55" s="89"/>
      <c r="I55" s="116"/>
      <c r="J55" s="89"/>
      <c r="K55" s="116"/>
      <c r="L55" s="89"/>
      <c r="M55" s="116"/>
      <c r="N55" s="89"/>
      <c r="O55" s="116"/>
      <c r="P55" s="89"/>
      <c r="Q55" s="116"/>
      <c r="R55" s="89"/>
      <c r="S55" s="116"/>
      <c r="T55" s="89"/>
      <c r="U55" s="116"/>
      <c r="V55" s="89"/>
      <c r="W55" s="116"/>
      <c r="X55" s="89"/>
      <c r="Y55" s="116"/>
      <c r="Z55" s="89"/>
      <c r="AA55" s="116"/>
      <c r="AB55" s="89"/>
      <c r="AC55" s="116"/>
      <c r="AD55" s="89"/>
      <c r="AE55" s="116"/>
      <c r="AF55" s="89"/>
      <c r="AG55" s="116"/>
      <c r="AH55" s="89"/>
    </row>
    <row r="56" spans="1:34" ht="11.25" customHeight="1" x14ac:dyDescent="0.25">
      <c r="A56" s="600"/>
      <c r="B56" s="600"/>
      <c r="C56" s="600"/>
      <c r="D56" s="600"/>
      <c r="E56" s="600"/>
      <c r="F56" s="600"/>
      <c r="G56" s="274"/>
      <c r="H56" s="89"/>
      <c r="I56" s="116"/>
      <c r="J56" s="89"/>
      <c r="K56" s="116"/>
      <c r="L56" s="89"/>
      <c r="M56" s="116"/>
      <c r="N56" s="89"/>
      <c r="O56" s="116"/>
      <c r="P56" s="89"/>
      <c r="Q56" s="116"/>
      <c r="R56" s="89"/>
      <c r="S56" s="116"/>
      <c r="T56" s="89"/>
      <c r="U56" s="116"/>
      <c r="V56" s="89"/>
      <c r="W56" s="116"/>
      <c r="X56" s="89"/>
      <c r="Y56" s="116"/>
      <c r="Z56" s="89"/>
      <c r="AA56" s="116"/>
      <c r="AB56" s="89"/>
      <c r="AC56" s="116"/>
      <c r="AD56" s="89"/>
      <c r="AE56" s="116"/>
      <c r="AF56" s="89"/>
      <c r="AG56" s="116"/>
      <c r="AH56" s="89"/>
    </row>
    <row r="57" spans="1:34" ht="11.25" customHeight="1" x14ac:dyDescent="0.25">
      <c r="A57" s="600"/>
      <c r="B57" s="600"/>
      <c r="C57" s="600"/>
      <c r="D57" s="600"/>
      <c r="E57" s="600"/>
      <c r="F57" s="600"/>
      <c r="G57" s="274"/>
      <c r="H57" s="89"/>
      <c r="I57" s="116"/>
      <c r="J57" s="89"/>
      <c r="K57" s="116"/>
      <c r="L57" s="89"/>
      <c r="M57" s="116"/>
      <c r="N57" s="89"/>
      <c r="O57" s="116"/>
      <c r="P57" s="89"/>
      <c r="Q57" s="116"/>
      <c r="R57" s="89"/>
      <c r="S57" s="116"/>
      <c r="T57" s="89"/>
      <c r="U57" s="116"/>
      <c r="V57" s="89"/>
      <c r="W57" s="116"/>
      <c r="X57" s="89"/>
      <c r="Y57" s="116"/>
      <c r="Z57" s="89"/>
      <c r="AA57" s="116"/>
      <c r="AB57" s="89"/>
      <c r="AC57" s="116"/>
      <c r="AD57" s="89"/>
      <c r="AE57" s="116"/>
      <c r="AF57" s="89"/>
      <c r="AG57" s="116"/>
      <c r="AH57" s="89"/>
    </row>
    <row r="58" spans="1:34" ht="11.25" customHeight="1" x14ac:dyDescent="0.25">
      <c r="A58" s="600"/>
      <c r="B58" s="600"/>
      <c r="C58" s="600"/>
      <c r="D58" s="600"/>
      <c r="E58" s="600"/>
      <c r="F58" s="600"/>
      <c r="G58" s="274"/>
      <c r="H58" s="89"/>
      <c r="I58" s="116"/>
      <c r="J58" s="89"/>
      <c r="K58" s="116"/>
      <c r="L58" s="89"/>
      <c r="M58" s="116"/>
      <c r="N58" s="89"/>
      <c r="O58" s="116"/>
      <c r="P58" s="89"/>
      <c r="Q58" s="116"/>
      <c r="R58" s="89"/>
      <c r="S58" s="116"/>
      <c r="T58" s="89"/>
      <c r="U58" s="116"/>
      <c r="V58" s="89"/>
      <c r="W58" s="116"/>
      <c r="X58" s="89"/>
      <c r="Y58" s="116"/>
      <c r="Z58" s="89"/>
      <c r="AA58" s="116"/>
      <c r="AB58" s="89"/>
      <c r="AC58" s="116"/>
      <c r="AD58" s="89"/>
      <c r="AE58" s="116"/>
      <c r="AF58" s="89"/>
      <c r="AG58" s="116"/>
      <c r="AH58" s="89"/>
    </row>
    <row r="59" spans="1:34" ht="11.25" customHeight="1" x14ac:dyDescent="0.25">
      <c r="A59" s="600"/>
      <c r="B59" s="600"/>
      <c r="C59" s="600"/>
      <c r="D59" s="600"/>
      <c r="E59" s="600"/>
      <c r="F59" s="600"/>
      <c r="G59" s="274"/>
      <c r="H59" s="89"/>
      <c r="I59" s="116"/>
      <c r="J59" s="89"/>
      <c r="K59" s="116"/>
      <c r="L59" s="89"/>
      <c r="M59" s="116"/>
      <c r="N59" s="89"/>
      <c r="O59" s="116"/>
      <c r="P59" s="89"/>
      <c r="Q59" s="116"/>
      <c r="R59" s="89"/>
      <c r="S59" s="116"/>
      <c r="T59" s="89"/>
      <c r="U59" s="116"/>
      <c r="V59" s="89"/>
      <c r="W59" s="116"/>
      <c r="X59" s="89"/>
      <c r="Y59" s="116"/>
      <c r="Z59" s="89"/>
      <c r="AA59" s="116"/>
      <c r="AB59" s="89"/>
      <c r="AC59" s="116"/>
      <c r="AD59" s="89"/>
      <c r="AE59" s="116"/>
      <c r="AF59" s="89"/>
      <c r="AG59" s="116"/>
      <c r="AH59" s="89"/>
    </row>
    <row r="60" spans="1:34" ht="11.25" customHeight="1" x14ac:dyDescent="0.25">
      <c r="A60" s="600"/>
      <c r="B60" s="600"/>
      <c r="C60" s="600"/>
      <c r="D60" s="600"/>
      <c r="E60" s="600"/>
      <c r="F60" s="600"/>
      <c r="G60" s="274"/>
      <c r="H60" s="89"/>
      <c r="I60" s="116"/>
      <c r="J60" s="89"/>
      <c r="K60" s="116"/>
      <c r="L60" s="89"/>
      <c r="M60" s="116"/>
      <c r="N60" s="89"/>
      <c r="O60" s="116"/>
      <c r="P60" s="89"/>
      <c r="Q60" s="116"/>
      <c r="R60" s="89"/>
      <c r="S60" s="116"/>
      <c r="T60" s="89"/>
      <c r="U60" s="116"/>
      <c r="V60" s="89"/>
      <c r="W60" s="116"/>
      <c r="X60" s="89"/>
      <c r="Y60" s="116"/>
      <c r="Z60" s="89"/>
      <c r="AA60" s="116"/>
      <c r="AB60" s="89"/>
      <c r="AC60" s="116"/>
      <c r="AD60" s="89"/>
      <c r="AE60" s="116"/>
      <c r="AF60" s="89"/>
      <c r="AG60" s="116"/>
      <c r="AH60" s="89"/>
    </row>
    <row r="61" spans="1:34" ht="11.25" customHeight="1" x14ac:dyDescent="0.25">
      <c r="A61" s="600"/>
      <c r="B61" s="600"/>
      <c r="C61" s="600"/>
      <c r="D61" s="600"/>
      <c r="E61" s="600"/>
      <c r="F61" s="600"/>
      <c r="G61" s="274"/>
      <c r="H61" s="89"/>
      <c r="I61" s="116"/>
      <c r="J61" s="89"/>
      <c r="K61" s="116"/>
      <c r="L61" s="89"/>
      <c r="M61" s="116"/>
      <c r="N61" s="89"/>
      <c r="O61" s="116"/>
      <c r="P61" s="89"/>
      <c r="Q61" s="116"/>
      <c r="R61" s="89"/>
      <c r="S61" s="116"/>
      <c r="T61" s="89"/>
      <c r="U61" s="116"/>
      <c r="V61" s="89"/>
      <c r="W61" s="116"/>
      <c r="X61" s="89"/>
      <c r="Y61" s="116"/>
      <c r="Z61" s="89"/>
      <c r="AA61" s="116"/>
      <c r="AB61" s="89"/>
      <c r="AC61" s="116"/>
      <c r="AD61" s="89"/>
      <c r="AE61" s="116"/>
      <c r="AF61" s="89"/>
      <c r="AG61" s="116"/>
      <c r="AH61" s="89"/>
    </row>
    <row r="62" spans="1:34" ht="11.25" customHeight="1" x14ac:dyDescent="0.25">
      <c r="A62" s="600"/>
      <c r="B62" s="600"/>
      <c r="C62" s="600"/>
      <c r="D62" s="600"/>
      <c r="E62" s="600"/>
      <c r="F62" s="600"/>
      <c r="G62" s="274"/>
      <c r="H62" s="89"/>
      <c r="I62" s="116"/>
      <c r="J62" s="89"/>
      <c r="K62" s="116"/>
      <c r="L62" s="89"/>
      <c r="M62" s="116"/>
      <c r="N62" s="89"/>
      <c r="O62" s="116"/>
      <c r="P62" s="89"/>
      <c r="Q62" s="116"/>
      <c r="R62" s="89"/>
      <c r="S62" s="116"/>
      <c r="T62" s="89"/>
      <c r="U62" s="116"/>
      <c r="V62" s="89"/>
      <c r="W62" s="116"/>
      <c r="X62" s="89"/>
      <c r="Y62" s="116"/>
      <c r="Z62" s="89"/>
      <c r="AA62" s="116"/>
      <c r="AB62" s="89"/>
      <c r="AC62" s="116"/>
      <c r="AD62" s="89"/>
      <c r="AE62" s="116"/>
      <c r="AF62" s="89"/>
      <c r="AG62" s="116"/>
      <c r="AH62" s="89"/>
    </row>
    <row r="63" spans="1:34" ht="11.25" customHeight="1" x14ac:dyDescent="0.25">
      <c r="A63" s="600"/>
      <c r="B63" s="600"/>
      <c r="C63" s="600"/>
      <c r="D63" s="600"/>
      <c r="E63" s="600"/>
      <c r="F63" s="600"/>
      <c r="G63" s="274"/>
      <c r="H63" s="89"/>
      <c r="I63" s="116"/>
      <c r="J63" s="89"/>
      <c r="K63" s="116"/>
      <c r="L63" s="89"/>
      <c r="M63" s="116"/>
      <c r="N63" s="89"/>
      <c r="O63" s="116"/>
      <c r="P63" s="89"/>
      <c r="Q63" s="116"/>
      <c r="R63" s="89"/>
      <c r="S63" s="116"/>
      <c r="T63" s="89"/>
      <c r="U63" s="116"/>
      <c r="V63" s="89"/>
      <c r="W63" s="116"/>
      <c r="X63" s="89"/>
      <c r="Y63" s="116"/>
      <c r="Z63" s="89"/>
      <c r="AA63" s="116"/>
      <c r="AB63" s="89"/>
      <c r="AC63" s="116"/>
      <c r="AD63" s="89"/>
      <c r="AE63" s="116"/>
      <c r="AF63" s="89"/>
      <c r="AG63" s="116"/>
      <c r="AH63" s="89"/>
    </row>
    <row r="64" spans="1:34" ht="11.25" customHeight="1" x14ac:dyDescent="0.25">
      <c r="A64" s="600"/>
      <c r="B64" s="600"/>
      <c r="C64" s="600"/>
      <c r="D64" s="600"/>
      <c r="E64" s="600"/>
      <c r="F64" s="600"/>
      <c r="G64" s="274"/>
      <c r="H64" s="89"/>
      <c r="I64" s="116"/>
      <c r="J64" s="89"/>
      <c r="K64" s="116"/>
      <c r="L64" s="89"/>
      <c r="M64" s="116"/>
      <c r="N64" s="89"/>
      <c r="O64" s="116"/>
      <c r="P64" s="89"/>
      <c r="Q64" s="116"/>
      <c r="R64" s="89"/>
      <c r="S64" s="116"/>
      <c r="T64" s="89"/>
      <c r="U64" s="116"/>
      <c r="V64" s="89"/>
      <c r="W64" s="116"/>
      <c r="X64" s="89"/>
      <c r="Y64" s="116"/>
      <c r="Z64" s="89"/>
      <c r="AA64" s="116"/>
      <c r="AB64" s="89"/>
      <c r="AC64" s="116"/>
      <c r="AD64" s="89"/>
      <c r="AE64" s="116"/>
      <c r="AF64" s="89"/>
      <c r="AG64" s="116"/>
      <c r="AH64" s="89"/>
    </row>
    <row r="65" spans="1:34" ht="11.25" customHeight="1" x14ac:dyDescent="0.25">
      <c r="A65" s="600"/>
      <c r="B65" s="600"/>
      <c r="C65" s="600"/>
      <c r="D65" s="600"/>
      <c r="E65" s="600"/>
      <c r="F65" s="600"/>
      <c r="G65" s="274"/>
      <c r="H65" s="89"/>
      <c r="I65" s="116"/>
      <c r="J65" s="89"/>
      <c r="K65" s="116"/>
      <c r="L65" s="89"/>
      <c r="M65" s="116"/>
      <c r="N65" s="89"/>
      <c r="O65" s="116"/>
      <c r="P65" s="89"/>
      <c r="Q65" s="116"/>
      <c r="R65" s="89"/>
      <c r="S65" s="116"/>
      <c r="T65" s="89"/>
      <c r="U65" s="116"/>
      <c r="V65" s="89"/>
      <c r="W65" s="116"/>
      <c r="X65" s="89"/>
      <c r="Y65" s="116"/>
      <c r="Z65" s="89"/>
      <c r="AA65" s="116"/>
      <c r="AB65" s="89"/>
      <c r="AC65" s="116"/>
      <c r="AD65" s="89"/>
      <c r="AE65" s="116"/>
      <c r="AF65" s="89"/>
      <c r="AG65" s="116"/>
      <c r="AH65" s="89"/>
    </row>
    <row r="66" spans="1:34" ht="11.25" customHeight="1" x14ac:dyDescent="0.25">
      <c r="A66" s="600"/>
      <c r="B66" s="600"/>
      <c r="C66" s="600"/>
      <c r="D66" s="600"/>
      <c r="E66" s="600"/>
      <c r="F66" s="600"/>
      <c r="G66" s="274"/>
      <c r="H66" s="89"/>
      <c r="I66" s="116"/>
      <c r="J66" s="89"/>
      <c r="K66" s="116"/>
      <c r="L66" s="89"/>
      <c r="M66" s="116"/>
      <c r="N66" s="89"/>
      <c r="O66" s="116"/>
      <c r="P66" s="89"/>
      <c r="Q66" s="116"/>
      <c r="R66" s="89"/>
      <c r="S66" s="116"/>
      <c r="T66" s="89"/>
      <c r="U66" s="116"/>
      <c r="V66" s="89"/>
      <c r="W66" s="116"/>
      <c r="X66" s="89"/>
      <c r="Y66" s="116"/>
      <c r="Z66" s="89"/>
      <c r="AA66" s="116"/>
      <c r="AB66" s="89"/>
      <c r="AC66" s="116"/>
      <c r="AD66" s="89"/>
      <c r="AE66" s="116"/>
      <c r="AF66" s="89"/>
      <c r="AG66" s="116"/>
      <c r="AH66" s="89"/>
    </row>
    <row r="67" spans="1:34" ht="11.25" customHeight="1" x14ac:dyDescent="0.25">
      <c r="A67" s="600"/>
      <c r="B67" s="600"/>
      <c r="C67" s="600"/>
      <c r="D67" s="600"/>
      <c r="E67" s="600"/>
      <c r="F67" s="600"/>
      <c r="G67" s="274"/>
      <c r="H67" s="89"/>
      <c r="I67" s="116"/>
      <c r="J67" s="89"/>
      <c r="K67" s="116"/>
      <c r="L67" s="89"/>
      <c r="M67" s="116"/>
      <c r="N67" s="89"/>
      <c r="O67" s="116"/>
      <c r="P67" s="89"/>
      <c r="Q67" s="116"/>
      <c r="R67" s="89"/>
      <c r="S67" s="116"/>
      <c r="T67" s="89"/>
      <c r="U67" s="116"/>
      <c r="V67" s="89"/>
      <c r="W67" s="116"/>
      <c r="X67" s="89"/>
      <c r="Y67" s="116"/>
      <c r="Z67" s="89"/>
      <c r="AA67" s="116"/>
      <c r="AB67" s="89"/>
      <c r="AC67" s="116"/>
      <c r="AD67" s="89"/>
      <c r="AE67" s="116"/>
      <c r="AF67" s="89"/>
      <c r="AG67" s="116"/>
      <c r="AH67" s="89"/>
    </row>
    <row r="68" spans="1:34" ht="11.25" customHeight="1" x14ac:dyDescent="0.25">
      <c r="A68" s="600"/>
      <c r="B68" s="600"/>
      <c r="C68" s="600"/>
      <c r="D68" s="600"/>
      <c r="E68" s="600"/>
      <c r="F68" s="600"/>
      <c r="G68" s="274"/>
      <c r="H68" s="89"/>
      <c r="I68" s="116"/>
      <c r="J68" s="89"/>
      <c r="K68" s="116"/>
      <c r="L68" s="89"/>
      <c r="M68" s="116"/>
      <c r="N68" s="89"/>
      <c r="O68" s="116"/>
      <c r="P68" s="89"/>
      <c r="Q68" s="116"/>
      <c r="R68" s="89"/>
      <c r="S68" s="116"/>
      <c r="T68" s="89"/>
      <c r="U68" s="116"/>
      <c r="V68" s="89"/>
      <c r="W68" s="116"/>
      <c r="X68" s="89"/>
      <c r="Y68" s="116"/>
      <c r="Z68" s="89"/>
      <c r="AA68" s="116"/>
      <c r="AB68" s="89"/>
      <c r="AC68" s="116"/>
      <c r="AD68" s="89"/>
      <c r="AE68" s="116"/>
      <c r="AF68" s="89"/>
      <c r="AG68" s="116"/>
      <c r="AH68" s="89"/>
    </row>
    <row r="69" spans="1:34" ht="11.25" customHeight="1" x14ac:dyDescent="0.25">
      <c r="A69" s="600"/>
      <c r="B69" s="600"/>
      <c r="C69" s="600"/>
      <c r="D69" s="600"/>
      <c r="E69" s="600"/>
      <c r="F69" s="600"/>
      <c r="G69" s="274"/>
      <c r="H69" s="89"/>
      <c r="I69" s="116"/>
      <c r="J69" s="89"/>
      <c r="K69" s="116"/>
      <c r="L69" s="89"/>
      <c r="M69" s="116"/>
      <c r="N69" s="89"/>
      <c r="O69" s="116"/>
      <c r="P69" s="89"/>
      <c r="Q69" s="116"/>
      <c r="R69" s="89"/>
      <c r="S69" s="116"/>
      <c r="T69" s="89"/>
      <c r="U69" s="116"/>
      <c r="V69" s="89"/>
      <c r="W69" s="116"/>
      <c r="X69" s="89"/>
      <c r="Y69" s="116"/>
      <c r="Z69" s="89"/>
      <c r="AA69" s="116"/>
      <c r="AB69" s="89"/>
      <c r="AC69" s="116"/>
      <c r="AD69" s="89"/>
      <c r="AE69" s="116"/>
      <c r="AF69" s="89"/>
      <c r="AG69" s="116"/>
      <c r="AH69" s="89"/>
    </row>
    <row r="70" spans="1:34" ht="11.25" customHeight="1" x14ac:dyDescent="0.25">
      <c r="A70" s="600"/>
      <c r="B70" s="600"/>
      <c r="C70" s="600"/>
      <c r="D70" s="600"/>
      <c r="E70" s="600"/>
      <c r="F70" s="600"/>
      <c r="G70" s="274"/>
      <c r="H70" s="89"/>
      <c r="I70" s="116"/>
      <c r="J70" s="89"/>
      <c r="K70" s="116"/>
      <c r="L70" s="89"/>
      <c r="M70" s="116"/>
      <c r="N70" s="89"/>
      <c r="O70" s="116"/>
      <c r="P70" s="89"/>
      <c r="Q70" s="116"/>
      <c r="R70" s="89"/>
      <c r="S70" s="116"/>
      <c r="T70" s="89"/>
      <c r="U70" s="116"/>
      <c r="V70" s="89"/>
      <c r="W70" s="116"/>
      <c r="X70" s="89"/>
      <c r="Y70" s="116"/>
      <c r="Z70" s="89"/>
      <c r="AA70" s="116"/>
      <c r="AB70" s="89"/>
      <c r="AC70" s="116"/>
      <c r="AD70" s="89"/>
      <c r="AE70" s="116"/>
      <c r="AF70" s="89"/>
      <c r="AG70" s="116"/>
      <c r="AH70" s="89"/>
    </row>
    <row r="71" spans="1:34" ht="11.25" customHeight="1" x14ac:dyDescent="0.25">
      <c r="A71" s="600"/>
      <c r="B71" s="600"/>
      <c r="C71" s="600"/>
      <c r="D71" s="600"/>
      <c r="E71" s="600"/>
      <c r="F71" s="600"/>
      <c r="G71" s="274"/>
      <c r="H71" s="89"/>
      <c r="I71" s="116"/>
      <c r="J71" s="89"/>
      <c r="K71" s="116"/>
      <c r="L71" s="89"/>
      <c r="M71" s="116"/>
      <c r="N71" s="89"/>
      <c r="O71" s="116"/>
      <c r="P71" s="89"/>
      <c r="Q71" s="116"/>
      <c r="R71" s="89"/>
      <c r="S71" s="116"/>
      <c r="T71" s="89"/>
      <c r="U71" s="116"/>
      <c r="V71" s="89"/>
      <c r="W71" s="116"/>
      <c r="X71" s="89"/>
      <c r="Y71" s="116"/>
      <c r="Z71" s="89"/>
      <c r="AA71" s="116"/>
      <c r="AB71" s="89"/>
      <c r="AC71" s="116"/>
      <c r="AD71" s="89"/>
      <c r="AE71" s="116"/>
      <c r="AF71" s="89"/>
      <c r="AG71" s="116"/>
      <c r="AH71" s="89"/>
    </row>
    <row r="72" spans="1:34" ht="11.25" customHeight="1" x14ac:dyDescent="0.25">
      <c r="A72" s="600"/>
      <c r="B72" s="600"/>
      <c r="C72" s="600"/>
      <c r="D72" s="600"/>
      <c r="E72" s="600"/>
      <c r="F72" s="600"/>
      <c r="G72" s="274"/>
      <c r="H72" s="89"/>
      <c r="I72" s="116"/>
      <c r="J72" s="89"/>
      <c r="K72" s="116"/>
      <c r="L72" s="89"/>
      <c r="M72" s="116"/>
      <c r="N72" s="89"/>
      <c r="O72" s="116"/>
      <c r="P72" s="89"/>
      <c r="Q72" s="116"/>
      <c r="R72" s="89"/>
      <c r="S72" s="116"/>
      <c r="T72" s="89"/>
      <c r="U72" s="116"/>
      <c r="V72" s="89"/>
      <c r="W72" s="116"/>
      <c r="X72" s="89"/>
      <c r="Y72" s="116"/>
      <c r="Z72" s="89"/>
      <c r="AA72" s="116"/>
      <c r="AB72" s="89"/>
      <c r="AC72" s="116"/>
      <c r="AD72" s="89"/>
      <c r="AE72" s="116"/>
      <c r="AF72" s="89"/>
      <c r="AG72" s="116"/>
      <c r="AH72" s="89"/>
    </row>
    <row r="73" spans="1:34" ht="11.25" customHeight="1" x14ac:dyDescent="0.25">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spans="1:34" ht="11.25" customHeight="1" x14ac:dyDescent="0.25">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spans="1:34" ht="11.25" customHeight="1" x14ac:dyDescent="0.25"/>
    <row r="76" spans="1:34" ht="11.25" customHeight="1" x14ac:dyDescent="0.25"/>
    <row r="77" spans="1:34" ht="11.25" customHeight="1" x14ac:dyDescent="0.25"/>
    <row r="78" spans="1:34" x14ac:dyDescent="0.25">
      <c r="B78" s="386"/>
      <c r="C78" s="386"/>
      <c r="D78" s="386"/>
      <c r="E78" s="386"/>
      <c r="F78" s="386"/>
      <c r="G78" s="386"/>
      <c r="H78" s="386"/>
      <c r="I78" s="386"/>
      <c r="J78" s="386"/>
    </row>
    <row r="79" spans="1:34" x14ac:dyDescent="0.25">
      <c r="B79" s="386"/>
      <c r="C79" s="386"/>
      <c r="D79" s="386"/>
      <c r="E79" s="386"/>
      <c r="F79" s="386"/>
      <c r="G79" s="386"/>
      <c r="H79" s="386"/>
      <c r="I79" s="386"/>
      <c r="J79" s="386"/>
    </row>
    <row r="80" spans="1:34" ht="9.75" customHeight="1" x14ac:dyDescent="0.25">
      <c r="B80" s="98"/>
      <c r="C80" s="98"/>
      <c r="D80" s="98"/>
      <c r="E80" s="98"/>
      <c r="F80" s="98"/>
      <c r="G80" s="98"/>
      <c r="H80" s="98"/>
      <c r="I80" s="98"/>
      <c r="J80" s="98"/>
    </row>
    <row r="81" spans="1:35" ht="11.25" customHeight="1" x14ac:dyDescent="0.25">
      <c r="A81" s="395" t="s">
        <v>73</v>
      </c>
      <c r="B81" s="395"/>
      <c r="C81" s="395"/>
      <c r="D81" s="395"/>
      <c r="E81" s="395"/>
      <c r="F81" s="395"/>
      <c r="G81" s="395"/>
      <c r="H81" s="395"/>
      <c r="I81" s="395"/>
      <c r="J81" s="395"/>
      <c r="K81" s="395"/>
      <c r="L81" s="395"/>
      <c r="M81" s="395"/>
      <c r="N81" s="395"/>
      <c r="O81" s="395"/>
      <c r="P81" s="395"/>
      <c r="Q81" s="395"/>
      <c r="R81" s="395"/>
      <c r="S81" s="395"/>
      <c r="T81" s="395"/>
      <c r="U81" s="395"/>
      <c r="V81" s="395"/>
      <c r="W81" s="395"/>
      <c r="X81" s="395"/>
      <c r="Y81" s="395"/>
      <c r="Z81" s="395"/>
      <c r="AA81" s="395"/>
      <c r="AB81" s="395"/>
      <c r="AC81" s="395"/>
      <c r="AD81" s="395"/>
      <c r="AE81" s="395"/>
      <c r="AF81" s="395"/>
      <c r="AG81" s="395"/>
      <c r="AH81" s="395"/>
      <c r="AI81" s="395"/>
    </row>
    <row r="82" spans="1:35" ht="11.25" customHeight="1" x14ac:dyDescent="0.25">
      <c r="A82" s="508" t="s">
        <v>116</v>
      </c>
      <c r="B82" s="400"/>
      <c r="C82" s="400"/>
      <c r="D82" s="400"/>
      <c r="E82" s="400"/>
      <c r="F82" s="400"/>
      <c r="G82" s="400"/>
      <c r="H82" s="400"/>
      <c r="I82" s="400"/>
      <c r="J82" s="400"/>
      <c r="K82" s="400"/>
      <c r="L82" s="400"/>
      <c r="M82" s="400"/>
      <c r="N82" s="400"/>
      <c r="O82" s="400"/>
      <c r="P82" s="400"/>
      <c r="Q82" s="400"/>
      <c r="R82" s="400"/>
      <c r="S82" s="400"/>
      <c r="T82" s="400"/>
      <c r="U82" s="400"/>
      <c r="V82" s="400"/>
      <c r="W82" s="400"/>
      <c r="X82" s="400"/>
      <c r="Y82" s="400"/>
      <c r="Z82" s="400"/>
      <c r="AA82" s="400"/>
      <c r="AB82" s="400"/>
      <c r="AC82" s="400"/>
      <c r="AD82" s="400"/>
      <c r="AE82" s="400"/>
      <c r="AF82" s="400"/>
      <c r="AG82" s="400"/>
      <c r="AH82" s="400"/>
      <c r="AI82" s="400"/>
    </row>
    <row r="83" spans="1:35" ht="11.25" customHeight="1" x14ac:dyDescent="0.25">
      <c r="A83" s="508"/>
      <c r="B83" s="400"/>
      <c r="C83" s="400"/>
      <c r="D83" s="400"/>
      <c r="E83" s="400"/>
      <c r="F83" s="400"/>
      <c r="G83" s="400"/>
      <c r="H83" s="400"/>
      <c r="I83" s="400"/>
      <c r="J83" s="400"/>
      <c r="K83" s="400"/>
      <c r="L83" s="400"/>
      <c r="M83" s="400"/>
      <c r="N83" s="400"/>
      <c r="O83" s="400"/>
      <c r="P83" s="400"/>
      <c r="Q83" s="400"/>
      <c r="R83" s="400"/>
      <c r="S83" s="400"/>
      <c r="T83" s="400"/>
      <c r="U83" s="400"/>
      <c r="V83" s="400"/>
      <c r="W83" s="400"/>
      <c r="X83" s="400"/>
      <c r="Y83" s="400"/>
      <c r="Z83" s="400"/>
      <c r="AA83" s="400"/>
      <c r="AB83" s="400"/>
      <c r="AC83" s="400"/>
      <c r="AD83" s="400"/>
      <c r="AE83" s="400"/>
      <c r="AF83" s="400"/>
      <c r="AG83" s="400"/>
      <c r="AH83" s="400"/>
      <c r="AI83" s="400"/>
    </row>
    <row r="84" spans="1:35" ht="11.25" customHeight="1" x14ac:dyDescent="0.25">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row>
    <row r="85" spans="1:35" ht="44.25" customHeight="1" x14ac:dyDescent="0.25">
      <c r="A85" s="611" t="s">
        <v>76</v>
      </c>
      <c r="B85" s="611"/>
      <c r="C85" s="611"/>
      <c r="D85" s="612" t="s">
        <v>77</v>
      </c>
      <c r="E85" s="612"/>
      <c r="F85" s="612"/>
      <c r="G85" s="607" t="s">
        <v>343</v>
      </c>
      <c r="H85" s="607"/>
      <c r="I85" s="601" t="s">
        <v>306</v>
      </c>
      <c r="J85" s="601"/>
      <c r="K85" s="601" t="s">
        <v>344</v>
      </c>
      <c r="L85" s="601"/>
      <c r="M85" s="601" t="s">
        <v>345</v>
      </c>
      <c r="N85" s="601"/>
      <c r="O85" s="601" t="s">
        <v>308</v>
      </c>
      <c r="P85" s="601"/>
      <c r="Q85" s="601" t="s">
        <v>346</v>
      </c>
      <c r="R85" s="601"/>
      <c r="S85" s="601" t="s">
        <v>304</v>
      </c>
      <c r="T85" s="601"/>
      <c r="U85" s="601" t="s">
        <v>347</v>
      </c>
      <c r="V85" s="601"/>
      <c r="W85" s="601" t="s">
        <v>348</v>
      </c>
      <c r="X85" s="601"/>
      <c r="Y85" s="601" t="s">
        <v>349</v>
      </c>
      <c r="Z85" s="601"/>
      <c r="AA85" s="601"/>
      <c r="AB85" s="601"/>
      <c r="AC85" s="601"/>
      <c r="AD85" s="601"/>
      <c r="AE85" s="601"/>
      <c r="AF85" s="601"/>
      <c r="AG85" s="601"/>
      <c r="AH85" s="601"/>
    </row>
    <row r="86" spans="1:35" ht="5.25" customHeight="1" x14ac:dyDescent="0.25">
      <c r="A86" s="605" t="s">
        <v>294</v>
      </c>
      <c r="B86" s="606"/>
      <c r="C86" s="606"/>
      <c r="D86" s="606"/>
      <c r="E86" s="606"/>
      <c r="F86" s="606"/>
      <c r="G86" s="608"/>
      <c r="H86" s="608"/>
      <c r="I86" s="602"/>
      <c r="J86" s="602"/>
      <c r="K86" s="602"/>
      <c r="L86" s="602"/>
      <c r="M86" s="602"/>
      <c r="N86" s="602"/>
      <c r="O86" s="602"/>
      <c r="P86" s="602"/>
      <c r="Q86" s="602"/>
      <c r="R86" s="602"/>
      <c r="S86" s="602"/>
      <c r="T86" s="602"/>
      <c r="U86" s="602"/>
      <c r="V86" s="602"/>
      <c r="W86" s="602"/>
      <c r="X86" s="602"/>
      <c r="Y86" s="602"/>
      <c r="Z86" s="602"/>
      <c r="AA86" s="602"/>
      <c r="AB86" s="602"/>
      <c r="AC86" s="602"/>
      <c r="AD86" s="602"/>
      <c r="AE86" s="602"/>
      <c r="AF86" s="602"/>
      <c r="AG86" s="602"/>
      <c r="AH86" s="602"/>
    </row>
    <row r="87" spans="1:35" ht="11.25" customHeight="1" x14ac:dyDescent="0.25">
      <c r="A87" s="610" t="s">
        <v>137</v>
      </c>
      <c r="B87" s="610"/>
      <c r="C87" s="610"/>
      <c r="D87" s="610"/>
      <c r="E87" s="610"/>
      <c r="F87" s="610"/>
      <c r="G87" s="618">
        <v>0.179698895185602</v>
      </c>
      <c r="H87" s="618"/>
      <c r="I87" s="614">
        <v>0.47635428472082497</v>
      </c>
      <c r="J87" s="614"/>
      <c r="K87" s="617">
        <v>6.1927046586335965E-2</v>
      </c>
      <c r="L87" s="617"/>
      <c r="M87" s="617">
        <v>0.23687391579536443</v>
      </c>
      <c r="N87" s="617"/>
      <c r="O87" s="617">
        <v>0.40352794429328542</v>
      </c>
      <c r="P87" s="617"/>
      <c r="Q87" s="614">
        <v>5.249164393747674E-2</v>
      </c>
      <c r="R87" s="614"/>
      <c r="S87" s="614">
        <v>0.48728168721316012</v>
      </c>
      <c r="T87" s="614"/>
      <c r="U87" s="614">
        <v>0.21642289419858807</v>
      </c>
      <c r="V87" s="614"/>
      <c r="W87" s="614">
        <v>0.1144058963479142</v>
      </c>
      <c r="X87" s="614"/>
      <c r="Y87" s="614">
        <v>0.36088826716856059</v>
      </c>
      <c r="Z87" s="614"/>
      <c r="AA87" s="614"/>
      <c r="AB87" s="614"/>
      <c r="AC87" s="614"/>
      <c r="AD87" s="614"/>
      <c r="AE87" s="614"/>
      <c r="AF87" s="614"/>
      <c r="AG87" s="614"/>
      <c r="AH87" s="614"/>
    </row>
    <row r="88" spans="1:35" ht="11.25" customHeight="1" x14ac:dyDescent="0.25">
      <c r="A88" s="609" t="s">
        <v>75</v>
      </c>
      <c r="B88" s="609"/>
      <c r="C88" s="609"/>
      <c r="D88" s="609"/>
      <c r="E88" s="609"/>
      <c r="F88" s="609"/>
      <c r="G88" s="619">
        <v>2.5365539701448107E-2</v>
      </c>
      <c r="H88" s="619"/>
      <c r="I88" s="613">
        <v>2.7590324772464939E-2</v>
      </c>
      <c r="J88" s="613"/>
      <c r="K88" s="613">
        <v>8.0838756998586093E-3</v>
      </c>
      <c r="L88" s="613"/>
      <c r="M88" s="613">
        <v>3.9414831170513719E-2</v>
      </c>
      <c r="N88" s="613"/>
      <c r="O88" s="613">
        <v>2.7997184848735313E-2</v>
      </c>
      <c r="P88" s="613"/>
      <c r="Q88" s="613">
        <v>4.6812749754432899E-2</v>
      </c>
      <c r="R88" s="613"/>
      <c r="S88" s="613">
        <v>4.8083960367026557E-2</v>
      </c>
      <c r="T88" s="613"/>
      <c r="U88" s="613">
        <v>1.7569027633408237E-2</v>
      </c>
      <c r="V88" s="613"/>
      <c r="W88" s="613">
        <v>1.9490988731688311E-2</v>
      </c>
      <c r="X88" s="613"/>
      <c r="Y88" s="613">
        <v>1.5586872597156753E-2</v>
      </c>
      <c r="Z88" s="613"/>
      <c r="AA88" s="613"/>
      <c r="AB88" s="613"/>
      <c r="AC88" s="613"/>
      <c r="AD88" s="613"/>
      <c r="AE88" s="613"/>
      <c r="AF88" s="613"/>
      <c r="AG88" s="613"/>
      <c r="AH88" s="613"/>
    </row>
    <row r="89" spans="1:35" ht="11.25" customHeight="1" x14ac:dyDescent="0.25">
      <c r="A89" s="600" t="s">
        <v>400</v>
      </c>
      <c r="B89" s="600"/>
      <c r="C89" s="600"/>
      <c r="D89" s="600"/>
      <c r="E89" s="600"/>
      <c r="F89" s="600"/>
      <c r="G89" s="274">
        <v>6.4818483505235443E-3</v>
      </c>
      <c r="H89" s="89">
        <v>2.5913268936082198E-2</v>
      </c>
      <c r="I89" s="116" t="s">
        <v>294</v>
      </c>
      <c r="J89" s="89"/>
      <c r="K89" s="116">
        <v>4.7225150904670913E-3</v>
      </c>
      <c r="L89" s="89">
        <v>1.2183148284698833E-6</v>
      </c>
      <c r="M89" s="116">
        <v>1.3030516549364555E-2</v>
      </c>
      <c r="N89" s="89">
        <v>4.3880351529756731E-3</v>
      </c>
      <c r="O89" s="116">
        <v>1.0265403126428312E-2</v>
      </c>
      <c r="P89" s="89">
        <v>2.61742330596007E-3</v>
      </c>
      <c r="Q89" s="116">
        <v>1.3620446080899554E-2</v>
      </c>
      <c r="R89" s="89">
        <v>1.1419784645973718E-2</v>
      </c>
      <c r="S89" s="116" t="s">
        <v>294</v>
      </c>
      <c r="T89" s="89"/>
      <c r="U89" s="116">
        <v>1.3326071707191613E-2</v>
      </c>
      <c r="V89" s="89">
        <v>4.3821514894834303E-9</v>
      </c>
      <c r="W89" s="116">
        <v>6.1255644364121174E-3</v>
      </c>
      <c r="X89" s="89">
        <v>7.5576693126134988E-3</v>
      </c>
      <c r="Y89" s="116">
        <v>8.246618476073251E-3</v>
      </c>
      <c r="Z89" s="89">
        <v>1.5919539316484695E-5</v>
      </c>
      <c r="AA89" s="116"/>
      <c r="AB89" s="89"/>
      <c r="AC89" s="116"/>
      <c r="AD89" s="89"/>
      <c r="AE89" s="116"/>
      <c r="AF89" s="89"/>
      <c r="AG89" s="116"/>
      <c r="AH89" s="89"/>
    </row>
    <row r="90" spans="1:35" ht="11.25" customHeight="1" x14ac:dyDescent="0.25">
      <c r="A90" s="600" t="s">
        <v>401</v>
      </c>
      <c r="B90" s="600"/>
      <c r="C90" s="600"/>
      <c r="D90" s="600"/>
      <c r="E90" s="600"/>
      <c r="F90" s="600"/>
      <c r="G90" s="274">
        <v>0.12965142169427551</v>
      </c>
      <c r="H90" s="89">
        <v>1.0432700389139056E-2</v>
      </c>
      <c r="I90" s="116" t="s">
        <v>294</v>
      </c>
      <c r="J90" s="89"/>
      <c r="K90" s="116" t="s">
        <v>294</v>
      </c>
      <c r="L90" s="89"/>
      <c r="M90" s="116" t="s">
        <v>294</v>
      </c>
      <c r="N90" s="89"/>
      <c r="O90" s="116" t="s">
        <v>294</v>
      </c>
      <c r="P90" s="89"/>
      <c r="Q90" s="116" t="s">
        <v>294</v>
      </c>
      <c r="R90" s="89"/>
      <c r="S90" s="116" t="s">
        <v>294</v>
      </c>
      <c r="T90" s="89"/>
      <c r="U90" s="116" t="s">
        <v>294</v>
      </c>
      <c r="V90" s="89"/>
      <c r="W90" s="116">
        <v>-6.2696563343263206E-2</v>
      </c>
      <c r="X90" s="89">
        <v>8.5413089692235461E-2</v>
      </c>
      <c r="Y90" s="116" t="s">
        <v>294</v>
      </c>
      <c r="Z90" s="89"/>
      <c r="AA90" s="116"/>
      <c r="AB90" s="89"/>
      <c r="AC90" s="116"/>
      <c r="AD90" s="89"/>
      <c r="AE90" s="116"/>
      <c r="AF90" s="89"/>
      <c r="AG90" s="116"/>
      <c r="AH90" s="89"/>
    </row>
    <row r="91" spans="1:35" ht="11.25" customHeight="1" x14ac:dyDescent="0.25">
      <c r="A91" s="600" t="s">
        <v>402</v>
      </c>
      <c r="B91" s="600"/>
      <c r="C91" s="600"/>
      <c r="D91" s="600"/>
      <c r="E91" s="600"/>
      <c r="F91" s="600"/>
      <c r="G91" s="274">
        <v>-0.23866179604181895</v>
      </c>
      <c r="H91" s="89">
        <v>8.4774080077908112E-2</v>
      </c>
      <c r="I91" s="116" t="s">
        <v>294</v>
      </c>
      <c r="J91" s="89"/>
      <c r="K91" s="116" t="s">
        <v>294</v>
      </c>
      <c r="L91" s="89"/>
      <c r="M91" s="116">
        <v>-0.48298583119945876</v>
      </c>
      <c r="N91" s="89">
        <v>2.9894676021332431E-2</v>
      </c>
      <c r="O91" s="116" t="s">
        <v>294</v>
      </c>
      <c r="P91" s="89"/>
      <c r="Q91" s="116" t="s">
        <v>294</v>
      </c>
      <c r="R91" s="89"/>
      <c r="S91" s="116">
        <v>1.7122506775186819</v>
      </c>
      <c r="T91" s="89">
        <v>1.5435751126108987E-4</v>
      </c>
      <c r="U91" s="116" t="s">
        <v>294</v>
      </c>
      <c r="V91" s="89"/>
      <c r="W91" s="116" t="s">
        <v>294</v>
      </c>
      <c r="X91" s="89"/>
      <c r="Y91" s="116" t="s">
        <v>294</v>
      </c>
      <c r="Z91" s="89"/>
      <c r="AA91" s="116"/>
      <c r="AB91" s="89"/>
      <c r="AC91" s="116"/>
      <c r="AD91" s="89"/>
      <c r="AE91" s="116"/>
      <c r="AF91" s="89"/>
      <c r="AG91" s="116"/>
      <c r="AH91" s="89"/>
    </row>
    <row r="92" spans="1:35" ht="11.25" customHeight="1" x14ac:dyDescent="0.25">
      <c r="A92" s="600" t="s">
        <v>403</v>
      </c>
      <c r="B92" s="600"/>
      <c r="C92" s="600"/>
      <c r="D92" s="600"/>
      <c r="E92" s="600"/>
      <c r="F92" s="600"/>
      <c r="G92" s="274" t="s">
        <v>294</v>
      </c>
      <c r="H92" s="89"/>
      <c r="I92" s="116">
        <v>0.7259487591616276</v>
      </c>
      <c r="J92" s="89">
        <v>2.6843808440741538E-4</v>
      </c>
      <c r="K92" s="116" t="s">
        <v>294</v>
      </c>
      <c r="L92" s="89"/>
      <c r="M92" s="116">
        <v>0.79004986892777507</v>
      </c>
      <c r="N92" s="89">
        <v>7.9835349285348432E-3</v>
      </c>
      <c r="O92" s="116">
        <v>0.35790831030965253</v>
      </c>
      <c r="P92" s="89">
        <v>2.9634544075996878E-2</v>
      </c>
      <c r="Q92" s="116" t="s">
        <v>294</v>
      </c>
      <c r="R92" s="89"/>
      <c r="S92" s="116">
        <v>1.9589977138621884</v>
      </c>
      <c r="T92" s="89">
        <v>4.0738386276421572E-6</v>
      </c>
      <c r="U92" s="116">
        <v>0.26482746030930865</v>
      </c>
      <c r="V92" s="89">
        <v>3.1179497680373383E-2</v>
      </c>
      <c r="W92" s="116">
        <v>0.24896161148352852</v>
      </c>
      <c r="X92" s="89">
        <v>2.9653733242021561E-2</v>
      </c>
      <c r="Y92" s="116">
        <v>0.40365966001002301</v>
      </c>
      <c r="Z92" s="89">
        <v>2.0654866345144684E-5</v>
      </c>
      <c r="AA92" s="116"/>
      <c r="AB92" s="89"/>
      <c r="AC92" s="116"/>
      <c r="AD92" s="89"/>
      <c r="AE92" s="116"/>
      <c r="AF92" s="89"/>
      <c r="AG92" s="116"/>
      <c r="AH92" s="89"/>
    </row>
    <row r="93" spans="1:35" ht="11.25" customHeight="1" x14ac:dyDescent="0.25">
      <c r="A93" s="600" t="s">
        <v>404</v>
      </c>
      <c r="B93" s="600"/>
      <c r="C93" s="600"/>
      <c r="D93" s="600"/>
      <c r="E93" s="600"/>
      <c r="F93" s="600"/>
      <c r="G93" s="274" t="s">
        <v>294</v>
      </c>
      <c r="H93" s="89"/>
      <c r="I93" s="116" t="s">
        <v>294</v>
      </c>
      <c r="J93" s="89"/>
      <c r="K93" s="116" t="s">
        <v>294</v>
      </c>
      <c r="L93" s="89"/>
      <c r="M93" s="116" t="s">
        <v>294</v>
      </c>
      <c r="N93" s="89"/>
      <c r="O93" s="116">
        <v>0.37705112884595338</v>
      </c>
      <c r="P93" s="89">
        <v>1.1395594145036112E-2</v>
      </c>
      <c r="Q93" s="116" t="s">
        <v>294</v>
      </c>
      <c r="R93" s="89"/>
      <c r="S93" s="116" t="s">
        <v>294</v>
      </c>
      <c r="T93" s="89"/>
      <c r="U93" s="116" t="s">
        <v>294</v>
      </c>
      <c r="V93" s="89"/>
      <c r="W93" s="116">
        <v>-0.15065258072783239</v>
      </c>
      <c r="X93" s="89">
        <v>0.13204921891284227</v>
      </c>
      <c r="Y93" s="116">
        <v>0.2380018617141606</v>
      </c>
      <c r="Z93" s="89">
        <v>6.1109927876952528E-3</v>
      </c>
      <c r="AA93" s="116"/>
      <c r="AB93" s="89"/>
      <c r="AC93" s="116"/>
      <c r="AD93" s="89"/>
      <c r="AE93" s="116"/>
      <c r="AF93" s="89"/>
      <c r="AG93" s="116"/>
      <c r="AH93" s="89"/>
    </row>
    <row r="94" spans="1:35" ht="11.25" customHeight="1" x14ac:dyDescent="0.25">
      <c r="A94" s="600" t="s">
        <v>405</v>
      </c>
      <c r="B94" s="600"/>
      <c r="C94" s="600"/>
      <c r="D94" s="600"/>
      <c r="E94" s="600"/>
      <c r="F94" s="600"/>
      <c r="G94" s="274" t="s">
        <v>294</v>
      </c>
      <c r="H94" s="89"/>
      <c r="I94" s="116">
        <v>0.36696687047056697</v>
      </c>
      <c r="J94" s="89">
        <v>8.632519288192191E-7</v>
      </c>
      <c r="K94" s="116" t="s">
        <v>294</v>
      </c>
      <c r="L94" s="89"/>
      <c r="M94" s="116" t="s">
        <v>294</v>
      </c>
      <c r="N94" s="89"/>
      <c r="O94" s="116">
        <v>0.24511370065610871</v>
      </c>
      <c r="P94" s="89">
        <v>9.6657139787090685E-4</v>
      </c>
      <c r="Q94" s="116" t="s">
        <v>294</v>
      </c>
      <c r="R94" s="89"/>
      <c r="S94" s="116" t="s">
        <v>294</v>
      </c>
      <c r="T94" s="89"/>
      <c r="U94" s="116" t="s">
        <v>294</v>
      </c>
      <c r="V94" s="89"/>
      <c r="W94" s="116" t="s">
        <v>294</v>
      </c>
      <c r="X94" s="89"/>
      <c r="Y94" s="116" t="s">
        <v>294</v>
      </c>
      <c r="Z94" s="89"/>
      <c r="AA94" s="116"/>
      <c r="AB94" s="89"/>
      <c r="AC94" s="116"/>
      <c r="AD94" s="89"/>
      <c r="AE94" s="116"/>
      <c r="AF94" s="89"/>
      <c r="AG94" s="116"/>
      <c r="AH94" s="89"/>
    </row>
    <row r="95" spans="1:35" ht="11.25" customHeight="1" x14ac:dyDescent="0.25">
      <c r="A95" s="600" t="s">
        <v>406</v>
      </c>
      <c r="B95" s="600"/>
      <c r="C95" s="600"/>
      <c r="D95" s="600"/>
      <c r="E95" s="600"/>
      <c r="F95" s="600"/>
      <c r="G95" s="274" t="s">
        <v>294</v>
      </c>
      <c r="H95" s="89"/>
      <c r="I95" s="116" t="s">
        <v>294</v>
      </c>
      <c r="J95" s="89"/>
      <c r="K95" s="116" t="s">
        <v>294</v>
      </c>
      <c r="L95" s="89"/>
      <c r="M95" s="116" t="s">
        <v>294</v>
      </c>
      <c r="N95" s="89"/>
      <c r="O95" s="116" t="s">
        <v>294</v>
      </c>
      <c r="P95" s="89"/>
      <c r="Q95" s="116" t="s">
        <v>294</v>
      </c>
      <c r="R95" s="89"/>
      <c r="S95" s="116" t="s">
        <v>294</v>
      </c>
      <c r="T95" s="89"/>
      <c r="U95" s="116">
        <v>0.12092732727954075</v>
      </c>
      <c r="V95" s="89">
        <v>3.8299893457738897E-2</v>
      </c>
      <c r="W95" s="116" t="s">
        <v>294</v>
      </c>
      <c r="X95" s="89"/>
      <c r="Y95" s="116">
        <v>-9.2476535455255415E-2</v>
      </c>
      <c r="Z95" s="89">
        <v>8.6807308745699363E-2</v>
      </c>
      <c r="AA95" s="116"/>
      <c r="AB95" s="89"/>
      <c r="AC95" s="116"/>
      <c r="AD95" s="89"/>
      <c r="AE95" s="116"/>
      <c r="AF95" s="89"/>
      <c r="AG95" s="116"/>
      <c r="AH95" s="89"/>
    </row>
    <row r="96" spans="1:35" ht="11.25" customHeight="1" x14ac:dyDescent="0.25">
      <c r="A96" s="600" t="s">
        <v>407</v>
      </c>
      <c r="B96" s="600"/>
      <c r="C96" s="600"/>
      <c r="D96" s="600"/>
      <c r="E96" s="600"/>
      <c r="F96" s="600"/>
      <c r="G96" s="274">
        <v>8.695890333163013E-2</v>
      </c>
      <c r="H96" s="89">
        <v>4.6810766918480559E-2</v>
      </c>
      <c r="I96" s="116">
        <v>-0.18403931511112415</v>
      </c>
      <c r="J96" s="89">
        <v>2.6953245455815407E-3</v>
      </c>
      <c r="K96" s="116" t="s">
        <v>294</v>
      </c>
      <c r="L96" s="89"/>
      <c r="M96" s="116">
        <v>-0.31592743978489268</v>
      </c>
      <c r="N96" s="89">
        <v>3.00764596939201E-4</v>
      </c>
      <c r="O96" s="116" t="s">
        <v>294</v>
      </c>
      <c r="P96" s="89"/>
      <c r="Q96" s="116">
        <v>0.15398889627095097</v>
      </c>
      <c r="R96" s="89">
        <v>3.9647887348197394E-2</v>
      </c>
      <c r="S96" s="116">
        <v>0.33515688456869275</v>
      </c>
      <c r="T96" s="89">
        <v>2.0899648089615056E-3</v>
      </c>
      <c r="U96" s="116">
        <v>-0.16235779232168321</v>
      </c>
      <c r="V96" s="89">
        <v>8.4292664990345435E-5</v>
      </c>
      <c r="W96" s="116" t="s">
        <v>294</v>
      </c>
      <c r="X96" s="89"/>
      <c r="Y96" s="116" t="s">
        <v>294</v>
      </c>
      <c r="Z96" s="89"/>
      <c r="AA96" s="116"/>
      <c r="AB96" s="89"/>
      <c r="AC96" s="116"/>
      <c r="AD96" s="89"/>
      <c r="AE96" s="116"/>
      <c r="AF96" s="89"/>
      <c r="AG96" s="116"/>
      <c r="AH96" s="89"/>
    </row>
    <row r="97" spans="1:34" ht="11.25" customHeight="1" x14ac:dyDescent="0.25">
      <c r="A97" s="600" t="s">
        <v>408</v>
      </c>
      <c r="B97" s="600"/>
      <c r="C97" s="600"/>
      <c r="D97" s="600"/>
      <c r="E97" s="600"/>
      <c r="F97" s="600"/>
      <c r="G97" s="274" t="s">
        <v>294</v>
      </c>
      <c r="H97" s="89"/>
      <c r="I97" s="116" t="s">
        <v>294</v>
      </c>
      <c r="J97" s="89"/>
      <c r="K97" s="116">
        <v>-0.13014608606131967</v>
      </c>
      <c r="L97" s="89">
        <v>2.5076648847641912E-2</v>
      </c>
      <c r="M97" s="116" t="s">
        <v>294</v>
      </c>
      <c r="N97" s="89"/>
      <c r="O97" s="116" t="s">
        <v>294</v>
      </c>
      <c r="P97" s="89"/>
      <c r="Q97" s="116" t="s">
        <v>294</v>
      </c>
      <c r="R97" s="89"/>
      <c r="S97" s="116">
        <v>1.7474259065576812</v>
      </c>
      <c r="T97" s="89">
        <v>3.74170165224836E-3</v>
      </c>
      <c r="U97" s="116">
        <v>-0.32735799750867389</v>
      </c>
      <c r="V97" s="89">
        <v>1.6005145395698816E-2</v>
      </c>
      <c r="W97" s="116" t="s">
        <v>294</v>
      </c>
      <c r="X97" s="89"/>
      <c r="Y97" s="116" t="s">
        <v>294</v>
      </c>
      <c r="Z97" s="89"/>
      <c r="AA97" s="116"/>
      <c r="AB97" s="89"/>
      <c r="AC97" s="116"/>
      <c r="AD97" s="89"/>
      <c r="AE97" s="116"/>
      <c r="AF97" s="89"/>
      <c r="AG97" s="116"/>
      <c r="AH97" s="89"/>
    </row>
    <row r="98" spans="1:34" ht="11.25" customHeight="1" x14ac:dyDescent="0.25">
      <c r="A98" s="600" t="s">
        <v>409</v>
      </c>
      <c r="B98" s="600"/>
      <c r="C98" s="600"/>
      <c r="D98" s="600"/>
      <c r="E98" s="600"/>
      <c r="F98" s="600"/>
      <c r="G98" s="274" t="s">
        <v>294</v>
      </c>
      <c r="H98" s="89"/>
      <c r="I98" s="116">
        <v>3.5354135917726778E-2</v>
      </c>
      <c r="J98" s="89">
        <v>2.84005002484492E-5</v>
      </c>
      <c r="K98" s="116" t="s">
        <v>294</v>
      </c>
      <c r="L98" s="89"/>
      <c r="M98" s="116" t="s">
        <v>294</v>
      </c>
      <c r="N98" s="89"/>
      <c r="O98" s="116">
        <v>-1.2109669341081236E-2</v>
      </c>
      <c r="P98" s="89">
        <v>0.13538620672664736</v>
      </c>
      <c r="Q98" s="116" t="s">
        <v>294</v>
      </c>
      <c r="R98" s="89"/>
      <c r="S98" s="116" t="s">
        <v>294</v>
      </c>
      <c r="T98" s="89"/>
      <c r="U98" s="116" t="s">
        <v>294</v>
      </c>
      <c r="V98" s="89"/>
      <c r="W98" s="116" t="s">
        <v>294</v>
      </c>
      <c r="X98" s="89"/>
      <c r="Y98" s="116" t="s">
        <v>294</v>
      </c>
      <c r="Z98" s="89"/>
      <c r="AA98" s="116"/>
      <c r="AB98" s="89"/>
      <c r="AC98" s="116"/>
      <c r="AD98" s="89"/>
      <c r="AE98" s="116"/>
      <c r="AF98" s="89"/>
      <c r="AG98" s="116"/>
      <c r="AH98" s="89"/>
    </row>
    <row r="99" spans="1:34" ht="11.25" customHeight="1" x14ac:dyDescent="0.25">
      <c r="A99" s="600"/>
      <c r="B99" s="600"/>
      <c r="C99" s="600"/>
      <c r="D99" s="600"/>
      <c r="E99" s="600"/>
      <c r="F99" s="600"/>
      <c r="G99" s="274"/>
      <c r="H99" s="89"/>
      <c r="I99" s="116"/>
      <c r="J99" s="89"/>
      <c r="K99" s="116"/>
      <c r="L99" s="89"/>
      <c r="M99" s="116"/>
      <c r="N99" s="89"/>
      <c r="O99" s="116"/>
      <c r="P99" s="89"/>
      <c r="Q99" s="116"/>
      <c r="R99" s="89"/>
      <c r="S99" s="116"/>
      <c r="T99" s="89"/>
      <c r="U99" s="116"/>
      <c r="V99" s="89"/>
      <c r="W99" s="116"/>
      <c r="X99" s="89"/>
      <c r="Y99" s="116"/>
      <c r="Z99" s="89"/>
      <c r="AA99" s="116"/>
      <c r="AB99" s="89"/>
      <c r="AC99" s="116"/>
      <c r="AD99" s="89"/>
      <c r="AE99" s="116"/>
      <c r="AF99" s="89"/>
      <c r="AG99" s="116"/>
      <c r="AH99" s="89"/>
    </row>
    <row r="100" spans="1:34" ht="11.25" customHeight="1" x14ac:dyDescent="0.25">
      <c r="A100" s="600"/>
      <c r="B100" s="600"/>
      <c r="C100" s="600"/>
      <c r="D100" s="600"/>
      <c r="E100" s="600"/>
      <c r="F100" s="600"/>
      <c r="G100" s="274"/>
      <c r="H100" s="89"/>
      <c r="I100" s="116"/>
      <c r="J100" s="89"/>
      <c r="K100" s="116"/>
      <c r="L100" s="89"/>
      <c r="M100" s="116"/>
      <c r="N100" s="89"/>
      <c r="O100" s="116"/>
      <c r="P100" s="89"/>
      <c r="Q100" s="116"/>
      <c r="R100" s="89"/>
      <c r="S100" s="116"/>
      <c r="T100" s="89"/>
      <c r="U100" s="116"/>
      <c r="V100" s="89"/>
      <c r="W100" s="116"/>
      <c r="X100" s="89"/>
      <c r="Y100" s="116"/>
      <c r="Z100" s="89"/>
      <c r="AA100" s="116"/>
      <c r="AB100" s="89"/>
      <c r="AC100" s="116"/>
      <c r="AD100" s="89"/>
      <c r="AE100" s="116"/>
      <c r="AF100" s="89"/>
      <c r="AG100" s="116"/>
      <c r="AH100" s="89"/>
    </row>
    <row r="101" spans="1:34" ht="11.25" customHeight="1" x14ac:dyDescent="0.25">
      <c r="A101" s="600"/>
      <c r="B101" s="600"/>
      <c r="C101" s="600"/>
      <c r="D101" s="600"/>
      <c r="E101" s="600"/>
      <c r="F101" s="600"/>
      <c r="G101" s="274"/>
      <c r="H101" s="89"/>
      <c r="I101" s="116"/>
      <c r="J101" s="89"/>
      <c r="K101" s="116"/>
      <c r="L101" s="89"/>
      <c r="M101" s="116"/>
      <c r="N101" s="89"/>
      <c r="O101" s="116"/>
      <c r="P101" s="89"/>
      <c r="Q101" s="116"/>
      <c r="R101" s="89"/>
      <c r="S101" s="116"/>
      <c r="T101" s="89"/>
      <c r="U101" s="116"/>
      <c r="V101" s="89"/>
      <c r="W101" s="116"/>
      <c r="X101" s="89"/>
      <c r="Y101" s="116"/>
      <c r="Z101" s="89"/>
      <c r="AA101" s="116"/>
      <c r="AB101" s="89"/>
      <c r="AC101" s="116"/>
      <c r="AD101" s="89"/>
      <c r="AE101" s="116"/>
      <c r="AF101" s="89"/>
      <c r="AG101" s="116"/>
      <c r="AH101" s="89"/>
    </row>
    <row r="102" spans="1:34" ht="11.25" customHeight="1" x14ac:dyDescent="0.25">
      <c r="A102" s="600"/>
      <c r="B102" s="600"/>
      <c r="C102" s="600"/>
      <c r="D102" s="600"/>
      <c r="E102" s="600"/>
      <c r="F102" s="600"/>
      <c r="G102" s="274"/>
      <c r="H102" s="89"/>
      <c r="I102" s="116"/>
      <c r="J102" s="89"/>
      <c r="K102" s="116"/>
      <c r="L102" s="89"/>
      <c r="M102" s="116"/>
      <c r="N102" s="89"/>
      <c r="O102" s="116"/>
      <c r="P102" s="89"/>
      <c r="Q102" s="116"/>
      <c r="R102" s="89"/>
      <c r="S102" s="116"/>
      <c r="T102" s="89"/>
      <c r="U102" s="116"/>
      <c r="V102" s="89"/>
      <c r="W102" s="116"/>
      <c r="X102" s="89"/>
      <c r="Y102" s="116"/>
      <c r="Z102" s="89"/>
      <c r="AA102" s="116"/>
      <c r="AB102" s="89"/>
      <c r="AC102" s="116"/>
      <c r="AD102" s="89"/>
      <c r="AE102" s="116"/>
      <c r="AF102" s="89"/>
      <c r="AG102" s="116"/>
      <c r="AH102" s="89"/>
    </row>
    <row r="103" spans="1:34" ht="11.25" customHeight="1" x14ac:dyDescent="0.25">
      <c r="A103" s="600"/>
      <c r="B103" s="600"/>
      <c r="C103" s="600"/>
      <c r="D103" s="600"/>
      <c r="E103" s="600"/>
      <c r="F103" s="600"/>
      <c r="G103" s="274"/>
      <c r="H103" s="89"/>
      <c r="I103" s="116"/>
      <c r="J103" s="89"/>
      <c r="K103" s="116"/>
      <c r="L103" s="89"/>
      <c r="M103" s="116"/>
      <c r="N103" s="89"/>
      <c r="O103" s="116"/>
      <c r="P103" s="89"/>
      <c r="Q103" s="116"/>
      <c r="R103" s="89"/>
      <c r="S103" s="116"/>
      <c r="T103" s="89"/>
      <c r="U103" s="116"/>
      <c r="V103" s="89"/>
      <c r="W103" s="116"/>
      <c r="X103" s="89"/>
      <c r="Y103" s="116"/>
      <c r="Z103" s="89"/>
      <c r="AA103" s="116"/>
      <c r="AB103" s="89"/>
      <c r="AC103" s="116"/>
      <c r="AD103" s="89"/>
      <c r="AE103" s="116"/>
      <c r="AF103" s="89"/>
      <c r="AG103" s="116"/>
      <c r="AH103" s="89"/>
    </row>
    <row r="104" spans="1:34" ht="11.25" customHeight="1" x14ac:dyDescent="0.25">
      <c r="A104" s="600"/>
      <c r="B104" s="600"/>
      <c r="C104" s="600"/>
      <c r="D104" s="600"/>
      <c r="E104" s="600"/>
      <c r="F104" s="600"/>
      <c r="G104" s="274"/>
      <c r="H104" s="89"/>
      <c r="I104" s="116"/>
      <c r="J104" s="89"/>
      <c r="K104" s="116"/>
      <c r="L104" s="89"/>
      <c r="M104" s="116"/>
      <c r="N104" s="89"/>
      <c r="O104" s="116"/>
      <c r="P104" s="89"/>
      <c r="Q104" s="116"/>
      <c r="R104" s="89"/>
      <c r="S104" s="116"/>
      <c r="T104" s="89"/>
      <c r="U104" s="116"/>
      <c r="V104" s="89"/>
      <c r="W104" s="116"/>
      <c r="X104" s="89"/>
      <c r="Y104" s="116"/>
      <c r="Z104" s="89"/>
      <c r="AA104" s="116"/>
      <c r="AB104" s="89"/>
      <c r="AC104" s="116"/>
      <c r="AD104" s="89"/>
      <c r="AE104" s="116"/>
      <c r="AF104" s="89"/>
      <c r="AG104" s="116"/>
      <c r="AH104" s="89"/>
    </row>
    <row r="105" spans="1:34" ht="11.25" customHeight="1" x14ac:dyDescent="0.25">
      <c r="A105" s="600"/>
      <c r="B105" s="600"/>
      <c r="C105" s="600"/>
      <c r="D105" s="600"/>
      <c r="E105" s="600"/>
      <c r="F105" s="600"/>
      <c r="G105" s="274"/>
      <c r="H105" s="89"/>
      <c r="I105" s="116"/>
      <c r="J105" s="89"/>
      <c r="K105" s="116"/>
      <c r="L105" s="89"/>
      <c r="M105" s="116"/>
      <c r="N105" s="89"/>
      <c r="O105" s="116"/>
      <c r="P105" s="89"/>
      <c r="Q105" s="116"/>
      <c r="R105" s="89"/>
      <c r="S105" s="116"/>
      <c r="T105" s="89"/>
      <c r="U105" s="116"/>
      <c r="V105" s="89"/>
      <c r="W105" s="116"/>
      <c r="X105" s="89"/>
      <c r="Y105" s="116"/>
      <c r="Z105" s="89"/>
      <c r="AA105" s="116"/>
      <c r="AB105" s="89"/>
      <c r="AC105" s="116"/>
      <c r="AD105" s="89"/>
      <c r="AE105" s="116"/>
      <c r="AF105" s="89"/>
      <c r="AG105" s="116"/>
      <c r="AH105" s="89"/>
    </row>
    <row r="106" spans="1:34" ht="11.25" customHeight="1" x14ac:dyDescent="0.25">
      <c r="A106" s="600"/>
      <c r="B106" s="600"/>
      <c r="C106" s="600"/>
      <c r="D106" s="600"/>
      <c r="E106" s="600"/>
      <c r="F106" s="600"/>
      <c r="G106" s="274"/>
      <c r="H106" s="89"/>
      <c r="I106" s="116"/>
      <c r="J106" s="89"/>
      <c r="K106" s="116"/>
      <c r="L106" s="89"/>
      <c r="M106" s="116"/>
      <c r="N106" s="89"/>
      <c r="O106" s="116"/>
      <c r="P106" s="89"/>
      <c r="Q106" s="116"/>
      <c r="R106" s="89"/>
      <c r="S106" s="116"/>
      <c r="T106" s="89"/>
      <c r="U106" s="116"/>
      <c r="V106" s="89"/>
      <c r="W106" s="116"/>
      <c r="X106" s="89"/>
      <c r="Y106" s="116"/>
      <c r="Z106" s="89"/>
      <c r="AA106" s="116"/>
      <c r="AB106" s="89"/>
      <c r="AC106" s="116"/>
      <c r="AD106" s="89"/>
      <c r="AE106" s="116"/>
      <c r="AF106" s="89"/>
      <c r="AG106" s="116"/>
      <c r="AH106" s="89"/>
    </row>
    <row r="107" spans="1:34" ht="11.25" customHeight="1" x14ac:dyDescent="0.25">
      <c r="A107" s="600"/>
      <c r="B107" s="600"/>
      <c r="C107" s="600"/>
      <c r="D107" s="600"/>
      <c r="E107" s="600"/>
      <c r="F107" s="600"/>
      <c r="G107" s="274"/>
      <c r="H107" s="89"/>
      <c r="I107" s="116"/>
      <c r="J107" s="89"/>
      <c r="K107" s="116"/>
      <c r="L107" s="89"/>
      <c r="M107" s="116"/>
      <c r="N107" s="89"/>
      <c r="O107" s="116"/>
      <c r="P107" s="89"/>
      <c r="Q107" s="116"/>
      <c r="R107" s="89"/>
      <c r="S107" s="116"/>
      <c r="T107" s="89"/>
      <c r="U107" s="116"/>
      <c r="V107" s="89"/>
      <c r="W107" s="116"/>
      <c r="X107" s="89"/>
      <c r="Y107" s="116"/>
      <c r="Z107" s="89"/>
      <c r="AA107" s="116"/>
      <c r="AB107" s="89"/>
      <c r="AC107" s="116"/>
      <c r="AD107" s="89"/>
      <c r="AE107" s="116"/>
      <c r="AF107" s="89"/>
      <c r="AG107" s="116"/>
      <c r="AH107" s="89"/>
    </row>
    <row r="108" spans="1:34" ht="11.25" customHeight="1" x14ac:dyDescent="0.25">
      <c r="A108" s="600"/>
      <c r="B108" s="600"/>
      <c r="C108" s="600"/>
      <c r="D108" s="600"/>
      <c r="E108" s="600"/>
      <c r="F108" s="600"/>
      <c r="G108" s="274"/>
      <c r="H108" s="89"/>
      <c r="I108" s="116"/>
      <c r="J108" s="89"/>
      <c r="K108" s="116"/>
      <c r="L108" s="89"/>
      <c r="M108" s="116"/>
      <c r="N108" s="89"/>
      <c r="O108" s="116"/>
      <c r="P108" s="89"/>
      <c r="Q108" s="116"/>
      <c r="R108" s="89"/>
      <c r="S108" s="116"/>
      <c r="T108" s="89"/>
      <c r="U108" s="116"/>
      <c r="V108" s="89"/>
      <c r="W108" s="116"/>
      <c r="X108" s="89"/>
      <c r="Y108" s="116"/>
      <c r="Z108" s="89"/>
      <c r="AA108" s="116"/>
      <c r="AB108" s="89"/>
      <c r="AC108" s="116"/>
      <c r="AD108" s="89"/>
      <c r="AE108" s="116"/>
      <c r="AF108" s="89"/>
      <c r="AG108" s="116"/>
      <c r="AH108" s="89"/>
    </row>
    <row r="109" spans="1:34" ht="11.25" customHeight="1" x14ac:dyDescent="0.25">
      <c r="A109" s="600"/>
      <c r="B109" s="600"/>
      <c r="C109" s="600"/>
      <c r="D109" s="600"/>
      <c r="E109" s="600"/>
      <c r="F109" s="600"/>
      <c r="G109" s="274"/>
      <c r="H109" s="89"/>
      <c r="I109" s="116"/>
      <c r="J109" s="89"/>
      <c r="K109" s="116"/>
      <c r="L109" s="89"/>
      <c r="M109" s="116"/>
      <c r="N109" s="89"/>
      <c r="O109" s="116"/>
      <c r="P109" s="89"/>
      <c r="Q109" s="116"/>
      <c r="R109" s="89"/>
      <c r="S109" s="116"/>
      <c r="T109" s="89"/>
      <c r="U109" s="116"/>
      <c r="V109" s="89"/>
      <c r="W109" s="116"/>
      <c r="X109" s="89"/>
      <c r="Y109" s="116"/>
      <c r="Z109" s="89"/>
      <c r="AA109" s="116"/>
      <c r="AB109" s="89"/>
      <c r="AC109" s="116"/>
      <c r="AD109" s="89"/>
      <c r="AE109" s="116"/>
      <c r="AF109" s="89"/>
      <c r="AG109" s="116"/>
      <c r="AH109" s="89"/>
    </row>
    <row r="110" spans="1:34" ht="11.25" customHeight="1" x14ac:dyDescent="0.25">
      <c r="A110" s="600"/>
      <c r="B110" s="600"/>
      <c r="C110" s="600"/>
      <c r="D110" s="600"/>
      <c r="E110" s="600"/>
      <c r="F110" s="600"/>
      <c r="G110" s="274"/>
      <c r="H110" s="89"/>
      <c r="I110" s="116"/>
      <c r="J110" s="89"/>
      <c r="K110" s="116"/>
      <c r="L110" s="89"/>
      <c r="M110" s="116"/>
      <c r="N110" s="89"/>
      <c r="O110" s="116"/>
      <c r="P110" s="89"/>
      <c r="Q110" s="116"/>
      <c r="R110" s="89"/>
      <c r="S110" s="116"/>
      <c r="T110" s="89"/>
      <c r="U110" s="116"/>
      <c r="V110" s="89"/>
      <c r="W110" s="116"/>
      <c r="X110" s="89"/>
      <c r="Y110" s="116"/>
      <c r="Z110" s="89"/>
      <c r="AA110" s="116"/>
      <c r="AB110" s="89"/>
      <c r="AC110" s="116"/>
      <c r="AD110" s="89"/>
      <c r="AE110" s="116"/>
      <c r="AF110" s="89"/>
      <c r="AG110" s="116"/>
      <c r="AH110" s="89"/>
    </row>
    <row r="111" spans="1:34" ht="11.25" customHeight="1" x14ac:dyDescent="0.25">
      <c r="A111" s="600"/>
      <c r="B111" s="600"/>
      <c r="C111" s="600"/>
      <c r="D111" s="600"/>
      <c r="E111" s="600"/>
      <c r="F111" s="600"/>
      <c r="G111" s="274"/>
      <c r="H111" s="89"/>
      <c r="I111" s="116"/>
      <c r="J111" s="89"/>
      <c r="K111" s="116"/>
      <c r="L111" s="89"/>
      <c r="M111" s="116"/>
      <c r="N111" s="89"/>
      <c r="O111" s="116"/>
      <c r="P111" s="89"/>
      <c r="Q111" s="116"/>
      <c r="R111" s="89"/>
      <c r="S111" s="116"/>
      <c r="T111" s="89"/>
      <c r="U111" s="116"/>
      <c r="V111" s="89"/>
      <c r="W111" s="116"/>
      <c r="X111" s="89"/>
      <c r="Y111" s="116"/>
      <c r="Z111" s="89"/>
      <c r="AA111" s="116"/>
      <c r="AB111" s="89"/>
      <c r="AC111" s="116"/>
      <c r="AD111" s="89"/>
      <c r="AE111" s="116"/>
      <c r="AF111" s="89"/>
      <c r="AG111" s="116"/>
      <c r="AH111" s="89"/>
    </row>
    <row r="112" spans="1:34" ht="11.25" customHeight="1" x14ac:dyDescent="0.25">
      <c r="A112" s="600"/>
      <c r="B112" s="600"/>
      <c r="C112" s="600"/>
      <c r="D112" s="600"/>
      <c r="E112" s="600"/>
      <c r="F112" s="600"/>
      <c r="G112" s="274"/>
      <c r="H112" s="89"/>
      <c r="I112" s="116"/>
      <c r="J112" s="89"/>
      <c r="K112" s="116"/>
      <c r="L112" s="89"/>
      <c r="M112" s="116"/>
      <c r="N112" s="89"/>
      <c r="O112" s="116"/>
      <c r="P112" s="89"/>
      <c r="Q112" s="116"/>
      <c r="R112" s="89"/>
      <c r="S112" s="116"/>
      <c r="T112" s="89"/>
      <c r="U112" s="116"/>
      <c r="V112" s="89"/>
      <c r="W112" s="116"/>
      <c r="X112" s="89"/>
      <c r="Y112" s="116"/>
      <c r="Z112" s="89"/>
      <c r="AA112" s="116"/>
      <c r="AB112" s="89"/>
      <c r="AC112" s="116"/>
      <c r="AD112" s="89"/>
      <c r="AE112" s="116"/>
      <c r="AF112" s="89"/>
      <c r="AG112" s="116"/>
      <c r="AH112" s="89"/>
    </row>
    <row r="113" spans="1:34" ht="11.25" customHeight="1" x14ac:dyDescent="0.25">
      <c r="A113" s="600"/>
      <c r="B113" s="600"/>
      <c r="C113" s="600"/>
      <c r="D113" s="600"/>
      <c r="E113" s="600"/>
      <c r="F113" s="600"/>
      <c r="G113" s="274"/>
      <c r="H113" s="89"/>
      <c r="I113" s="116"/>
      <c r="J113" s="89"/>
      <c r="K113" s="116"/>
      <c r="L113" s="89"/>
      <c r="M113" s="116"/>
      <c r="N113" s="89"/>
      <c r="O113" s="116"/>
      <c r="P113" s="89"/>
      <c r="Q113" s="116"/>
      <c r="R113" s="89"/>
      <c r="S113" s="116"/>
      <c r="T113" s="89"/>
      <c r="U113" s="116"/>
      <c r="V113" s="89"/>
      <c r="W113" s="116"/>
      <c r="X113" s="89"/>
      <c r="Y113" s="116"/>
      <c r="Z113" s="89"/>
      <c r="AA113" s="116"/>
      <c r="AB113" s="89"/>
      <c r="AC113" s="116"/>
      <c r="AD113" s="89"/>
      <c r="AE113" s="116"/>
      <c r="AF113" s="89"/>
      <c r="AG113" s="116"/>
      <c r="AH113" s="89"/>
    </row>
    <row r="114" spans="1:34" ht="11.25" customHeight="1" x14ac:dyDescent="0.25">
      <c r="A114" s="600"/>
      <c r="B114" s="600"/>
      <c r="C114" s="600"/>
      <c r="D114" s="600"/>
      <c r="E114" s="600"/>
      <c r="F114" s="600"/>
      <c r="G114" s="274"/>
      <c r="H114" s="89"/>
      <c r="I114" s="116"/>
      <c r="J114" s="89"/>
      <c r="K114" s="116"/>
      <c r="L114" s="89"/>
      <c r="M114" s="116"/>
      <c r="N114" s="89"/>
      <c r="O114" s="116"/>
      <c r="P114" s="89"/>
      <c r="Q114" s="116"/>
      <c r="R114" s="89"/>
      <c r="S114" s="116"/>
      <c r="T114" s="89"/>
      <c r="U114" s="116"/>
      <c r="V114" s="89"/>
      <c r="W114" s="116"/>
      <c r="X114" s="89"/>
      <c r="Y114" s="116"/>
      <c r="Z114" s="89"/>
      <c r="AA114" s="116"/>
      <c r="AB114" s="89"/>
      <c r="AC114" s="116"/>
      <c r="AD114" s="89"/>
      <c r="AE114" s="116"/>
      <c r="AF114" s="89"/>
      <c r="AG114" s="116"/>
      <c r="AH114" s="89"/>
    </row>
    <row r="115" spans="1:34" ht="11.25" customHeight="1" x14ac:dyDescent="0.25">
      <c r="A115" s="600"/>
      <c r="B115" s="600"/>
      <c r="C115" s="600"/>
      <c r="D115" s="600"/>
      <c r="E115" s="600"/>
      <c r="F115" s="600"/>
      <c r="G115" s="274"/>
      <c r="H115" s="89"/>
      <c r="I115" s="116"/>
      <c r="J115" s="89"/>
      <c r="K115" s="116"/>
      <c r="L115" s="89"/>
      <c r="M115" s="116"/>
      <c r="N115" s="89"/>
      <c r="O115" s="116"/>
      <c r="P115" s="89"/>
      <c r="Q115" s="116"/>
      <c r="R115" s="89"/>
      <c r="S115" s="116"/>
      <c r="T115" s="89"/>
      <c r="U115" s="116"/>
      <c r="V115" s="89"/>
      <c r="W115" s="116"/>
      <c r="X115" s="89"/>
      <c r="Y115" s="116"/>
      <c r="Z115" s="89"/>
      <c r="AA115" s="116"/>
      <c r="AB115" s="89"/>
      <c r="AC115" s="116"/>
      <c r="AD115" s="89"/>
      <c r="AE115" s="116"/>
      <c r="AF115" s="89"/>
      <c r="AG115" s="116"/>
      <c r="AH115" s="89"/>
    </row>
    <row r="116" spans="1:34" ht="11.25" customHeight="1" x14ac:dyDescent="0.25">
      <c r="A116" s="600"/>
      <c r="B116" s="600"/>
      <c r="C116" s="600"/>
      <c r="D116" s="600"/>
      <c r="E116" s="600"/>
      <c r="F116" s="600"/>
      <c r="G116" s="274"/>
      <c r="H116" s="89"/>
      <c r="I116" s="116"/>
      <c r="J116" s="89"/>
      <c r="K116" s="116"/>
      <c r="L116" s="89"/>
      <c r="M116" s="116"/>
      <c r="N116" s="89"/>
      <c r="O116" s="116"/>
      <c r="P116" s="89"/>
      <c r="Q116" s="116"/>
      <c r="R116" s="89"/>
      <c r="S116" s="116"/>
      <c r="T116" s="89"/>
      <c r="U116" s="116"/>
      <c r="V116" s="89"/>
      <c r="W116" s="116"/>
      <c r="X116" s="89"/>
      <c r="Y116" s="116"/>
      <c r="Z116" s="89"/>
      <c r="AA116" s="116"/>
      <c r="AB116" s="89"/>
      <c r="AC116" s="116"/>
      <c r="AD116" s="89"/>
      <c r="AE116" s="116"/>
      <c r="AF116" s="89"/>
      <c r="AG116" s="116"/>
      <c r="AH116" s="89"/>
    </row>
    <row r="117" spans="1:34" ht="11.25" customHeight="1" x14ac:dyDescent="0.25"/>
    <row r="118" spans="1:34" ht="44.25" customHeight="1" x14ac:dyDescent="0.25">
      <c r="A118" s="611" t="s">
        <v>76</v>
      </c>
      <c r="B118" s="611"/>
      <c r="C118" s="611"/>
      <c r="D118" s="612" t="s">
        <v>77</v>
      </c>
      <c r="E118" s="612"/>
      <c r="F118" s="612"/>
      <c r="G118" s="607"/>
      <c r="H118" s="607"/>
      <c r="I118" s="601"/>
      <c r="J118" s="601"/>
      <c r="K118" s="601"/>
      <c r="L118" s="601"/>
      <c r="M118" s="601"/>
      <c r="N118" s="601"/>
      <c r="O118" s="601"/>
      <c r="P118" s="601"/>
      <c r="Q118" s="601"/>
      <c r="R118" s="601"/>
      <c r="S118" s="601"/>
      <c r="T118" s="601"/>
      <c r="U118" s="601"/>
      <c r="V118" s="601"/>
      <c r="W118" s="601"/>
      <c r="X118" s="601"/>
      <c r="Y118" s="601"/>
      <c r="Z118" s="601"/>
      <c r="AA118" s="601"/>
      <c r="AB118" s="601"/>
      <c r="AC118" s="601"/>
      <c r="AD118" s="601"/>
      <c r="AE118" s="601"/>
      <c r="AF118" s="601"/>
      <c r="AG118" s="601"/>
      <c r="AH118" s="601"/>
    </row>
    <row r="119" spans="1:34" ht="5.25" customHeight="1" x14ac:dyDescent="0.25">
      <c r="A119" s="605" t="s">
        <v>350</v>
      </c>
      <c r="B119" s="606"/>
      <c r="C119" s="606"/>
      <c r="D119" s="606"/>
      <c r="E119" s="606"/>
      <c r="F119" s="606"/>
      <c r="G119" s="608"/>
      <c r="H119" s="608"/>
      <c r="I119" s="602"/>
      <c r="J119" s="602"/>
      <c r="K119" s="602"/>
      <c r="L119" s="602"/>
      <c r="M119" s="602"/>
      <c r="N119" s="602"/>
      <c r="O119" s="602"/>
      <c r="P119" s="602"/>
      <c r="Q119" s="602"/>
      <c r="R119" s="602"/>
      <c r="S119" s="602"/>
      <c r="T119" s="602"/>
      <c r="U119" s="602"/>
      <c r="V119" s="602"/>
      <c r="W119" s="602"/>
      <c r="X119" s="602"/>
      <c r="Y119" s="602"/>
      <c r="Z119" s="602"/>
      <c r="AA119" s="602"/>
      <c r="AB119" s="602"/>
      <c r="AC119" s="602"/>
      <c r="AD119" s="602"/>
      <c r="AE119" s="602"/>
      <c r="AF119" s="602"/>
      <c r="AG119" s="602"/>
      <c r="AH119" s="602"/>
    </row>
    <row r="120" spans="1:34" ht="11.25" customHeight="1" x14ac:dyDescent="0.25">
      <c r="A120" s="610" t="s">
        <v>137</v>
      </c>
      <c r="B120" s="610"/>
      <c r="C120" s="610"/>
      <c r="D120" s="610"/>
      <c r="E120" s="610"/>
      <c r="F120" s="610"/>
      <c r="G120" s="618"/>
      <c r="H120" s="618"/>
      <c r="I120" s="614"/>
      <c r="J120" s="614"/>
      <c r="K120" s="617"/>
      <c r="L120" s="617"/>
      <c r="M120" s="617"/>
      <c r="N120" s="617"/>
      <c r="O120" s="617"/>
      <c r="P120" s="617"/>
      <c r="Q120" s="614"/>
      <c r="R120" s="614"/>
      <c r="S120" s="614"/>
      <c r="T120" s="614"/>
      <c r="U120" s="614"/>
      <c r="V120" s="614"/>
      <c r="W120" s="614"/>
      <c r="X120" s="614"/>
      <c r="Y120" s="614"/>
      <c r="Z120" s="614"/>
      <c r="AA120" s="614"/>
      <c r="AB120" s="614"/>
      <c r="AC120" s="614"/>
      <c r="AD120" s="614"/>
      <c r="AE120" s="614"/>
      <c r="AF120" s="614"/>
      <c r="AG120" s="614"/>
      <c r="AH120" s="614"/>
    </row>
    <row r="121" spans="1:34" ht="11.25" customHeight="1" x14ac:dyDescent="0.25">
      <c r="A121" s="609" t="s">
        <v>75</v>
      </c>
      <c r="B121" s="609"/>
      <c r="C121" s="609"/>
      <c r="D121" s="609"/>
      <c r="E121" s="609"/>
      <c r="F121" s="609"/>
      <c r="G121" s="619"/>
      <c r="H121" s="619"/>
      <c r="I121" s="613"/>
      <c r="J121" s="613"/>
      <c r="K121" s="613"/>
      <c r="L121" s="613"/>
      <c r="M121" s="613"/>
      <c r="N121" s="613"/>
      <c r="O121" s="613"/>
      <c r="P121" s="613"/>
      <c r="Q121" s="613"/>
      <c r="R121" s="613"/>
      <c r="S121" s="613"/>
      <c r="T121" s="613"/>
      <c r="U121" s="613"/>
      <c r="V121" s="613"/>
      <c r="W121" s="613"/>
      <c r="X121" s="613"/>
      <c r="Y121" s="613"/>
      <c r="Z121" s="613"/>
      <c r="AA121" s="613"/>
      <c r="AB121" s="613"/>
      <c r="AC121" s="613"/>
      <c r="AD121" s="613"/>
      <c r="AE121" s="613"/>
      <c r="AF121" s="613"/>
      <c r="AG121" s="613"/>
      <c r="AH121" s="613"/>
    </row>
    <row r="122" spans="1:34" ht="11.25" customHeight="1" x14ac:dyDescent="0.25">
      <c r="A122" s="600"/>
      <c r="B122" s="600"/>
      <c r="C122" s="600"/>
      <c r="D122" s="600"/>
      <c r="E122" s="600"/>
      <c r="F122" s="600"/>
      <c r="G122" s="274"/>
      <c r="H122" s="89"/>
      <c r="I122" s="116"/>
      <c r="J122" s="89"/>
      <c r="K122" s="116"/>
      <c r="L122" s="89"/>
      <c r="M122" s="116"/>
      <c r="N122" s="89"/>
      <c r="O122" s="116"/>
      <c r="P122" s="89"/>
      <c r="Q122" s="116"/>
      <c r="R122" s="89"/>
      <c r="S122" s="116"/>
      <c r="T122" s="89"/>
      <c r="U122" s="116"/>
      <c r="V122" s="89"/>
      <c r="W122" s="116"/>
      <c r="X122" s="89"/>
      <c r="Y122" s="116"/>
      <c r="Z122" s="89"/>
      <c r="AA122" s="116"/>
      <c r="AB122" s="89"/>
      <c r="AC122" s="116"/>
      <c r="AD122" s="89"/>
      <c r="AE122" s="116"/>
      <c r="AF122" s="89"/>
      <c r="AG122" s="116"/>
      <c r="AH122" s="89"/>
    </row>
    <row r="123" spans="1:34" ht="11.25" customHeight="1" x14ac:dyDescent="0.25">
      <c r="A123" s="600"/>
      <c r="B123" s="600"/>
      <c r="C123" s="600"/>
      <c r="D123" s="600"/>
      <c r="E123" s="600"/>
      <c r="F123" s="600"/>
      <c r="G123" s="274"/>
      <c r="H123" s="89"/>
      <c r="I123" s="116"/>
      <c r="J123" s="89"/>
      <c r="K123" s="116"/>
      <c r="L123" s="89"/>
      <c r="M123" s="116"/>
      <c r="N123" s="89"/>
      <c r="O123" s="116"/>
      <c r="P123" s="89"/>
      <c r="Q123" s="116"/>
      <c r="R123" s="89"/>
      <c r="S123" s="116"/>
      <c r="T123" s="89"/>
      <c r="U123" s="116"/>
      <c r="V123" s="89"/>
      <c r="W123" s="116"/>
      <c r="X123" s="89"/>
      <c r="Y123" s="116"/>
      <c r="Z123" s="89"/>
      <c r="AA123" s="116"/>
      <c r="AB123" s="89"/>
      <c r="AC123" s="116"/>
      <c r="AD123" s="89"/>
      <c r="AE123" s="116"/>
      <c r="AF123" s="89"/>
      <c r="AG123" s="116"/>
      <c r="AH123" s="89"/>
    </row>
    <row r="124" spans="1:34" ht="11.25" customHeight="1" x14ac:dyDescent="0.25">
      <c r="A124" s="600"/>
      <c r="B124" s="600"/>
      <c r="C124" s="600"/>
      <c r="D124" s="600"/>
      <c r="E124" s="600"/>
      <c r="F124" s="600"/>
      <c r="G124" s="274"/>
      <c r="H124" s="89"/>
      <c r="I124" s="116"/>
      <c r="J124" s="89"/>
      <c r="K124" s="116"/>
      <c r="L124" s="89"/>
      <c r="M124" s="116"/>
      <c r="N124" s="89"/>
      <c r="O124" s="116"/>
      <c r="P124" s="89"/>
      <c r="Q124" s="116"/>
      <c r="R124" s="89"/>
      <c r="S124" s="116"/>
      <c r="T124" s="89"/>
      <c r="U124" s="116"/>
      <c r="V124" s="89"/>
      <c r="W124" s="116"/>
      <c r="X124" s="89"/>
      <c r="Y124" s="116"/>
      <c r="Z124" s="89"/>
      <c r="AA124" s="116"/>
      <c r="AB124" s="89"/>
      <c r="AC124" s="116"/>
      <c r="AD124" s="89"/>
      <c r="AE124" s="116"/>
      <c r="AF124" s="89"/>
      <c r="AG124" s="116"/>
      <c r="AH124" s="89"/>
    </row>
    <row r="125" spans="1:34" ht="11.25" customHeight="1" x14ac:dyDescent="0.25">
      <c r="A125" s="600"/>
      <c r="B125" s="600"/>
      <c r="C125" s="600"/>
      <c r="D125" s="600"/>
      <c r="E125" s="600"/>
      <c r="F125" s="600"/>
      <c r="G125" s="274"/>
      <c r="H125" s="89"/>
      <c r="I125" s="116"/>
      <c r="J125" s="89"/>
      <c r="K125" s="116"/>
      <c r="L125" s="89"/>
      <c r="M125" s="116"/>
      <c r="N125" s="89"/>
      <c r="O125" s="116"/>
      <c r="P125" s="89"/>
      <c r="Q125" s="116"/>
      <c r="R125" s="89"/>
      <c r="S125" s="116"/>
      <c r="T125" s="89"/>
      <c r="U125" s="116"/>
      <c r="V125" s="89"/>
      <c r="W125" s="116"/>
      <c r="X125" s="89"/>
      <c r="Y125" s="116"/>
      <c r="Z125" s="89"/>
      <c r="AA125" s="116"/>
      <c r="AB125" s="89"/>
      <c r="AC125" s="116"/>
      <c r="AD125" s="89"/>
      <c r="AE125" s="116"/>
      <c r="AF125" s="89"/>
      <c r="AG125" s="116"/>
      <c r="AH125" s="89"/>
    </row>
    <row r="126" spans="1:34" ht="11.25" customHeight="1" x14ac:dyDescent="0.25">
      <c r="A126" s="600"/>
      <c r="B126" s="600"/>
      <c r="C126" s="600"/>
      <c r="D126" s="600"/>
      <c r="E126" s="600"/>
      <c r="F126" s="600"/>
      <c r="G126" s="274"/>
      <c r="H126" s="89"/>
      <c r="I126" s="116"/>
      <c r="J126" s="89"/>
      <c r="K126" s="116"/>
      <c r="L126" s="89"/>
      <c r="M126" s="116"/>
      <c r="N126" s="89"/>
      <c r="O126" s="116"/>
      <c r="P126" s="89"/>
      <c r="Q126" s="116"/>
      <c r="R126" s="89"/>
      <c r="S126" s="116"/>
      <c r="T126" s="89"/>
      <c r="U126" s="116"/>
      <c r="V126" s="89"/>
      <c r="W126" s="116"/>
      <c r="X126" s="89"/>
      <c r="Y126" s="116"/>
      <c r="Z126" s="89"/>
      <c r="AA126" s="116"/>
      <c r="AB126" s="89"/>
      <c r="AC126" s="116"/>
      <c r="AD126" s="89"/>
      <c r="AE126" s="116"/>
      <c r="AF126" s="89"/>
      <c r="AG126" s="116"/>
      <c r="AH126" s="89"/>
    </row>
    <row r="127" spans="1:34" ht="11.25" customHeight="1" x14ac:dyDescent="0.25">
      <c r="A127" s="600"/>
      <c r="B127" s="600"/>
      <c r="C127" s="600"/>
      <c r="D127" s="600"/>
      <c r="E127" s="600"/>
      <c r="F127" s="600"/>
      <c r="G127" s="274"/>
      <c r="H127" s="89"/>
      <c r="I127" s="116"/>
      <c r="J127" s="89"/>
      <c r="K127" s="116"/>
      <c r="L127" s="89"/>
      <c r="M127" s="116"/>
      <c r="N127" s="89"/>
      <c r="O127" s="116"/>
      <c r="P127" s="89"/>
      <c r="Q127" s="116"/>
      <c r="R127" s="89"/>
      <c r="S127" s="116"/>
      <c r="T127" s="89"/>
      <c r="U127" s="116"/>
      <c r="V127" s="89"/>
      <c r="W127" s="116"/>
      <c r="X127" s="89"/>
      <c r="Y127" s="116"/>
      <c r="Z127" s="89"/>
      <c r="AA127" s="116"/>
      <c r="AB127" s="89"/>
      <c r="AC127" s="116"/>
      <c r="AD127" s="89"/>
      <c r="AE127" s="116"/>
      <c r="AF127" s="89"/>
      <c r="AG127" s="116"/>
      <c r="AH127" s="89"/>
    </row>
    <row r="128" spans="1:34" ht="11.25" customHeight="1" x14ac:dyDescent="0.25">
      <c r="A128" s="600"/>
      <c r="B128" s="600"/>
      <c r="C128" s="600"/>
      <c r="D128" s="600"/>
      <c r="E128" s="600"/>
      <c r="F128" s="600"/>
      <c r="G128" s="274"/>
      <c r="H128" s="89"/>
      <c r="I128" s="116"/>
      <c r="J128" s="89"/>
      <c r="K128" s="116"/>
      <c r="L128" s="89"/>
      <c r="M128" s="116"/>
      <c r="N128" s="89"/>
      <c r="O128" s="116"/>
      <c r="P128" s="89"/>
      <c r="Q128" s="116"/>
      <c r="R128" s="89"/>
      <c r="S128" s="116"/>
      <c r="T128" s="89"/>
      <c r="U128" s="116"/>
      <c r="V128" s="89"/>
      <c r="W128" s="116"/>
      <c r="X128" s="89"/>
      <c r="Y128" s="116"/>
      <c r="Z128" s="89"/>
      <c r="AA128" s="116"/>
      <c r="AB128" s="89"/>
      <c r="AC128" s="116"/>
      <c r="AD128" s="89"/>
      <c r="AE128" s="116"/>
      <c r="AF128" s="89"/>
      <c r="AG128" s="116"/>
      <c r="AH128" s="89"/>
    </row>
    <row r="129" spans="1:34" ht="11.25" customHeight="1" x14ac:dyDescent="0.25">
      <c r="A129" s="600"/>
      <c r="B129" s="600"/>
      <c r="C129" s="600"/>
      <c r="D129" s="600"/>
      <c r="E129" s="600"/>
      <c r="F129" s="600"/>
      <c r="G129" s="274"/>
      <c r="H129" s="89"/>
      <c r="I129" s="116"/>
      <c r="J129" s="89"/>
      <c r="K129" s="116"/>
      <c r="L129" s="89"/>
      <c r="M129" s="116"/>
      <c r="N129" s="89"/>
      <c r="O129" s="116"/>
      <c r="P129" s="89"/>
      <c r="Q129" s="116"/>
      <c r="R129" s="89"/>
      <c r="S129" s="116"/>
      <c r="T129" s="89"/>
      <c r="U129" s="116"/>
      <c r="V129" s="89"/>
      <c r="W129" s="116"/>
      <c r="X129" s="89"/>
      <c r="Y129" s="116"/>
      <c r="Z129" s="89"/>
      <c r="AA129" s="116"/>
      <c r="AB129" s="89"/>
      <c r="AC129" s="116"/>
      <c r="AD129" s="89"/>
      <c r="AE129" s="116"/>
      <c r="AF129" s="89"/>
      <c r="AG129" s="116"/>
      <c r="AH129" s="89"/>
    </row>
    <row r="130" spans="1:34" ht="11.25" customHeight="1" x14ac:dyDescent="0.25">
      <c r="A130" s="600"/>
      <c r="B130" s="600"/>
      <c r="C130" s="600"/>
      <c r="D130" s="600"/>
      <c r="E130" s="600"/>
      <c r="F130" s="600"/>
      <c r="G130" s="274"/>
      <c r="H130" s="89"/>
      <c r="I130" s="116"/>
      <c r="J130" s="89"/>
      <c r="K130" s="116"/>
      <c r="L130" s="89"/>
      <c r="M130" s="116"/>
      <c r="N130" s="89"/>
      <c r="O130" s="116"/>
      <c r="P130" s="89"/>
      <c r="Q130" s="116"/>
      <c r="R130" s="89"/>
      <c r="S130" s="116"/>
      <c r="T130" s="89"/>
      <c r="U130" s="116"/>
      <c r="V130" s="89"/>
      <c r="W130" s="116"/>
      <c r="X130" s="89"/>
      <c r="Y130" s="116"/>
      <c r="Z130" s="89"/>
      <c r="AA130" s="116"/>
      <c r="AB130" s="89"/>
      <c r="AC130" s="116"/>
      <c r="AD130" s="89"/>
      <c r="AE130" s="116"/>
      <c r="AF130" s="89"/>
      <c r="AG130" s="116"/>
      <c r="AH130" s="89"/>
    </row>
    <row r="131" spans="1:34" ht="11.25" customHeight="1" x14ac:dyDescent="0.25">
      <c r="A131" s="600"/>
      <c r="B131" s="600"/>
      <c r="C131" s="600"/>
      <c r="D131" s="600"/>
      <c r="E131" s="600"/>
      <c r="F131" s="600"/>
      <c r="G131" s="274"/>
      <c r="H131" s="89"/>
      <c r="I131" s="116"/>
      <c r="J131" s="89"/>
      <c r="K131" s="116"/>
      <c r="L131" s="89"/>
      <c r="M131" s="116"/>
      <c r="N131" s="89"/>
      <c r="O131" s="116"/>
      <c r="P131" s="89"/>
      <c r="Q131" s="116"/>
      <c r="R131" s="89"/>
      <c r="S131" s="116"/>
      <c r="T131" s="89"/>
      <c r="U131" s="116"/>
      <c r="V131" s="89"/>
      <c r="W131" s="116"/>
      <c r="X131" s="89"/>
      <c r="Y131" s="116"/>
      <c r="Z131" s="89"/>
      <c r="AA131" s="116"/>
      <c r="AB131" s="89"/>
      <c r="AC131" s="116"/>
      <c r="AD131" s="89"/>
      <c r="AE131" s="116"/>
      <c r="AF131" s="89"/>
      <c r="AG131" s="116"/>
      <c r="AH131" s="89"/>
    </row>
    <row r="132" spans="1:34" ht="11.25" customHeight="1" x14ac:dyDescent="0.25">
      <c r="A132" s="600"/>
      <c r="B132" s="600"/>
      <c r="C132" s="600"/>
      <c r="D132" s="600"/>
      <c r="E132" s="600"/>
      <c r="F132" s="600"/>
      <c r="G132" s="274"/>
      <c r="H132" s="89"/>
      <c r="I132" s="116"/>
      <c r="J132" s="89"/>
      <c r="K132" s="116"/>
      <c r="L132" s="89"/>
      <c r="M132" s="116"/>
      <c r="N132" s="89"/>
      <c r="O132" s="116"/>
      <c r="P132" s="89"/>
      <c r="Q132" s="116"/>
      <c r="R132" s="89"/>
      <c r="S132" s="116"/>
      <c r="T132" s="89"/>
      <c r="U132" s="116"/>
      <c r="V132" s="89"/>
      <c r="W132" s="116"/>
      <c r="X132" s="89"/>
      <c r="Y132" s="116"/>
      <c r="Z132" s="89"/>
      <c r="AA132" s="116"/>
      <c r="AB132" s="89"/>
      <c r="AC132" s="116"/>
      <c r="AD132" s="89"/>
      <c r="AE132" s="116"/>
      <c r="AF132" s="89"/>
      <c r="AG132" s="116"/>
      <c r="AH132" s="89"/>
    </row>
    <row r="133" spans="1:34" ht="11.25" customHeight="1" x14ac:dyDescent="0.25">
      <c r="A133" s="600"/>
      <c r="B133" s="600"/>
      <c r="C133" s="600"/>
      <c r="D133" s="600"/>
      <c r="E133" s="600"/>
      <c r="F133" s="600"/>
      <c r="G133" s="274"/>
      <c r="H133" s="89"/>
      <c r="I133" s="116"/>
      <c r="J133" s="89"/>
      <c r="K133" s="116"/>
      <c r="L133" s="89"/>
      <c r="M133" s="116"/>
      <c r="N133" s="89"/>
      <c r="O133" s="116"/>
      <c r="P133" s="89"/>
      <c r="Q133" s="116"/>
      <c r="R133" s="89"/>
      <c r="S133" s="116"/>
      <c r="T133" s="89"/>
      <c r="U133" s="116"/>
      <c r="V133" s="89"/>
      <c r="W133" s="116"/>
      <c r="X133" s="89"/>
      <c r="Y133" s="116"/>
      <c r="Z133" s="89"/>
      <c r="AA133" s="116"/>
      <c r="AB133" s="89"/>
      <c r="AC133" s="116"/>
      <c r="AD133" s="89"/>
      <c r="AE133" s="116"/>
      <c r="AF133" s="89"/>
      <c r="AG133" s="116"/>
      <c r="AH133" s="89"/>
    </row>
    <row r="134" spans="1:34" ht="11.25" customHeight="1" x14ac:dyDescent="0.25">
      <c r="A134" s="600"/>
      <c r="B134" s="600"/>
      <c r="C134" s="600"/>
      <c r="D134" s="600"/>
      <c r="E134" s="600"/>
      <c r="F134" s="600"/>
      <c r="G134" s="274"/>
      <c r="H134" s="89"/>
      <c r="I134" s="116"/>
      <c r="J134" s="89"/>
      <c r="K134" s="116"/>
      <c r="L134" s="89"/>
      <c r="M134" s="116"/>
      <c r="N134" s="89"/>
      <c r="O134" s="116"/>
      <c r="P134" s="89"/>
      <c r="Q134" s="116"/>
      <c r="R134" s="89"/>
      <c r="S134" s="116"/>
      <c r="T134" s="89"/>
      <c r="U134" s="116"/>
      <c r="V134" s="89"/>
      <c r="W134" s="116"/>
      <c r="X134" s="89"/>
      <c r="Y134" s="116"/>
      <c r="Z134" s="89"/>
      <c r="AA134" s="116"/>
      <c r="AB134" s="89"/>
      <c r="AC134" s="116"/>
      <c r="AD134" s="89"/>
      <c r="AE134" s="116"/>
      <c r="AF134" s="89"/>
      <c r="AG134" s="116"/>
      <c r="AH134" s="89"/>
    </row>
    <row r="135" spans="1:34" ht="11.25" customHeight="1" x14ac:dyDescent="0.25">
      <c r="A135" s="600"/>
      <c r="B135" s="600"/>
      <c r="C135" s="600"/>
      <c r="D135" s="600"/>
      <c r="E135" s="600"/>
      <c r="F135" s="600"/>
      <c r="G135" s="274"/>
      <c r="H135" s="89"/>
      <c r="I135" s="116"/>
      <c r="J135" s="89"/>
      <c r="K135" s="116"/>
      <c r="L135" s="89"/>
      <c r="M135" s="116"/>
      <c r="N135" s="89"/>
      <c r="O135" s="116"/>
      <c r="P135" s="89"/>
      <c r="Q135" s="116"/>
      <c r="R135" s="89"/>
      <c r="S135" s="116"/>
      <c r="T135" s="89"/>
      <c r="U135" s="116"/>
      <c r="V135" s="89"/>
      <c r="W135" s="116"/>
      <c r="X135" s="89"/>
      <c r="Y135" s="116"/>
      <c r="Z135" s="89"/>
      <c r="AA135" s="116"/>
      <c r="AB135" s="89"/>
      <c r="AC135" s="116"/>
      <c r="AD135" s="89"/>
      <c r="AE135" s="116"/>
      <c r="AF135" s="89"/>
      <c r="AG135" s="116"/>
      <c r="AH135" s="89"/>
    </row>
    <row r="136" spans="1:34" ht="11.25" customHeight="1" x14ac:dyDescent="0.25">
      <c r="A136" s="600"/>
      <c r="B136" s="600"/>
      <c r="C136" s="600"/>
      <c r="D136" s="600"/>
      <c r="E136" s="600"/>
      <c r="F136" s="600"/>
      <c r="G136" s="274"/>
      <c r="H136" s="89"/>
      <c r="I136" s="116"/>
      <c r="J136" s="89"/>
      <c r="K136" s="116"/>
      <c r="L136" s="89"/>
      <c r="M136" s="116"/>
      <c r="N136" s="89"/>
      <c r="O136" s="116"/>
      <c r="P136" s="89"/>
      <c r="Q136" s="116"/>
      <c r="R136" s="89"/>
      <c r="S136" s="116"/>
      <c r="T136" s="89"/>
      <c r="U136" s="116"/>
      <c r="V136" s="89"/>
      <c r="W136" s="116"/>
      <c r="X136" s="89"/>
      <c r="Y136" s="116"/>
      <c r="Z136" s="89"/>
      <c r="AA136" s="116"/>
      <c r="AB136" s="89"/>
      <c r="AC136" s="116"/>
      <c r="AD136" s="89"/>
      <c r="AE136" s="116"/>
      <c r="AF136" s="89"/>
      <c r="AG136" s="116"/>
      <c r="AH136" s="89"/>
    </row>
    <row r="137" spans="1:34" ht="11.25" customHeight="1" x14ac:dyDescent="0.25">
      <c r="A137" s="600"/>
      <c r="B137" s="600"/>
      <c r="C137" s="600"/>
      <c r="D137" s="600"/>
      <c r="E137" s="600"/>
      <c r="F137" s="600"/>
      <c r="G137" s="274"/>
      <c r="H137" s="89"/>
      <c r="I137" s="116"/>
      <c r="J137" s="89"/>
      <c r="K137" s="116"/>
      <c r="L137" s="89"/>
      <c r="M137" s="116"/>
      <c r="N137" s="89"/>
      <c r="O137" s="116"/>
      <c r="P137" s="89"/>
      <c r="Q137" s="116"/>
      <c r="R137" s="89"/>
      <c r="S137" s="116"/>
      <c r="T137" s="89"/>
      <c r="U137" s="116"/>
      <c r="V137" s="89"/>
      <c r="W137" s="116"/>
      <c r="X137" s="89"/>
      <c r="Y137" s="116"/>
      <c r="Z137" s="89"/>
      <c r="AA137" s="116"/>
      <c r="AB137" s="89"/>
      <c r="AC137" s="116"/>
      <c r="AD137" s="89"/>
      <c r="AE137" s="116"/>
      <c r="AF137" s="89"/>
      <c r="AG137" s="116"/>
      <c r="AH137" s="89"/>
    </row>
    <row r="138" spans="1:34" ht="11.25" customHeight="1" x14ac:dyDescent="0.25">
      <c r="A138" s="600"/>
      <c r="B138" s="600"/>
      <c r="C138" s="600"/>
      <c r="D138" s="600"/>
      <c r="E138" s="600"/>
      <c r="F138" s="600"/>
      <c r="G138" s="274"/>
      <c r="H138" s="89"/>
      <c r="I138" s="116"/>
      <c r="J138" s="89"/>
      <c r="K138" s="116"/>
      <c r="L138" s="89"/>
      <c r="M138" s="116"/>
      <c r="N138" s="89"/>
      <c r="O138" s="116"/>
      <c r="P138" s="89"/>
      <c r="Q138" s="116"/>
      <c r="R138" s="89"/>
      <c r="S138" s="116"/>
      <c r="T138" s="89"/>
      <c r="U138" s="116"/>
      <c r="V138" s="89"/>
      <c r="W138" s="116"/>
      <c r="X138" s="89"/>
      <c r="Y138" s="116"/>
      <c r="Z138" s="89"/>
      <c r="AA138" s="116"/>
      <c r="AB138" s="89"/>
      <c r="AC138" s="116"/>
      <c r="AD138" s="89"/>
      <c r="AE138" s="116"/>
      <c r="AF138" s="89"/>
      <c r="AG138" s="116"/>
      <c r="AH138" s="89"/>
    </row>
    <row r="139" spans="1:34" ht="11.25" customHeight="1" x14ac:dyDescent="0.25">
      <c r="A139" s="600"/>
      <c r="B139" s="600"/>
      <c r="C139" s="600"/>
      <c r="D139" s="600"/>
      <c r="E139" s="600"/>
      <c r="F139" s="600"/>
      <c r="G139" s="274"/>
      <c r="H139" s="89"/>
      <c r="I139" s="116"/>
      <c r="J139" s="89"/>
      <c r="K139" s="116"/>
      <c r="L139" s="89"/>
      <c r="M139" s="116"/>
      <c r="N139" s="89"/>
      <c r="O139" s="116"/>
      <c r="P139" s="89"/>
      <c r="Q139" s="116"/>
      <c r="R139" s="89"/>
      <c r="S139" s="116"/>
      <c r="T139" s="89"/>
      <c r="U139" s="116"/>
      <c r="V139" s="89"/>
      <c r="W139" s="116"/>
      <c r="X139" s="89"/>
      <c r="Y139" s="116"/>
      <c r="Z139" s="89"/>
      <c r="AA139" s="116"/>
      <c r="AB139" s="89"/>
      <c r="AC139" s="116"/>
      <c r="AD139" s="89"/>
      <c r="AE139" s="116"/>
      <c r="AF139" s="89"/>
      <c r="AG139" s="116"/>
      <c r="AH139" s="89"/>
    </row>
    <row r="140" spans="1:34" ht="11.25" customHeight="1" x14ac:dyDescent="0.25">
      <c r="A140" s="600"/>
      <c r="B140" s="600"/>
      <c r="C140" s="600"/>
      <c r="D140" s="600"/>
      <c r="E140" s="600"/>
      <c r="F140" s="600"/>
      <c r="G140" s="274"/>
      <c r="H140" s="89"/>
      <c r="I140" s="116"/>
      <c r="J140" s="89"/>
      <c r="K140" s="116"/>
      <c r="L140" s="89"/>
      <c r="M140" s="116"/>
      <c r="N140" s="89"/>
      <c r="O140" s="116"/>
      <c r="P140" s="89"/>
      <c r="Q140" s="116"/>
      <c r="R140" s="89"/>
      <c r="S140" s="116"/>
      <c r="T140" s="89"/>
      <c r="U140" s="116"/>
      <c r="V140" s="89"/>
      <c r="W140" s="116"/>
      <c r="X140" s="89"/>
      <c r="Y140" s="116"/>
      <c r="Z140" s="89"/>
      <c r="AA140" s="116"/>
      <c r="AB140" s="89"/>
      <c r="AC140" s="116"/>
      <c r="AD140" s="89"/>
      <c r="AE140" s="116"/>
      <c r="AF140" s="89"/>
      <c r="AG140" s="116"/>
      <c r="AH140" s="89"/>
    </row>
    <row r="141" spans="1:34" ht="11.25" customHeight="1" x14ac:dyDescent="0.25">
      <c r="A141" s="600"/>
      <c r="B141" s="600"/>
      <c r="C141" s="600"/>
      <c r="D141" s="600"/>
      <c r="E141" s="600"/>
      <c r="F141" s="600"/>
      <c r="G141" s="274"/>
      <c r="H141" s="89"/>
      <c r="I141" s="116"/>
      <c r="J141" s="89"/>
      <c r="K141" s="116"/>
      <c r="L141" s="89"/>
      <c r="M141" s="116"/>
      <c r="N141" s="89"/>
      <c r="O141" s="116"/>
      <c r="P141" s="89"/>
      <c r="Q141" s="116"/>
      <c r="R141" s="89"/>
      <c r="S141" s="116"/>
      <c r="T141" s="89"/>
      <c r="U141" s="116"/>
      <c r="V141" s="89"/>
      <c r="W141" s="116"/>
      <c r="X141" s="89"/>
      <c r="Y141" s="116"/>
      <c r="Z141" s="89"/>
      <c r="AA141" s="116"/>
      <c r="AB141" s="89"/>
      <c r="AC141" s="116"/>
      <c r="AD141" s="89"/>
      <c r="AE141" s="116"/>
      <c r="AF141" s="89"/>
      <c r="AG141" s="116"/>
      <c r="AH141" s="89"/>
    </row>
    <row r="142" spans="1:34" ht="11.25" customHeight="1" x14ac:dyDescent="0.25">
      <c r="A142" s="600"/>
      <c r="B142" s="600"/>
      <c r="C142" s="600"/>
      <c r="D142" s="600"/>
      <c r="E142" s="600"/>
      <c r="F142" s="600"/>
      <c r="G142" s="274"/>
      <c r="H142" s="89"/>
      <c r="I142" s="116"/>
      <c r="J142" s="89"/>
      <c r="K142" s="116"/>
      <c r="L142" s="89"/>
      <c r="M142" s="116"/>
      <c r="N142" s="89"/>
      <c r="O142" s="116"/>
      <c r="P142" s="89"/>
      <c r="Q142" s="116"/>
      <c r="R142" s="89"/>
      <c r="S142" s="116"/>
      <c r="T142" s="89"/>
      <c r="U142" s="116"/>
      <c r="V142" s="89"/>
      <c r="W142" s="116"/>
      <c r="X142" s="89"/>
      <c r="Y142" s="116"/>
      <c r="Z142" s="89"/>
      <c r="AA142" s="116"/>
      <c r="AB142" s="89"/>
      <c r="AC142" s="116"/>
      <c r="AD142" s="89"/>
      <c r="AE142" s="116"/>
      <c r="AF142" s="89"/>
      <c r="AG142" s="116"/>
      <c r="AH142" s="89"/>
    </row>
    <row r="143" spans="1:34" ht="11.25" customHeight="1" x14ac:dyDescent="0.25">
      <c r="A143" s="600"/>
      <c r="B143" s="600"/>
      <c r="C143" s="600"/>
      <c r="D143" s="600"/>
      <c r="E143" s="600"/>
      <c r="F143" s="600"/>
      <c r="G143" s="274"/>
      <c r="H143" s="89"/>
      <c r="I143" s="116"/>
      <c r="J143" s="89"/>
      <c r="K143" s="116"/>
      <c r="L143" s="89"/>
      <c r="M143" s="116"/>
      <c r="N143" s="89"/>
      <c r="O143" s="116"/>
      <c r="P143" s="89"/>
      <c r="Q143" s="116"/>
      <c r="R143" s="89"/>
      <c r="S143" s="116"/>
      <c r="T143" s="89"/>
      <c r="U143" s="116"/>
      <c r="V143" s="89"/>
      <c r="W143" s="116"/>
      <c r="X143" s="89"/>
      <c r="Y143" s="116"/>
      <c r="Z143" s="89"/>
      <c r="AA143" s="116"/>
      <c r="AB143" s="89"/>
      <c r="AC143" s="116"/>
      <c r="AD143" s="89"/>
      <c r="AE143" s="116"/>
      <c r="AF143" s="89"/>
      <c r="AG143" s="116"/>
      <c r="AH143" s="89"/>
    </row>
    <row r="144" spans="1:34" ht="11.25" customHeight="1" x14ac:dyDescent="0.25">
      <c r="A144" s="600"/>
      <c r="B144" s="600"/>
      <c r="C144" s="600"/>
      <c r="D144" s="600"/>
      <c r="E144" s="600"/>
      <c r="F144" s="600"/>
      <c r="G144" s="274"/>
      <c r="H144" s="89"/>
      <c r="I144" s="116"/>
      <c r="J144" s="89"/>
      <c r="K144" s="116"/>
      <c r="L144" s="89"/>
      <c r="M144" s="116"/>
      <c r="N144" s="89"/>
      <c r="O144" s="116"/>
      <c r="P144" s="89"/>
      <c r="Q144" s="116"/>
      <c r="R144" s="89"/>
      <c r="S144" s="116"/>
      <c r="T144" s="89"/>
      <c r="U144" s="116"/>
      <c r="V144" s="89"/>
      <c r="W144" s="116"/>
      <c r="X144" s="89"/>
      <c r="Y144" s="116"/>
      <c r="Z144" s="89"/>
      <c r="AA144" s="116"/>
      <c r="AB144" s="89"/>
      <c r="AC144" s="116"/>
      <c r="AD144" s="89"/>
      <c r="AE144" s="116"/>
      <c r="AF144" s="89"/>
      <c r="AG144" s="116"/>
      <c r="AH144" s="89"/>
    </row>
    <row r="145" spans="1:34" ht="11.25" customHeight="1" x14ac:dyDescent="0.25">
      <c r="A145" s="600"/>
      <c r="B145" s="600"/>
      <c r="C145" s="600"/>
      <c r="D145" s="600"/>
      <c r="E145" s="600"/>
      <c r="F145" s="600"/>
      <c r="G145" s="274"/>
      <c r="H145" s="89"/>
      <c r="I145" s="116"/>
      <c r="J145" s="89"/>
      <c r="K145" s="116"/>
      <c r="L145" s="89"/>
      <c r="M145" s="116"/>
      <c r="N145" s="89"/>
      <c r="O145" s="116"/>
      <c r="P145" s="89"/>
      <c r="Q145" s="116"/>
      <c r="R145" s="89"/>
      <c r="S145" s="116"/>
      <c r="T145" s="89"/>
      <c r="U145" s="116"/>
      <c r="V145" s="89"/>
      <c r="W145" s="116"/>
      <c r="X145" s="89"/>
      <c r="Y145" s="116"/>
      <c r="Z145" s="89"/>
      <c r="AA145" s="116"/>
      <c r="AB145" s="89"/>
      <c r="AC145" s="116"/>
      <c r="AD145" s="89"/>
      <c r="AE145" s="116"/>
      <c r="AF145" s="89"/>
      <c r="AG145" s="116"/>
      <c r="AH145" s="89"/>
    </row>
    <row r="146" spans="1:34" ht="11.25" customHeight="1" x14ac:dyDescent="0.25">
      <c r="A146" s="600"/>
      <c r="B146" s="600"/>
      <c r="C146" s="600"/>
      <c r="D146" s="600"/>
      <c r="E146" s="600"/>
      <c r="F146" s="600"/>
      <c r="G146" s="274"/>
      <c r="H146" s="89"/>
      <c r="I146" s="116"/>
      <c r="J146" s="89"/>
      <c r="K146" s="116"/>
      <c r="L146" s="89"/>
      <c r="M146" s="116"/>
      <c r="N146" s="89"/>
      <c r="O146" s="116"/>
      <c r="P146" s="89"/>
      <c r="Q146" s="116"/>
      <c r="R146" s="89"/>
      <c r="S146" s="116"/>
      <c r="T146" s="89"/>
      <c r="U146" s="116"/>
      <c r="V146" s="89"/>
      <c r="W146" s="116"/>
      <c r="X146" s="89"/>
      <c r="Y146" s="116"/>
      <c r="Z146" s="89"/>
      <c r="AA146" s="116"/>
      <c r="AB146" s="89"/>
      <c r="AC146" s="116"/>
      <c r="AD146" s="89"/>
      <c r="AE146" s="116"/>
      <c r="AF146" s="89"/>
      <c r="AG146" s="116"/>
      <c r="AH146" s="89"/>
    </row>
    <row r="147" spans="1:34" ht="11.25" customHeight="1" x14ac:dyDescent="0.25">
      <c r="A147" s="600"/>
      <c r="B147" s="600"/>
      <c r="C147" s="600"/>
      <c r="D147" s="600"/>
      <c r="E147" s="600"/>
      <c r="F147" s="600"/>
      <c r="G147" s="274"/>
      <c r="H147" s="89"/>
      <c r="I147" s="116"/>
      <c r="J147" s="89"/>
      <c r="K147" s="116"/>
      <c r="L147" s="89"/>
      <c r="M147" s="116"/>
      <c r="N147" s="89"/>
      <c r="O147" s="116"/>
      <c r="P147" s="89"/>
      <c r="Q147" s="116"/>
      <c r="R147" s="89"/>
      <c r="S147" s="116"/>
      <c r="T147" s="89"/>
      <c r="U147" s="116"/>
      <c r="V147" s="89"/>
      <c r="W147" s="116"/>
      <c r="X147" s="89"/>
      <c r="Y147" s="116"/>
      <c r="Z147" s="89"/>
      <c r="AA147" s="116"/>
      <c r="AB147" s="89"/>
      <c r="AC147" s="116"/>
      <c r="AD147" s="89"/>
      <c r="AE147" s="116"/>
      <c r="AF147" s="89"/>
      <c r="AG147" s="116"/>
      <c r="AH147" s="89"/>
    </row>
    <row r="148" spans="1:34" ht="11.25" customHeight="1" x14ac:dyDescent="0.25">
      <c r="A148" s="600"/>
      <c r="B148" s="600"/>
      <c r="C148" s="600"/>
      <c r="D148" s="600"/>
      <c r="E148" s="600"/>
      <c r="F148" s="600"/>
      <c r="G148" s="274"/>
      <c r="H148" s="89"/>
      <c r="I148" s="116"/>
      <c r="J148" s="89"/>
      <c r="K148" s="116"/>
      <c r="L148" s="89"/>
      <c r="M148" s="116"/>
      <c r="N148" s="89"/>
      <c r="O148" s="116"/>
      <c r="P148" s="89"/>
      <c r="Q148" s="116"/>
      <c r="R148" s="89"/>
      <c r="S148" s="116"/>
      <c r="T148" s="89"/>
      <c r="U148" s="116"/>
      <c r="V148" s="89"/>
      <c r="W148" s="116"/>
      <c r="X148" s="89"/>
      <c r="Y148" s="116"/>
      <c r="Z148" s="89"/>
      <c r="AA148" s="116"/>
      <c r="AB148" s="89"/>
      <c r="AC148" s="116"/>
      <c r="AD148" s="89"/>
      <c r="AE148" s="116"/>
      <c r="AF148" s="89"/>
      <c r="AG148" s="116"/>
      <c r="AH148" s="89"/>
    </row>
    <row r="149" spans="1:34" ht="11.25" customHeight="1" x14ac:dyDescent="0.25">
      <c r="A149" s="600"/>
      <c r="B149" s="600"/>
      <c r="C149" s="600"/>
      <c r="D149" s="600"/>
      <c r="E149" s="600"/>
      <c r="F149" s="600"/>
      <c r="G149" s="274"/>
      <c r="H149" s="89"/>
      <c r="I149" s="116"/>
      <c r="J149" s="89"/>
      <c r="K149" s="116"/>
      <c r="L149" s="89"/>
      <c r="M149" s="116"/>
      <c r="N149" s="89"/>
      <c r="O149" s="116"/>
      <c r="P149" s="89"/>
      <c r="Q149" s="116"/>
      <c r="R149" s="89"/>
      <c r="S149" s="116"/>
      <c r="T149" s="89"/>
      <c r="U149" s="116"/>
      <c r="V149" s="89"/>
      <c r="W149" s="116"/>
      <c r="X149" s="89"/>
      <c r="Y149" s="116"/>
      <c r="Z149" s="89"/>
      <c r="AA149" s="116"/>
      <c r="AB149" s="89"/>
      <c r="AC149" s="116"/>
      <c r="AD149" s="89"/>
      <c r="AE149" s="116"/>
      <c r="AF149" s="89"/>
      <c r="AG149" s="116"/>
      <c r="AH149" s="89"/>
    </row>
    <row r="150" spans="1:34" ht="11.25" customHeight="1" x14ac:dyDescent="0.25">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spans="1:34" ht="11.25" customHeight="1" x14ac:dyDescent="0.25">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spans="1:34" ht="11.25" customHeight="1" x14ac:dyDescent="0.25"/>
    <row r="153" spans="1:34" ht="11.25" customHeight="1" x14ac:dyDescent="0.25"/>
    <row r="154" spans="1:34" ht="11.25" customHeight="1" x14ac:dyDescent="0.25"/>
  </sheetData>
  <mergeCells count="306">
    <mergeCell ref="A148:F148"/>
    <mergeCell ref="A149:F149"/>
    <mergeCell ref="A143:F143"/>
    <mergeCell ref="A144:F144"/>
    <mergeCell ref="A145:F145"/>
    <mergeCell ref="A146:F146"/>
    <mergeCell ref="A37:F37"/>
    <mergeCell ref="A70:F70"/>
    <mergeCell ref="A114:F114"/>
    <mergeCell ref="A147:F147"/>
    <mergeCell ref="A38:F38"/>
    <mergeCell ref="A39:F39"/>
    <mergeCell ref="A71:F71"/>
    <mergeCell ref="A72:F72"/>
    <mergeCell ref="A115:F115"/>
    <mergeCell ref="A116:F116"/>
    <mergeCell ref="A134:F134"/>
    <mergeCell ref="A135:F135"/>
    <mergeCell ref="A136:F136"/>
    <mergeCell ref="A137:F137"/>
    <mergeCell ref="A138:F138"/>
    <mergeCell ref="A139:F139"/>
    <mergeCell ref="A140:F140"/>
    <mergeCell ref="A141:F141"/>
    <mergeCell ref="A142:F142"/>
    <mergeCell ref="A125:F125"/>
    <mergeCell ref="A126:F126"/>
    <mergeCell ref="A127:F127"/>
    <mergeCell ref="A128:F128"/>
    <mergeCell ref="A129:F129"/>
    <mergeCell ref="A130:F130"/>
    <mergeCell ref="A131:F131"/>
    <mergeCell ref="A132:F132"/>
    <mergeCell ref="A133:F133"/>
    <mergeCell ref="W121:X121"/>
    <mergeCell ref="Y121:Z121"/>
    <mergeCell ref="AA121:AB121"/>
    <mergeCell ref="AC121:AD121"/>
    <mergeCell ref="AE121:AF121"/>
    <mergeCell ref="AG121:AH121"/>
    <mergeCell ref="A122:F122"/>
    <mergeCell ref="A123:F123"/>
    <mergeCell ref="A124:F124"/>
    <mergeCell ref="A121:F121"/>
    <mergeCell ref="G121:H121"/>
    <mergeCell ref="I121:J121"/>
    <mergeCell ref="K121:L121"/>
    <mergeCell ref="M121:N121"/>
    <mergeCell ref="O121:P121"/>
    <mergeCell ref="Q121:R121"/>
    <mergeCell ref="S121:T121"/>
    <mergeCell ref="U121:V121"/>
    <mergeCell ref="Y118:Z119"/>
    <mergeCell ref="AA118:AB119"/>
    <mergeCell ref="AC118:AD119"/>
    <mergeCell ref="AE118:AF119"/>
    <mergeCell ref="AG118:AH119"/>
    <mergeCell ref="A119:F119"/>
    <mergeCell ref="A120:F120"/>
    <mergeCell ref="G120:H120"/>
    <mergeCell ref="I120:J120"/>
    <mergeCell ref="K120:L120"/>
    <mergeCell ref="M120:N120"/>
    <mergeCell ref="O120:P120"/>
    <mergeCell ref="Q120:R120"/>
    <mergeCell ref="S120:T120"/>
    <mergeCell ref="U120:V120"/>
    <mergeCell ref="W120:X120"/>
    <mergeCell ref="Y120:Z120"/>
    <mergeCell ref="AA120:AB120"/>
    <mergeCell ref="AC120:AD120"/>
    <mergeCell ref="AE120:AF120"/>
    <mergeCell ref="AG120:AH120"/>
    <mergeCell ref="G118:H119"/>
    <mergeCell ref="I118:J119"/>
    <mergeCell ref="K118:L119"/>
    <mergeCell ref="M118:N119"/>
    <mergeCell ref="O118:P119"/>
    <mergeCell ref="Q118:R119"/>
    <mergeCell ref="S118:T119"/>
    <mergeCell ref="U118:V119"/>
    <mergeCell ref="W118:X119"/>
    <mergeCell ref="A107:F107"/>
    <mergeCell ref="A108:F108"/>
    <mergeCell ref="A109:F109"/>
    <mergeCell ref="A110:F110"/>
    <mergeCell ref="A111:F111"/>
    <mergeCell ref="A112:F112"/>
    <mergeCell ref="A113:F113"/>
    <mergeCell ref="A118:C118"/>
    <mergeCell ref="D118:F118"/>
    <mergeCell ref="A98:F98"/>
    <mergeCell ref="A99:F99"/>
    <mergeCell ref="A100:F100"/>
    <mergeCell ref="A101:F101"/>
    <mergeCell ref="A102:F102"/>
    <mergeCell ref="A103:F103"/>
    <mergeCell ref="A104:F104"/>
    <mergeCell ref="A105:F105"/>
    <mergeCell ref="A106:F106"/>
    <mergeCell ref="A89:F89"/>
    <mergeCell ref="A90:F90"/>
    <mergeCell ref="A91:F91"/>
    <mergeCell ref="A92:F92"/>
    <mergeCell ref="A93:F93"/>
    <mergeCell ref="A94:F94"/>
    <mergeCell ref="A95:F95"/>
    <mergeCell ref="A96:F96"/>
    <mergeCell ref="A97:F97"/>
    <mergeCell ref="W87:X87"/>
    <mergeCell ref="Y87:Z87"/>
    <mergeCell ref="AA87:AB87"/>
    <mergeCell ref="AC87:AD87"/>
    <mergeCell ref="AE87:AF87"/>
    <mergeCell ref="AG87:AH87"/>
    <mergeCell ref="A88:F88"/>
    <mergeCell ref="G88:H88"/>
    <mergeCell ref="I88:J88"/>
    <mergeCell ref="K88:L88"/>
    <mergeCell ref="M88:N88"/>
    <mergeCell ref="O88:P88"/>
    <mergeCell ref="Q88:R88"/>
    <mergeCell ref="S88:T88"/>
    <mergeCell ref="U88:V88"/>
    <mergeCell ref="W88:X88"/>
    <mergeCell ref="Y88:Z88"/>
    <mergeCell ref="AA88:AB88"/>
    <mergeCell ref="AC88:AD88"/>
    <mergeCell ref="AE88:AF88"/>
    <mergeCell ref="AG88:AH88"/>
    <mergeCell ref="A87:F87"/>
    <mergeCell ref="G87:H87"/>
    <mergeCell ref="I87:J87"/>
    <mergeCell ref="K87:L87"/>
    <mergeCell ref="M87:N87"/>
    <mergeCell ref="O87:P87"/>
    <mergeCell ref="Q87:R87"/>
    <mergeCell ref="S87:T87"/>
    <mergeCell ref="U87:V87"/>
    <mergeCell ref="B78:J79"/>
    <mergeCell ref="A81:AI81"/>
    <mergeCell ref="A82:AI83"/>
    <mergeCell ref="A85:C85"/>
    <mergeCell ref="D85:F85"/>
    <mergeCell ref="G85:H86"/>
    <mergeCell ref="I85:J86"/>
    <mergeCell ref="K85:L86"/>
    <mergeCell ref="M85:N86"/>
    <mergeCell ref="O85:P86"/>
    <mergeCell ref="Q85:R86"/>
    <mergeCell ref="S85:T86"/>
    <mergeCell ref="U85:V86"/>
    <mergeCell ref="W85:X86"/>
    <mergeCell ref="Y85:Z86"/>
    <mergeCell ref="AA85:AB86"/>
    <mergeCell ref="AC85:AD86"/>
    <mergeCell ref="AE85:AF86"/>
    <mergeCell ref="AG85:AH86"/>
    <mergeCell ref="A86:F86"/>
    <mergeCell ref="A35:F35"/>
    <mergeCell ref="A36:F36"/>
    <mergeCell ref="A68:F68"/>
    <mergeCell ref="A69:F69"/>
    <mergeCell ref="A66:F66"/>
    <mergeCell ref="A61:F61"/>
    <mergeCell ref="A62:F62"/>
    <mergeCell ref="A63:F63"/>
    <mergeCell ref="A64:F64"/>
    <mergeCell ref="A65:F65"/>
    <mergeCell ref="A56:F56"/>
    <mergeCell ref="A57:F57"/>
    <mergeCell ref="A58:F58"/>
    <mergeCell ref="A59:F59"/>
    <mergeCell ref="A60:F60"/>
    <mergeCell ref="A51:F51"/>
    <mergeCell ref="A52:F52"/>
    <mergeCell ref="A53:F53"/>
    <mergeCell ref="A54:F54"/>
    <mergeCell ref="A55:F55"/>
    <mergeCell ref="A46:F46"/>
    <mergeCell ref="A47:F47"/>
    <mergeCell ref="A48:F48"/>
    <mergeCell ref="A49:F49"/>
    <mergeCell ref="A50:F50"/>
    <mergeCell ref="A45:F45"/>
    <mergeCell ref="Q44:R44"/>
    <mergeCell ref="S44:T44"/>
    <mergeCell ref="U44:V44"/>
    <mergeCell ref="W44:X44"/>
    <mergeCell ref="Y44:Z44"/>
    <mergeCell ref="A44:F44"/>
    <mergeCell ref="I44:J44"/>
    <mergeCell ref="K44:L44"/>
    <mergeCell ref="M44:N44"/>
    <mergeCell ref="O44:P44"/>
    <mergeCell ref="G44:H44"/>
    <mergeCell ref="W43:X43"/>
    <mergeCell ref="Y43:Z43"/>
    <mergeCell ref="AA43:AB43"/>
    <mergeCell ref="AC43:AD43"/>
    <mergeCell ref="AE43:AF43"/>
    <mergeCell ref="AG43:AH43"/>
    <mergeCell ref="AA44:AB44"/>
    <mergeCell ref="AC44:AD44"/>
    <mergeCell ref="AE44:AF44"/>
    <mergeCell ref="AG44:AH44"/>
    <mergeCell ref="A43:F43"/>
    <mergeCell ref="G43:H43"/>
    <mergeCell ref="I43:J43"/>
    <mergeCell ref="K43:L43"/>
    <mergeCell ref="M43:N43"/>
    <mergeCell ref="O43:P43"/>
    <mergeCell ref="Q43:R43"/>
    <mergeCell ref="S43:T43"/>
    <mergeCell ref="U43:V43"/>
    <mergeCell ref="AE10:AF10"/>
    <mergeCell ref="AG10:AH10"/>
    <mergeCell ref="A41:C41"/>
    <mergeCell ref="D41:F41"/>
    <mergeCell ref="Y10:Z10"/>
    <mergeCell ref="AA10:AB10"/>
    <mergeCell ref="A32:F32"/>
    <mergeCell ref="AC11:AD11"/>
    <mergeCell ref="AE11:AF11"/>
    <mergeCell ref="A31:F31"/>
    <mergeCell ref="A30:F30"/>
    <mergeCell ref="A29:F29"/>
    <mergeCell ref="A28:F28"/>
    <mergeCell ref="A27:F27"/>
    <mergeCell ref="A26:F26"/>
    <mergeCell ref="M11:N11"/>
    <mergeCell ref="A34:F34"/>
    <mergeCell ref="A12:F12"/>
    <mergeCell ref="AA11:AB11"/>
    <mergeCell ref="G10:H10"/>
    <mergeCell ref="I10:J10"/>
    <mergeCell ref="K10:L10"/>
    <mergeCell ref="M10:N10"/>
    <mergeCell ref="AC10:AD10"/>
    <mergeCell ref="O10:P10"/>
    <mergeCell ref="Q11:R11"/>
    <mergeCell ref="S11:T11"/>
    <mergeCell ref="U11:V11"/>
    <mergeCell ref="W11:X11"/>
    <mergeCell ref="Y11:Z11"/>
    <mergeCell ref="Q10:R10"/>
    <mergeCell ref="A9:F9"/>
    <mergeCell ref="A25:F25"/>
    <mergeCell ref="A24:F24"/>
    <mergeCell ref="A23:F23"/>
    <mergeCell ref="A22:F22"/>
    <mergeCell ref="A21:F21"/>
    <mergeCell ref="A20:F20"/>
    <mergeCell ref="A19:F19"/>
    <mergeCell ref="A18:F18"/>
    <mergeCell ref="A17:F17"/>
    <mergeCell ref="A16:F16"/>
    <mergeCell ref="G11:H11"/>
    <mergeCell ref="I41:J42"/>
    <mergeCell ref="K41:L42"/>
    <mergeCell ref="M41:N42"/>
    <mergeCell ref="O41:P42"/>
    <mergeCell ref="Q41:R42"/>
    <mergeCell ref="S41:T42"/>
    <mergeCell ref="U41:V42"/>
    <mergeCell ref="B1:J2"/>
    <mergeCell ref="A15:F15"/>
    <mergeCell ref="A14:F14"/>
    <mergeCell ref="A13:F13"/>
    <mergeCell ref="A11:F11"/>
    <mergeCell ref="A10:F10"/>
    <mergeCell ref="A4:AI4"/>
    <mergeCell ref="A5:AI6"/>
    <mergeCell ref="A8:C8"/>
    <mergeCell ref="D8:F8"/>
    <mergeCell ref="O11:P11"/>
    <mergeCell ref="I11:J11"/>
    <mergeCell ref="K11:L11"/>
    <mergeCell ref="AG11:AH11"/>
    <mergeCell ref="S10:T10"/>
    <mergeCell ref="U10:V10"/>
    <mergeCell ref="W10:X10"/>
    <mergeCell ref="A33:F33"/>
    <mergeCell ref="A67:F67"/>
    <mergeCell ref="W41:X42"/>
    <mergeCell ref="Y41:Z42"/>
    <mergeCell ref="AA41:AB42"/>
    <mergeCell ref="AC41:AD42"/>
    <mergeCell ref="AE41:AF42"/>
    <mergeCell ref="AG41:AH42"/>
    <mergeCell ref="G8:H9"/>
    <mergeCell ref="I8:J9"/>
    <mergeCell ref="K8:L9"/>
    <mergeCell ref="M8:N9"/>
    <mergeCell ref="O8:P9"/>
    <mergeCell ref="Q8:R9"/>
    <mergeCell ref="S8:T9"/>
    <mergeCell ref="U8:V9"/>
    <mergeCell ref="W8:X9"/>
    <mergeCell ref="Y8:Z9"/>
    <mergeCell ref="AA8:AB9"/>
    <mergeCell ref="AC8:AD9"/>
    <mergeCell ref="AE8:AF9"/>
    <mergeCell ref="AG8:AH9"/>
    <mergeCell ref="A42:F42"/>
    <mergeCell ref="G41:H42"/>
  </mergeCells>
  <conditionalFormatting sqref="A12:AH39">
    <cfRule type="expression" dxfId="102" priority="15">
      <formula>ISBLANK($A12)</formula>
    </cfRule>
  </conditionalFormatting>
  <conditionalFormatting sqref="A45:AH72">
    <cfRule type="expression" dxfId="101" priority="5">
      <formula>ISBLANK($A45)</formula>
    </cfRule>
  </conditionalFormatting>
  <conditionalFormatting sqref="A89:AH116">
    <cfRule type="expression" dxfId="100" priority="13">
      <formula>ISBLANK($A89)</formula>
    </cfRule>
  </conditionalFormatting>
  <conditionalFormatting sqref="A122:AH149">
    <cfRule type="expression" dxfId="99" priority="3">
      <formula>ISBLANK($A122)</formula>
    </cfRule>
  </conditionalFormatting>
  <pageMargins left="0.7" right="0.7" top="0" bottom="0" header="0" footer="0"/>
  <pageSetup scale="66" fitToHeight="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8"/>
  <dimension ref="A1"/>
  <sheetViews>
    <sheetView workbookViewId="0"/>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dimension ref="A1:AN73"/>
  <sheetViews>
    <sheetView showGridLines="0" zoomScaleNormal="100" workbookViewId="0"/>
  </sheetViews>
  <sheetFormatPr defaultRowHeight="15" x14ac:dyDescent="0.25"/>
  <cols>
    <col min="1" max="1" width="3.7109375" style="41" customWidth="1"/>
    <col min="2" max="2" width="6.42578125" style="41" customWidth="1"/>
    <col min="3" max="3" width="5" style="41" customWidth="1" collapsed="1"/>
    <col min="4" max="4" width="5" style="41" customWidth="1"/>
    <col min="5" max="11" width="5" style="41" customWidth="1" collapsed="1"/>
    <col min="12" max="17" width="5" style="41" customWidth="1"/>
    <col min="18" max="18" width="5" style="41" customWidth="1" collapsed="1"/>
    <col min="19" max="23" width="5" style="41" customWidth="1"/>
    <col min="24" max="39" width="5" style="41" customWidth="1" collapsed="1"/>
    <col min="40" max="16384" width="9.140625" style="41"/>
  </cols>
  <sheetData>
    <row r="1" spans="1:40" x14ac:dyDescent="0.25">
      <c r="A1" s="84"/>
      <c r="B1" s="620"/>
      <c r="C1" s="620"/>
      <c r="D1" s="620"/>
      <c r="E1" s="620"/>
      <c r="F1" s="620"/>
      <c r="G1" s="620"/>
      <c r="H1" s="620"/>
      <c r="I1" s="620"/>
      <c r="J1" s="620"/>
      <c r="K1" s="84"/>
      <c r="L1" s="84"/>
      <c r="M1" s="84"/>
      <c r="N1" s="84"/>
      <c r="O1" s="84"/>
      <c r="P1" s="84"/>
      <c r="Q1" s="84"/>
      <c r="R1" s="84"/>
      <c r="S1" s="84"/>
      <c r="T1" s="84"/>
      <c r="U1" s="84"/>
      <c r="V1" s="84"/>
      <c r="W1" s="84"/>
      <c r="X1" s="84"/>
      <c r="Y1" s="84"/>
      <c r="Z1" s="84"/>
      <c r="AA1" s="84"/>
      <c r="AB1" s="84"/>
      <c r="AC1" s="84"/>
      <c r="AD1" s="84"/>
    </row>
    <row r="2" spans="1:40" x14ac:dyDescent="0.25">
      <c r="A2" s="84"/>
      <c r="B2" s="620"/>
      <c r="C2" s="620"/>
      <c r="D2" s="620"/>
      <c r="E2" s="620"/>
      <c r="F2" s="620"/>
      <c r="G2" s="620"/>
      <c r="H2" s="620"/>
      <c r="I2" s="620"/>
      <c r="J2" s="620"/>
      <c r="K2" s="84"/>
      <c r="L2" s="84"/>
      <c r="M2" s="84"/>
      <c r="N2" s="84"/>
      <c r="O2" s="84"/>
      <c r="P2" s="84"/>
      <c r="Q2" s="84"/>
      <c r="R2" s="84"/>
      <c r="S2" s="84"/>
      <c r="T2" s="84"/>
      <c r="U2" s="84"/>
      <c r="V2" s="84"/>
      <c r="W2" s="84"/>
      <c r="X2" s="84"/>
      <c r="Y2" s="84"/>
      <c r="Z2" s="84"/>
      <c r="AA2" s="84"/>
      <c r="AB2" s="84"/>
      <c r="AC2" s="84"/>
      <c r="AD2" s="84"/>
    </row>
    <row r="3" spans="1:40" customFormat="1" ht="9.75" customHeight="1" x14ac:dyDescent="0.25"/>
    <row r="4" spans="1:40" ht="11.25" customHeight="1" x14ac:dyDescent="0.25">
      <c r="A4" s="395" t="s">
        <v>89</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40" ht="11.25" customHeight="1" x14ac:dyDescent="0.25">
      <c r="A5" s="380" t="s">
        <v>118</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row>
    <row r="6" spans="1:40" ht="11.25" customHeight="1" x14ac:dyDescent="0.25">
      <c r="A6" s="400"/>
      <c r="B6" s="400"/>
      <c r="C6" s="400"/>
      <c r="D6" s="400"/>
      <c r="E6" s="400"/>
      <c r="F6" s="400"/>
      <c r="G6" s="400"/>
      <c r="H6" s="400"/>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row>
    <row r="7" spans="1:40" ht="11.25" customHeight="1" x14ac:dyDescent="0.25">
      <c r="A7" s="150"/>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0"/>
      <c r="AC7" s="150"/>
      <c r="AD7" s="150"/>
      <c r="AE7" s="150"/>
      <c r="AF7" s="150"/>
      <c r="AG7" s="150"/>
      <c r="AH7" s="150"/>
      <c r="AI7" s="150"/>
    </row>
    <row r="8" spans="1:40" ht="15" customHeight="1" x14ac:dyDescent="0.25">
      <c r="A8" s="622" t="s">
        <v>410</v>
      </c>
      <c r="B8" s="622"/>
      <c r="C8" s="623" t="s">
        <v>411</v>
      </c>
      <c r="D8" s="623"/>
      <c r="E8" s="623"/>
      <c r="F8" s="623"/>
      <c r="G8" s="623"/>
      <c r="H8" s="623"/>
      <c r="I8" s="623"/>
      <c r="J8" s="623"/>
      <c r="K8" s="623"/>
      <c r="L8" s="623"/>
      <c r="M8" s="623"/>
      <c r="N8" s="623"/>
      <c r="O8" s="623"/>
      <c r="P8" s="623"/>
      <c r="Q8" s="623"/>
      <c r="R8" s="623"/>
      <c r="S8" s="623"/>
      <c r="T8" s="623"/>
      <c r="U8" s="623"/>
      <c r="V8" s="623"/>
      <c r="W8" s="623"/>
      <c r="X8" s="623"/>
      <c r="Y8" s="623"/>
      <c r="Z8" s="623"/>
      <c r="AA8" s="623"/>
      <c r="AB8" s="623"/>
      <c r="AC8" s="623"/>
      <c r="AD8" s="623"/>
      <c r="AE8" s="623"/>
      <c r="AF8" s="623"/>
      <c r="AG8" s="623"/>
      <c r="AH8" s="623"/>
      <c r="AI8" s="623"/>
      <c r="AJ8" s="252"/>
      <c r="AK8" s="252"/>
      <c r="AL8" s="252"/>
      <c r="AM8" s="252"/>
    </row>
    <row r="9" spans="1:40" ht="15" customHeight="1" x14ac:dyDescent="0.25">
      <c r="A9" s="622"/>
      <c r="B9" s="622"/>
      <c r="C9" s="90" t="s">
        <v>412</v>
      </c>
      <c r="D9" s="90" t="s">
        <v>413</v>
      </c>
      <c r="E9" s="90" t="s">
        <v>414</v>
      </c>
      <c r="F9" s="90" t="s">
        <v>415</v>
      </c>
      <c r="G9" s="90" t="s">
        <v>416</v>
      </c>
      <c r="H9" s="90" t="s">
        <v>417</v>
      </c>
      <c r="I9" s="90" t="s">
        <v>418</v>
      </c>
      <c r="J9" s="90" t="s">
        <v>419</v>
      </c>
      <c r="K9" s="90" t="s">
        <v>420</v>
      </c>
      <c r="L9" s="90" t="s">
        <v>421</v>
      </c>
      <c r="M9" s="90" t="s">
        <v>422</v>
      </c>
      <c r="N9" s="90" t="s">
        <v>423</v>
      </c>
      <c r="O9" s="90" t="s">
        <v>424</v>
      </c>
      <c r="P9" s="90" t="s">
        <v>425</v>
      </c>
      <c r="Q9" s="90" t="s">
        <v>426</v>
      </c>
      <c r="R9" s="90" t="s">
        <v>427</v>
      </c>
      <c r="S9" s="90" t="s">
        <v>428</v>
      </c>
      <c r="T9" s="90" t="s">
        <v>429</v>
      </c>
      <c r="U9" s="90" t="s">
        <v>430</v>
      </c>
      <c r="V9" s="90" t="s">
        <v>431</v>
      </c>
      <c r="W9" s="90" t="s">
        <v>432</v>
      </c>
      <c r="X9" s="90" t="s">
        <v>433</v>
      </c>
      <c r="Y9" s="90" t="s">
        <v>434</v>
      </c>
      <c r="Z9" s="90" t="s">
        <v>435</v>
      </c>
      <c r="AA9" s="90" t="s">
        <v>436</v>
      </c>
      <c r="AB9" s="90" t="s">
        <v>437</v>
      </c>
      <c r="AC9" s="90" t="s">
        <v>438</v>
      </c>
      <c r="AD9" s="90" t="s">
        <v>439</v>
      </c>
      <c r="AE9" s="90" t="s">
        <v>440</v>
      </c>
      <c r="AF9" s="90" t="s">
        <v>441</v>
      </c>
      <c r="AG9" s="90" t="s">
        <v>442</v>
      </c>
      <c r="AH9" s="90" t="s">
        <v>443</v>
      </c>
      <c r="AI9" s="90" t="s">
        <v>444</v>
      </c>
      <c r="AJ9" s="90" t="s">
        <v>445</v>
      </c>
      <c r="AK9" s="90" t="s">
        <v>446</v>
      </c>
      <c r="AL9" s="90" t="s">
        <v>447</v>
      </c>
      <c r="AM9" s="90" t="s">
        <v>448</v>
      </c>
      <c r="AN9" s="90"/>
    </row>
    <row r="10" spans="1:40" ht="11.25" customHeight="1" x14ac:dyDescent="0.25">
      <c r="A10" s="624" t="s">
        <v>71</v>
      </c>
      <c r="B10" s="90" t="s">
        <v>412</v>
      </c>
      <c r="C10" s="296">
        <v>1</v>
      </c>
      <c r="D10" s="297">
        <v>0.22857948261444325</v>
      </c>
      <c r="E10" s="297">
        <v>0.11532705647595376</v>
      </c>
      <c r="F10" s="297">
        <v>0.15546880615307795</v>
      </c>
      <c r="G10" s="297">
        <v>-0.20338839016760482</v>
      </c>
      <c r="H10" s="297">
        <v>0.16425347145696145</v>
      </c>
      <c r="I10" s="297">
        <v>0.26370463977645386</v>
      </c>
      <c r="J10" s="297">
        <v>4.8229149676707321E-2</v>
      </c>
      <c r="K10" s="297">
        <v>-0.14109863107378695</v>
      </c>
      <c r="L10" s="301">
        <v>-0.20627622588646785</v>
      </c>
      <c r="M10" s="297">
        <v>2.1364898431691131E-2</v>
      </c>
      <c r="N10" s="297">
        <v>0.25985236824624841</v>
      </c>
      <c r="O10" s="297">
        <v>0.26305258801290232</v>
      </c>
      <c r="P10" s="297">
        <v>-0.24528534610181185</v>
      </c>
      <c r="Q10" s="297">
        <v>0.34225652116403943</v>
      </c>
      <c r="R10" s="297">
        <v>-0.1266086911393389</v>
      </c>
      <c r="S10" s="297">
        <v>-1.4042345968042167E-2</v>
      </c>
      <c r="T10" s="297">
        <v>-4.5313407660211899E-2</v>
      </c>
      <c r="U10" s="301">
        <v>-0.23416870528128952</v>
      </c>
      <c r="V10" s="297">
        <v>-0.3314324503997515</v>
      </c>
      <c r="W10" s="297">
        <v>0.10586260655201062</v>
      </c>
      <c r="X10" s="297">
        <v>0.28174583844614631</v>
      </c>
      <c r="Y10" s="297">
        <v>-6.8919484703247019E-2</v>
      </c>
      <c r="Z10" s="297">
        <v>0.10429279695302311</v>
      </c>
      <c r="AA10" s="297">
        <v>0.12774319826113556</v>
      </c>
      <c r="AB10" s="297">
        <v>-0.30300715336038103</v>
      </c>
      <c r="AC10" s="297">
        <v>-0.31713423282162501</v>
      </c>
      <c r="AD10" s="297">
        <v>0.17348776885228215</v>
      </c>
      <c r="AE10" s="297">
        <v>5.3385283491616697E-2</v>
      </c>
      <c r="AF10" s="297">
        <v>0.14760899143294709</v>
      </c>
      <c r="AG10" s="297">
        <v>-0.10502158165807936</v>
      </c>
      <c r="AH10" s="297">
        <v>-0.15544197972581258</v>
      </c>
      <c r="AI10" s="297">
        <v>-0.1084651242506976</v>
      </c>
      <c r="AJ10" s="297">
        <v>0.10013958891046282</v>
      </c>
      <c r="AK10" s="301">
        <v>-0.22100615414617983</v>
      </c>
      <c r="AL10" s="297">
        <v>0.39531569930442262</v>
      </c>
      <c r="AM10" s="297">
        <v>0.23798346675756374</v>
      </c>
    </row>
    <row r="11" spans="1:40" ht="11.25" customHeight="1" x14ac:dyDescent="0.25">
      <c r="A11" s="624"/>
      <c r="B11" s="90" t="s">
        <v>413</v>
      </c>
      <c r="C11" s="297">
        <v>0.22563565138129321</v>
      </c>
      <c r="D11" s="296">
        <v>1</v>
      </c>
      <c r="E11" s="297">
        <v>2.669518821353409E-3</v>
      </c>
      <c r="F11" s="297">
        <v>0.19594356867743254</v>
      </c>
      <c r="G11" s="301">
        <v>-9.6563460013663574E-2</v>
      </c>
      <c r="H11" s="297">
        <v>0.15829656880366264</v>
      </c>
      <c r="I11" s="297">
        <v>0.14696072129644486</v>
      </c>
      <c r="J11" s="297">
        <v>5.5287372407660899E-2</v>
      </c>
      <c r="K11" s="297">
        <v>9.0435089973522995E-2</v>
      </c>
      <c r="L11" s="297">
        <v>0.13214006586047797</v>
      </c>
      <c r="M11" s="297">
        <v>-7.5154794609570405E-2</v>
      </c>
      <c r="N11" s="297">
        <v>0.24200420401943418</v>
      </c>
      <c r="O11" s="297">
        <v>-5.7893225014882099E-3</v>
      </c>
      <c r="P11" s="297">
        <v>-4.1098336788118764E-2</v>
      </c>
      <c r="Q11" s="297">
        <v>-0.11548935231374984</v>
      </c>
      <c r="R11" s="297">
        <v>4.2405462564806595E-2</v>
      </c>
      <c r="S11" s="297">
        <v>0.1251771336179959</v>
      </c>
      <c r="T11" s="297">
        <v>0.1117756674268216</v>
      </c>
      <c r="U11" s="297">
        <v>8.0767546378550922E-2</v>
      </c>
      <c r="V11" s="297">
        <v>-0.12367750309745627</v>
      </c>
      <c r="W11" s="297">
        <v>0.15633021317932122</v>
      </c>
      <c r="X11" s="297">
        <v>1.6212776027391091E-2</v>
      </c>
      <c r="Y11" s="297">
        <v>5.3456543412183387E-2</v>
      </c>
      <c r="Z11" s="297">
        <v>3.0398291186698199E-2</v>
      </c>
      <c r="AA11" s="297">
        <v>2.3357587749411487E-2</v>
      </c>
      <c r="AB11" s="297">
        <v>8.5427046301864679E-2</v>
      </c>
      <c r="AC11" s="297">
        <v>0.13168854646666669</v>
      </c>
      <c r="AD11" s="297">
        <v>-0.17913639313024726</v>
      </c>
      <c r="AE11" s="297">
        <v>-9.9692987216695797E-2</v>
      </c>
      <c r="AF11" s="297">
        <v>-2.4310173964564582E-2</v>
      </c>
      <c r="AG11" s="297">
        <v>0.1587729597799605</v>
      </c>
      <c r="AH11" s="297">
        <v>4.8408374093773743E-2</v>
      </c>
      <c r="AI11" s="297">
        <v>-0.10582840241709093</v>
      </c>
      <c r="AJ11" s="297">
        <v>5.7907444473185896E-2</v>
      </c>
      <c r="AK11" s="297">
        <v>-3.3620651315306831E-2</v>
      </c>
      <c r="AL11" s="297">
        <v>0.42222262477745914</v>
      </c>
      <c r="AM11" s="297">
        <v>0.1433296218314877</v>
      </c>
    </row>
    <row r="12" spans="1:40" ht="11.25" customHeight="1" x14ac:dyDescent="0.25">
      <c r="A12" s="624"/>
      <c r="B12" s="90" t="s">
        <v>414</v>
      </c>
      <c r="C12" s="297">
        <v>-3.0395963499246651E-3</v>
      </c>
      <c r="D12" s="297">
        <v>3.359822303475779E-2</v>
      </c>
      <c r="E12" s="296">
        <v>1</v>
      </c>
      <c r="F12" s="297">
        <v>-3.8156613200370009E-3</v>
      </c>
      <c r="G12" s="297">
        <v>0.17450680066572347</v>
      </c>
      <c r="H12" s="297">
        <v>0.34627750628288057</v>
      </c>
      <c r="I12" s="297">
        <v>4.0950099775448855E-2</v>
      </c>
      <c r="J12" s="297">
        <v>0.66816246004447855</v>
      </c>
      <c r="K12" s="297">
        <v>-8.129111015553292E-2</v>
      </c>
      <c r="L12" s="297">
        <v>-0.22401448055951689</v>
      </c>
      <c r="M12" s="297">
        <v>-5.4993860750463149E-2</v>
      </c>
      <c r="N12" s="297">
        <v>8.3373667003671062E-2</v>
      </c>
      <c r="O12" s="301">
        <v>0.25737374296086185</v>
      </c>
      <c r="P12" s="297">
        <v>-5.0337277146448749E-2</v>
      </c>
      <c r="Q12" s="297">
        <v>-8.7489166126730068E-3</v>
      </c>
      <c r="R12" s="297">
        <v>0.22396393809409637</v>
      </c>
      <c r="S12" s="297">
        <v>0.31402681352826167</v>
      </c>
      <c r="T12" s="297">
        <v>1.9421157384640876E-2</v>
      </c>
      <c r="U12" s="297">
        <v>-0.18981644086837696</v>
      </c>
      <c r="V12" s="301">
        <v>-0.27946011778126079</v>
      </c>
      <c r="W12" s="297">
        <v>0.2145377792665718</v>
      </c>
      <c r="X12" s="297">
        <v>-7.3980521715202932E-2</v>
      </c>
      <c r="Y12" s="297">
        <v>0.13354242450805553</v>
      </c>
      <c r="Z12" s="297">
        <v>-0.36645180318153109</v>
      </c>
      <c r="AA12" s="297">
        <v>-6.7448443479393078E-2</v>
      </c>
      <c r="AB12" s="297">
        <v>-4.7908254390457455E-2</v>
      </c>
      <c r="AC12" s="297">
        <v>4.6521611848176853E-2</v>
      </c>
      <c r="AD12" s="297">
        <v>6.4331071140034543E-2</v>
      </c>
      <c r="AE12" s="297">
        <v>-0.1802766419565153</v>
      </c>
      <c r="AF12" s="297">
        <v>-6.2443301940879204E-3</v>
      </c>
      <c r="AG12" s="297">
        <v>4.6537189188165039E-2</v>
      </c>
      <c r="AH12" s="297">
        <v>2.4850001870381886E-3</v>
      </c>
      <c r="AI12" s="297">
        <v>0.64498142388805646</v>
      </c>
      <c r="AJ12" s="297">
        <v>0.43242812830385768</v>
      </c>
      <c r="AK12" s="297">
        <v>-0.30089864445088005</v>
      </c>
      <c r="AL12" s="297">
        <v>-1.8414566805765281E-2</v>
      </c>
      <c r="AM12" s="297">
        <v>-0.12650013974413471</v>
      </c>
    </row>
    <row r="13" spans="1:40" ht="11.25" customHeight="1" x14ac:dyDescent="0.25">
      <c r="A13" s="624"/>
      <c r="B13" s="90" t="s">
        <v>415</v>
      </c>
      <c r="C13" s="297">
        <v>9.5476778797328632E-2</v>
      </c>
      <c r="D13" s="297">
        <v>-2.7582793128024561E-2</v>
      </c>
      <c r="E13" s="297">
        <v>-0.17363593183491816</v>
      </c>
      <c r="F13" s="296">
        <v>1</v>
      </c>
      <c r="G13" s="297">
        <v>-5.3998740488863883E-2</v>
      </c>
      <c r="H13" s="297">
        <v>3.9447279986365456E-2</v>
      </c>
      <c r="I13" s="297">
        <v>0.24699442787770584</v>
      </c>
      <c r="J13" s="297">
        <v>5.5245982168740743E-2</v>
      </c>
      <c r="K13" s="297">
        <v>-0.30730415903808195</v>
      </c>
      <c r="L13" s="297">
        <v>-2.0461816710707806E-2</v>
      </c>
      <c r="M13" s="297">
        <v>7.6328825405930056E-2</v>
      </c>
      <c r="N13" s="297">
        <v>0.13807082928648073</v>
      </c>
      <c r="O13" s="297">
        <v>5.5420911364481594E-2</v>
      </c>
      <c r="P13" s="297">
        <v>0.15305832945182984</v>
      </c>
      <c r="Q13" s="297">
        <v>8.0229207441335423E-2</v>
      </c>
      <c r="R13" s="297">
        <v>5.7511987796199093E-2</v>
      </c>
      <c r="S13" s="297">
        <v>-2.1204585979031975E-2</v>
      </c>
      <c r="T13" s="297">
        <v>0.15489096480094008</v>
      </c>
      <c r="U13" s="297">
        <v>0.1795238621668232</v>
      </c>
      <c r="V13" s="297">
        <v>9.2201909170144796E-3</v>
      </c>
      <c r="W13" s="297">
        <v>0.28247281943752939</v>
      </c>
      <c r="X13" s="297">
        <v>-3.0658188549861964E-2</v>
      </c>
      <c r="Y13" s="297">
        <v>6.3585973428821135E-2</v>
      </c>
      <c r="Z13" s="297">
        <v>0.24493485464570958</v>
      </c>
      <c r="AA13" s="297">
        <v>3.1097832742129038E-2</v>
      </c>
      <c r="AB13" s="297">
        <v>0.48985598969967648</v>
      </c>
      <c r="AC13" s="297">
        <v>0.13570612791659795</v>
      </c>
      <c r="AD13" s="297">
        <v>-0.201424787757358</v>
      </c>
      <c r="AE13" s="297">
        <v>0.27658959479860906</v>
      </c>
      <c r="AF13" s="297">
        <v>-0.10280551771810259</v>
      </c>
      <c r="AG13" s="297">
        <v>-0.10502838948712377</v>
      </c>
      <c r="AH13" s="297">
        <v>5.4759059449352221E-2</v>
      </c>
      <c r="AI13" s="297">
        <v>-6.4762463311532487E-2</v>
      </c>
      <c r="AJ13" s="297">
        <v>0.31167623495792934</v>
      </c>
      <c r="AK13" s="297">
        <v>-2.6637189300822428E-2</v>
      </c>
      <c r="AL13" s="297">
        <v>0.14568654731425015</v>
      </c>
      <c r="AM13" s="297">
        <v>0.1596751627865656</v>
      </c>
    </row>
    <row r="14" spans="1:40" ht="11.25" customHeight="1" x14ac:dyDescent="0.25">
      <c r="A14" s="624"/>
      <c r="B14" s="90" t="s">
        <v>416</v>
      </c>
      <c r="C14" s="297">
        <v>-7.7138717561452838E-2</v>
      </c>
      <c r="D14" s="301">
        <v>0.226179103204288</v>
      </c>
      <c r="E14" s="297">
        <v>-4.221814904365221E-2</v>
      </c>
      <c r="F14" s="297">
        <v>5.7121866774852398E-2</v>
      </c>
      <c r="G14" s="296">
        <v>1</v>
      </c>
      <c r="H14" s="301">
        <v>-9.0466446269753753E-2</v>
      </c>
      <c r="I14" s="297">
        <v>-1.5387696748817957E-2</v>
      </c>
      <c r="J14" s="297">
        <v>0.1335759547878386</v>
      </c>
      <c r="K14" s="297">
        <v>-0.18237550101804911</v>
      </c>
      <c r="L14" s="297">
        <v>-0.19747076397997562</v>
      </c>
      <c r="M14" s="297">
        <v>-2.5225834143624035E-2</v>
      </c>
      <c r="N14" s="297">
        <v>-9.1490984742339063E-2</v>
      </c>
      <c r="O14" s="297">
        <v>-0.12366270821231484</v>
      </c>
      <c r="P14" s="297">
        <v>0.3058377692918684</v>
      </c>
      <c r="Q14" s="297">
        <v>-4.274100391803793E-2</v>
      </c>
      <c r="R14" s="297">
        <v>-0.10531539196965874</v>
      </c>
      <c r="S14" s="297">
        <v>-8.321855118960933E-2</v>
      </c>
      <c r="T14" s="297">
        <v>8.3341158074981742E-2</v>
      </c>
      <c r="U14" s="297">
        <v>-4.8736617393557877E-2</v>
      </c>
      <c r="V14" s="297">
        <v>0.46924999334093731</v>
      </c>
      <c r="W14" s="301">
        <v>0.1122071286230559</v>
      </c>
      <c r="X14" s="297">
        <v>-0.13835577857417794</v>
      </c>
      <c r="Y14" s="297">
        <v>1.5783250881639569E-2</v>
      </c>
      <c r="Z14" s="301">
        <v>-0.42788996133398927</v>
      </c>
      <c r="AA14" s="297">
        <v>-0.16209538169811691</v>
      </c>
      <c r="AB14" s="297">
        <v>0.23129977970470708</v>
      </c>
      <c r="AC14" s="297">
        <v>6.8220752827938672E-2</v>
      </c>
      <c r="AD14" s="297">
        <v>7.331010921477131E-2</v>
      </c>
      <c r="AE14" s="297">
        <v>-7.1870480011146974E-3</v>
      </c>
      <c r="AF14" s="297">
        <v>-0.18689142615799717</v>
      </c>
      <c r="AG14" s="297">
        <v>-8.0615756542520123E-2</v>
      </c>
      <c r="AH14" s="301">
        <v>7.1732876339831206E-2</v>
      </c>
      <c r="AI14" s="301">
        <v>0.71869117727169385</v>
      </c>
      <c r="AJ14" s="297">
        <v>-3.5648520897727208E-2</v>
      </c>
      <c r="AK14" s="297">
        <v>6.1835635333886217E-2</v>
      </c>
      <c r="AL14" s="301">
        <v>-0.68101723130205338</v>
      </c>
      <c r="AM14" s="301">
        <v>-0.20045668440835573</v>
      </c>
    </row>
    <row r="15" spans="1:40" ht="11.25" customHeight="1" x14ac:dyDescent="0.25">
      <c r="A15" s="624"/>
      <c r="B15" s="90" t="s">
        <v>417</v>
      </c>
      <c r="C15" s="297">
        <v>0.22095402570639577</v>
      </c>
      <c r="D15" s="297">
        <v>0.40954189901957166</v>
      </c>
      <c r="E15" s="297">
        <v>0.17073075015362504</v>
      </c>
      <c r="F15" s="297">
        <v>0.13627511492388544</v>
      </c>
      <c r="G15" s="301">
        <v>0.24189822988284163</v>
      </c>
      <c r="H15" s="296">
        <v>1</v>
      </c>
      <c r="I15" s="297">
        <v>0.16414284748811253</v>
      </c>
      <c r="J15" s="297">
        <v>0.39443588950149894</v>
      </c>
      <c r="K15" s="297">
        <v>0.15753875166455714</v>
      </c>
      <c r="L15" s="297">
        <v>-2.3796931867201231E-2</v>
      </c>
      <c r="M15" s="297">
        <v>-0.15278600698513009</v>
      </c>
      <c r="N15" s="297">
        <v>-7.5701722263783171E-3</v>
      </c>
      <c r="O15" s="297">
        <v>0.28145310718115979</v>
      </c>
      <c r="P15" s="297">
        <v>-0.19138910900108982</v>
      </c>
      <c r="Q15" s="297">
        <v>9.644061941327628E-2</v>
      </c>
      <c r="R15" s="297">
        <v>0.18154124690040771</v>
      </c>
      <c r="S15" s="297">
        <v>0.38580376248639631</v>
      </c>
      <c r="T15" s="297">
        <v>1.6633435881419169E-2</v>
      </c>
      <c r="U15" s="297">
        <v>-0.10431468754593701</v>
      </c>
      <c r="V15" s="297">
        <v>-0.10606389854000058</v>
      </c>
      <c r="W15" s="297">
        <v>6.9801297972271387E-2</v>
      </c>
      <c r="X15" s="297">
        <v>-0.20475551857173024</v>
      </c>
      <c r="Y15" s="297">
        <v>0.33553578479528962</v>
      </c>
      <c r="Z15" s="297">
        <v>-0.26705148012779228</v>
      </c>
      <c r="AA15" s="297">
        <v>-0.18918324516516227</v>
      </c>
      <c r="AB15" s="297">
        <v>1.8757749841127914E-2</v>
      </c>
      <c r="AC15" s="301">
        <v>-0.20948297182223166</v>
      </c>
      <c r="AD15" s="297">
        <v>0.19960972470441418</v>
      </c>
      <c r="AE15" s="297">
        <v>-0.17359625649374941</v>
      </c>
      <c r="AF15" s="297">
        <v>0.37277196994130363</v>
      </c>
      <c r="AG15" s="297">
        <v>-3.5465886100636779E-2</v>
      </c>
      <c r="AH15" s="297">
        <v>-3.3491793436462726E-2</v>
      </c>
      <c r="AI15" s="297">
        <v>5.1927055635538066E-2</v>
      </c>
      <c r="AJ15" s="297">
        <v>0.33599259722695485</v>
      </c>
      <c r="AK15" s="297">
        <v>-0.17883001788404451</v>
      </c>
      <c r="AL15" s="297">
        <v>0.19875648252134381</v>
      </c>
      <c r="AM15" s="297">
        <v>-9.5387286881874991E-2</v>
      </c>
    </row>
    <row r="16" spans="1:40" ht="11.25" customHeight="1" x14ac:dyDescent="0.25">
      <c r="A16" s="624"/>
      <c r="B16" s="90" t="s">
        <v>418</v>
      </c>
      <c r="C16" s="297">
        <v>0.23305894482479664</v>
      </c>
      <c r="D16" s="297">
        <v>0.10892480604848229</v>
      </c>
      <c r="E16" s="297">
        <v>5.4139744464229249E-2</v>
      </c>
      <c r="F16" s="297">
        <v>0.26751219466963577</v>
      </c>
      <c r="G16" s="297">
        <v>1.1390280901909049E-3</v>
      </c>
      <c r="H16" s="297">
        <v>8.5074635084700312E-2</v>
      </c>
      <c r="I16" s="296">
        <v>1</v>
      </c>
      <c r="J16" s="297">
        <v>-1.020241587997827E-2</v>
      </c>
      <c r="K16" s="297">
        <v>0.10292337049242595</v>
      </c>
      <c r="L16" s="297">
        <v>0.24361955218979378</v>
      </c>
      <c r="M16" s="297">
        <v>9.9012624017744091E-2</v>
      </c>
      <c r="N16" s="297">
        <v>0.47052149674019084</v>
      </c>
      <c r="O16" s="297">
        <v>0.10529405046187879</v>
      </c>
      <c r="P16" s="297">
        <v>0.12718336337138947</v>
      </c>
      <c r="Q16" s="297">
        <v>0.22196169511173255</v>
      </c>
      <c r="R16" s="297">
        <v>4.1430404779332665E-2</v>
      </c>
      <c r="S16" s="297">
        <v>-0.10682587262018807</v>
      </c>
      <c r="T16" s="297">
        <v>-0.25238881692940696</v>
      </c>
      <c r="U16" s="297">
        <v>0.38598462106723563</v>
      </c>
      <c r="V16" s="297">
        <v>0.16542036477231323</v>
      </c>
      <c r="W16" s="297">
        <v>-3.6076757660622252E-2</v>
      </c>
      <c r="X16" s="297">
        <v>9.4896142689399041E-2</v>
      </c>
      <c r="Y16" s="297">
        <v>6.8213429068873052E-2</v>
      </c>
      <c r="Z16" s="297">
        <v>-2.5902069595202946E-2</v>
      </c>
      <c r="AA16" s="297">
        <v>-7.3381312464295662E-2</v>
      </c>
      <c r="AB16" s="297">
        <v>-1.3784297812518657E-2</v>
      </c>
      <c r="AC16" s="297">
        <v>-8.9218905293838496E-2</v>
      </c>
      <c r="AD16" s="297">
        <v>-0.16196106419310577</v>
      </c>
      <c r="AE16" s="301">
        <v>0.41698686860593942</v>
      </c>
      <c r="AF16" s="297">
        <v>0.10491094633151136</v>
      </c>
      <c r="AG16" s="297">
        <v>-5.6326787252086549E-2</v>
      </c>
      <c r="AH16" s="297">
        <v>-0.1351919973793618</v>
      </c>
      <c r="AI16" s="297">
        <v>8.0620932636986609E-2</v>
      </c>
      <c r="AJ16" s="297">
        <v>-9.9606984624302924E-2</v>
      </c>
      <c r="AK16" s="297">
        <v>0.33272609272055031</v>
      </c>
      <c r="AL16" s="297">
        <v>0.18769043925141923</v>
      </c>
      <c r="AM16" s="297">
        <v>0.36539735564469938</v>
      </c>
    </row>
    <row r="17" spans="1:39" ht="11.25" customHeight="1" x14ac:dyDescent="0.25">
      <c r="A17" s="624"/>
      <c r="B17" s="90" t="s">
        <v>419</v>
      </c>
      <c r="C17" s="297">
        <v>-0.16960775597728978</v>
      </c>
      <c r="D17" s="297">
        <v>4.0412119476294098E-2</v>
      </c>
      <c r="E17" s="297">
        <v>0.59682004888113493</v>
      </c>
      <c r="F17" s="297">
        <v>1.8315281513320743E-2</v>
      </c>
      <c r="G17" s="297">
        <v>0.3637034776150263</v>
      </c>
      <c r="H17" s="297">
        <v>0.27269910528441249</v>
      </c>
      <c r="I17" s="297">
        <v>6.3607747990914731E-2</v>
      </c>
      <c r="J17" s="296">
        <v>1</v>
      </c>
      <c r="K17" s="297">
        <v>-0.17549903201763919</v>
      </c>
      <c r="L17" s="297">
        <v>-0.26526509211996652</v>
      </c>
      <c r="M17" s="297">
        <v>-0.1414920138177635</v>
      </c>
      <c r="N17" s="297">
        <v>0.16516169414269602</v>
      </c>
      <c r="O17" s="297">
        <v>0.35774712450160218</v>
      </c>
      <c r="P17" s="297">
        <v>-0.18675213293910028</v>
      </c>
      <c r="Q17" s="297">
        <v>0.14390903299099206</v>
      </c>
      <c r="R17" s="297">
        <v>0.15054339969503688</v>
      </c>
      <c r="S17" s="297">
        <v>0.33075082653308058</v>
      </c>
      <c r="T17" s="297">
        <v>0.10865896560877848</v>
      </c>
      <c r="U17" s="301">
        <v>-0.25567601592237588</v>
      </c>
      <c r="V17" s="301">
        <v>-0.24237658939138476</v>
      </c>
      <c r="W17" s="297">
        <v>0.13925308682152546</v>
      </c>
      <c r="X17" s="297">
        <v>-7.8711398918675096E-2</v>
      </c>
      <c r="Y17" s="297">
        <v>0.3735815620240901</v>
      </c>
      <c r="Z17" s="297">
        <v>-0.36050540758963623</v>
      </c>
      <c r="AA17" s="297">
        <v>4.2023897509786315E-2</v>
      </c>
      <c r="AB17" s="297">
        <v>7.1486886575327256E-3</v>
      </c>
      <c r="AC17" s="297">
        <v>-4.7811104519781697E-2</v>
      </c>
      <c r="AD17" s="297">
        <v>0.1439281006080905</v>
      </c>
      <c r="AE17" s="301">
        <v>-0.18900328497044852</v>
      </c>
      <c r="AF17" s="297">
        <v>8.0028445591967909E-2</v>
      </c>
      <c r="AG17" s="297">
        <v>7.5681295940589685E-2</v>
      </c>
      <c r="AH17" s="297">
        <v>0.16876620486731464</v>
      </c>
      <c r="AI17" s="297">
        <v>0.42840459211718374</v>
      </c>
      <c r="AJ17" s="301">
        <v>0.68600746286580494</v>
      </c>
      <c r="AK17" s="301">
        <v>-0.31469422436437683</v>
      </c>
      <c r="AL17" s="297">
        <v>-2.210432894229783E-2</v>
      </c>
      <c r="AM17" s="297">
        <v>-9.1138572473257087E-2</v>
      </c>
    </row>
    <row r="18" spans="1:39" ht="11.25" customHeight="1" x14ac:dyDescent="0.25">
      <c r="A18" s="624"/>
      <c r="B18" s="90" t="s">
        <v>420</v>
      </c>
      <c r="C18" s="297">
        <v>-7.4635570744649882E-2</v>
      </c>
      <c r="D18" s="297">
        <v>0.13186133857646981</v>
      </c>
      <c r="E18" s="297">
        <v>4.9584568105720941E-2</v>
      </c>
      <c r="F18" s="297">
        <v>-0.16282789229337213</v>
      </c>
      <c r="G18" s="297">
        <v>-3.1631862246802901E-2</v>
      </c>
      <c r="H18" s="297">
        <v>0.18992359646758186</v>
      </c>
      <c r="I18" s="297">
        <v>6.6320309995969821E-3</v>
      </c>
      <c r="J18" s="297">
        <v>6.6964968016735727E-3</v>
      </c>
      <c r="K18" s="296">
        <v>1</v>
      </c>
      <c r="L18" s="297">
        <v>0.26254058535248098</v>
      </c>
      <c r="M18" s="297">
        <v>-0.17966277128520566</v>
      </c>
      <c r="N18" s="297">
        <v>-6.400963486969705E-3</v>
      </c>
      <c r="O18" s="297">
        <v>-0.26055943296653461</v>
      </c>
      <c r="P18" s="297">
        <v>-0.10610184397918003</v>
      </c>
      <c r="Q18" s="297">
        <v>-0.10138082690966237</v>
      </c>
      <c r="R18" s="297">
        <v>3.2367932629831977E-3</v>
      </c>
      <c r="S18" s="297">
        <v>0.14443422473923309</v>
      </c>
      <c r="T18" s="297">
        <v>-0.16219297200225544</v>
      </c>
      <c r="U18" s="297">
        <v>0.18087503366508159</v>
      </c>
      <c r="V18" s="297">
        <v>6.8558277173759161E-2</v>
      </c>
      <c r="W18" s="297">
        <v>-0.19501268225820254</v>
      </c>
      <c r="X18" s="297">
        <v>-0.13705889551885062</v>
      </c>
      <c r="Y18" s="297">
        <v>4.1801572232852378E-2</v>
      </c>
      <c r="Z18" s="297">
        <v>7.5447094703863099E-2</v>
      </c>
      <c r="AA18" s="297">
        <v>-0.20608650411130816</v>
      </c>
      <c r="AB18" s="297">
        <v>-1.8246032292655572E-2</v>
      </c>
      <c r="AC18" s="297">
        <v>-5.2621163251664084E-3</v>
      </c>
      <c r="AD18" s="297">
        <v>-0.13326048766763987</v>
      </c>
      <c r="AE18" s="297">
        <v>-3.9347417908642358E-2</v>
      </c>
      <c r="AF18" s="297">
        <v>8.9465916932005327E-2</v>
      </c>
      <c r="AG18" s="297">
        <v>0.11105461691897531</v>
      </c>
      <c r="AH18" s="297">
        <v>-0.23488581380006021</v>
      </c>
      <c r="AI18" s="297">
        <v>-0.14448820113191371</v>
      </c>
      <c r="AJ18" s="297">
        <v>-0.14791436583518722</v>
      </c>
      <c r="AK18" s="297">
        <v>0.28896005100178279</v>
      </c>
      <c r="AL18" s="297">
        <v>0.14972255119615624</v>
      </c>
      <c r="AM18" s="297">
        <v>2.8126077932347912E-3</v>
      </c>
    </row>
    <row r="19" spans="1:39" ht="11.25" customHeight="1" x14ac:dyDescent="0.25">
      <c r="A19" s="624"/>
      <c r="B19" s="90" t="s">
        <v>421</v>
      </c>
      <c r="C19" s="301">
        <v>0.12614097338739963</v>
      </c>
      <c r="D19" s="297">
        <v>0.15176090949585982</v>
      </c>
      <c r="E19" s="297">
        <v>-0.13236854820440241</v>
      </c>
      <c r="F19" s="297">
        <v>-6.3092039902039208E-3</v>
      </c>
      <c r="G19" s="297">
        <v>3.5934957284563411E-2</v>
      </c>
      <c r="H19" s="297">
        <v>0.20732710884302699</v>
      </c>
      <c r="I19" s="297">
        <v>0.15124264487055852</v>
      </c>
      <c r="J19" s="297">
        <v>-0.1084525687078749</v>
      </c>
      <c r="K19" s="297">
        <v>0.30228296730452309</v>
      </c>
      <c r="L19" s="296">
        <v>1</v>
      </c>
      <c r="M19" s="297">
        <v>0.13606262596923874</v>
      </c>
      <c r="N19" s="297">
        <v>-2.4720669230021967E-2</v>
      </c>
      <c r="O19" s="297">
        <v>-0.14157677455558135</v>
      </c>
      <c r="P19" s="297">
        <v>0.34329281723969146</v>
      </c>
      <c r="Q19" s="297">
        <v>0.24715019626267248</v>
      </c>
      <c r="R19" s="297">
        <v>0.17713667300059352</v>
      </c>
      <c r="S19" s="297">
        <v>-0.17099200513651852</v>
      </c>
      <c r="T19" s="297">
        <v>-0.17326986447521833</v>
      </c>
      <c r="U19" s="301">
        <v>0.60467564319327061</v>
      </c>
      <c r="V19" s="301">
        <v>0.25766220662074624</v>
      </c>
      <c r="W19" s="297">
        <v>-0.17307135027521489</v>
      </c>
      <c r="X19" s="297">
        <v>-4.0761502293549426E-2</v>
      </c>
      <c r="Y19" s="297">
        <v>-3.6481984293585151E-2</v>
      </c>
      <c r="Z19" s="297">
        <v>0.1989581233666167</v>
      </c>
      <c r="AA19" s="297">
        <v>3.1165321471935334E-2</v>
      </c>
      <c r="AB19" s="297">
        <v>0.12875120736991516</v>
      </c>
      <c r="AC19" s="297">
        <v>0.30304453941667442</v>
      </c>
      <c r="AD19" s="297">
        <v>-6.5938043488989557E-3</v>
      </c>
      <c r="AE19" s="301">
        <v>0.28110939258578704</v>
      </c>
      <c r="AF19" s="297">
        <v>6.6549341035015766E-2</v>
      </c>
      <c r="AG19" s="297">
        <v>0.15201445602555158</v>
      </c>
      <c r="AH19" s="297">
        <v>4.6031838663551122E-2</v>
      </c>
      <c r="AI19" s="297">
        <v>-0.120465962630176</v>
      </c>
      <c r="AJ19" s="297">
        <v>-0.24415497067897637</v>
      </c>
      <c r="AK19" s="297">
        <v>0.63096277008842772</v>
      </c>
      <c r="AL19" s="297">
        <v>0.12175064647206946</v>
      </c>
      <c r="AM19" s="297">
        <v>0.26498214987041568</v>
      </c>
    </row>
    <row r="20" spans="1:39" ht="11.25" customHeight="1" x14ac:dyDescent="0.25">
      <c r="A20" s="624"/>
      <c r="B20" s="90" t="s">
        <v>422</v>
      </c>
      <c r="C20" s="297">
        <v>-8.2047346482949216E-2</v>
      </c>
      <c r="D20" s="297">
        <v>5.5060008665475856E-2</v>
      </c>
      <c r="E20" s="297">
        <v>3.076287861536043E-2</v>
      </c>
      <c r="F20" s="297">
        <v>0.15490983013603313</v>
      </c>
      <c r="G20" s="297">
        <v>0.17687363341466211</v>
      </c>
      <c r="H20" s="297">
        <v>2.7126788678698922E-2</v>
      </c>
      <c r="I20" s="297">
        <v>-3.3519876766020272E-2</v>
      </c>
      <c r="J20" s="297">
        <v>0.10662464197583081</v>
      </c>
      <c r="K20" s="297">
        <v>-0.19386228194779612</v>
      </c>
      <c r="L20" s="297">
        <v>-9.8360324428025017E-2</v>
      </c>
      <c r="M20" s="296">
        <v>1</v>
      </c>
      <c r="N20" s="297">
        <v>6.4534885733400174E-2</v>
      </c>
      <c r="O20" s="297">
        <v>-0.12304207822572472</v>
      </c>
      <c r="P20" s="297">
        <v>0.41815762742627482</v>
      </c>
      <c r="Q20" s="297">
        <v>0.25750057269631499</v>
      </c>
      <c r="R20" s="297">
        <v>6.6509318196013448E-3</v>
      </c>
      <c r="S20" s="297">
        <v>-8.5540185169384247E-2</v>
      </c>
      <c r="T20" s="297">
        <v>-0.16763941890889861</v>
      </c>
      <c r="U20" s="297">
        <v>0.40700963169880905</v>
      </c>
      <c r="V20" s="297">
        <v>0.27514269172197608</v>
      </c>
      <c r="W20" s="297">
        <v>0.12937794998174745</v>
      </c>
      <c r="X20" s="297">
        <v>0.45948514753167979</v>
      </c>
      <c r="Y20" s="297">
        <v>-5.0168147655868515E-2</v>
      </c>
      <c r="Z20" s="297">
        <v>1.8212862404800842E-2</v>
      </c>
      <c r="AA20" s="297">
        <v>4.9473047006973941E-2</v>
      </c>
      <c r="AB20" s="297">
        <v>0.23834137306929357</v>
      </c>
      <c r="AC20" s="297">
        <v>2.2154720675636456E-2</v>
      </c>
      <c r="AD20" s="297">
        <v>-1.551832280224982E-2</v>
      </c>
      <c r="AE20" s="297">
        <v>0.3678126343173283</v>
      </c>
      <c r="AF20" s="297">
        <v>0.19577274918463503</v>
      </c>
      <c r="AG20" s="297">
        <v>0.14042815197432487</v>
      </c>
      <c r="AH20" s="297">
        <v>-1.2897727520389479E-2</v>
      </c>
      <c r="AI20" s="297">
        <v>8.8289703092303065E-2</v>
      </c>
      <c r="AJ20" s="297">
        <v>-0.12066153926915288</v>
      </c>
      <c r="AK20" s="301">
        <v>0.25417795043218794</v>
      </c>
      <c r="AL20" s="297">
        <v>8.0089403584204411E-2</v>
      </c>
      <c r="AM20" s="297">
        <v>0.53375674719155153</v>
      </c>
    </row>
    <row r="21" spans="1:39" ht="11.25" customHeight="1" x14ac:dyDescent="0.25">
      <c r="A21" s="624"/>
      <c r="B21" s="90" t="s">
        <v>423</v>
      </c>
      <c r="C21" s="297">
        <v>0.15045874516833926</v>
      </c>
      <c r="D21" s="297">
        <v>0.15094312400791057</v>
      </c>
      <c r="E21" s="297">
        <v>0.1373354916186223</v>
      </c>
      <c r="F21" s="297">
        <v>0.19977407999741092</v>
      </c>
      <c r="G21" s="297">
        <v>3.2240085125795673E-4</v>
      </c>
      <c r="H21" s="297">
        <v>0.11103069169208306</v>
      </c>
      <c r="I21" s="297">
        <v>0.4779150800154624</v>
      </c>
      <c r="J21" s="297">
        <v>0.10932364064829952</v>
      </c>
      <c r="K21" s="297">
        <v>-2.1229927248044754E-2</v>
      </c>
      <c r="L21" s="297">
        <v>-5.0133926063707639E-2</v>
      </c>
      <c r="M21" s="297">
        <v>0.12666566186557057</v>
      </c>
      <c r="N21" s="296">
        <v>1</v>
      </c>
      <c r="O21" s="297">
        <v>0.1334086601773487</v>
      </c>
      <c r="P21" s="297">
        <v>-0.11741610714590757</v>
      </c>
      <c r="Q21" s="297">
        <v>0.11889108170251768</v>
      </c>
      <c r="R21" s="297">
        <v>-0.25640299054637905</v>
      </c>
      <c r="S21" s="297">
        <v>-0.10731240190055877</v>
      </c>
      <c r="T21" s="297">
        <v>-0.16396182617570204</v>
      </c>
      <c r="U21" s="297">
        <v>6.8840297430035488E-2</v>
      </c>
      <c r="V21" s="297">
        <v>-9.9392974131899167E-2</v>
      </c>
      <c r="W21" s="297">
        <v>0.164400466443757</v>
      </c>
      <c r="X21" s="297">
        <v>0.30411341970086631</v>
      </c>
      <c r="Y21" s="297">
        <v>-2.1735026989632235E-2</v>
      </c>
      <c r="Z21" s="297">
        <v>-0.1007250648162907</v>
      </c>
      <c r="AA21" s="297">
        <v>0.14111736313356085</v>
      </c>
      <c r="AB21" s="297">
        <v>-9.9656861378826914E-2</v>
      </c>
      <c r="AC21" s="297">
        <v>1.442729461399075E-3</v>
      </c>
      <c r="AD21" s="297">
        <v>-5.8807884763100754E-2</v>
      </c>
      <c r="AE21" s="297">
        <v>6.3073131251504419E-2</v>
      </c>
      <c r="AF21" s="297">
        <v>-7.2171271969702605E-2</v>
      </c>
      <c r="AG21" s="297">
        <v>0.26256816936785821</v>
      </c>
      <c r="AH21" s="297">
        <v>1.9953019898674616E-2</v>
      </c>
      <c r="AI21" s="297">
        <v>4.7098007689154772E-2</v>
      </c>
      <c r="AJ21" s="297">
        <v>3.7886777003245636E-2</v>
      </c>
      <c r="AK21" s="297">
        <v>-0.20291368784222827</v>
      </c>
      <c r="AL21" s="297">
        <v>0.16745025702844976</v>
      </c>
      <c r="AM21" s="297">
        <v>0.37998927053433518</v>
      </c>
    </row>
    <row r="22" spans="1:39" ht="11.25" customHeight="1" x14ac:dyDescent="0.25">
      <c r="A22" s="624"/>
      <c r="B22" s="90" t="s">
        <v>424</v>
      </c>
      <c r="C22" s="297">
        <v>0.23253857534568959</v>
      </c>
      <c r="D22" s="297">
        <v>2.8870366114698117E-2</v>
      </c>
      <c r="E22" s="301">
        <v>0.59157150813310155</v>
      </c>
      <c r="F22" s="297">
        <v>-6.1787449607356305E-2</v>
      </c>
      <c r="G22" s="297">
        <v>-0.1779746610850374</v>
      </c>
      <c r="H22" s="297">
        <v>7.7816320587272725E-2</v>
      </c>
      <c r="I22" s="297">
        <v>0.15638376198168735</v>
      </c>
      <c r="J22" s="297">
        <v>0.12581585166299306</v>
      </c>
      <c r="K22" s="297">
        <v>-7.8791484113952415E-3</v>
      </c>
      <c r="L22" s="297">
        <v>4.4355758671920737E-4</v>
      </c>
      <c r="M22" s="297">
        <v>1.2120540090352395E-2</v>
      </c>
      <c r="N22" s="297">
        <v>0.10525659647118872</v>
      </c>
      <c r="O22" s="296">
        <v>1</v>
      </c>
      <c r="P22" s="297">
        <v>-0.18061986112042563</v>
      </c>
      <c r="Q22" s="297">
        <v>8.2666121884367241E-2</v>
      </c>
      <c r="R22" s="297">
        <v>0.18206214837773968</v>
      </c>
      <c r="S22" s="297">
        <v>5.8585403192666662E-2</v>
      </c>
      <c r="T22" s="297">
        <v>8.9736992347659084E-2</v>
      </c>
      <c r="U22" s="297">
        <v>-0.11429455444742154</v>
      </c>
      <c r="V22" s="301">
        <v>-0.19365565359903525</v>
      </c>
      <c r="W22" s="297">
        <v>0.12278396940109521</v>
      </c>
      <c r="X22" s="297">
        <v>-4.5005560429204677E-3</v>
      </c>
      <c r="Y22" s="301">
        <v>0.27107088228489257</v>
      </c>
      <c r="Z22" s="297">
        <v>-0.20509504087672814</v>
      </c>
      <c r="AA22" s="297">
        <v>8.2665416924641952E-2</v>
      </c>
      <c r="AB22" s="297">
        <v>-0.16599115441771034</v>
      </c>
      <c r="AC22" s="297">
        <v>-0.21627393450778404</v>
      </c>
      <c r="AD22" s="297">
        <v>0.13732144521884862</v>
      </c>
      <c r="AE22" s="297">
        <v>-4.5401930622432043E-2</v>
      </c>
      <c r="AF22" s="297">
        <v>2.001306760291801E-2</v>
      </c>
      <c r="AG22" s="297">
        <v>-0.11873298117308886</v>
      </c>
      <c r="AH22" s="297">
        <v>0.16145315240898545</v>
      </c>
      <c r="AI22" s="301">
        <v>-1.5591406334968177E-2</v>
      </c>
      <c r="AJ22" s="301">
        <v>0.37841679718107568</v>
      </c>
      <c r="AK22" s="297">
        <v>-0.1728374155768648</v>
      </c>
      <c r="AL22" s="297">
        <v>0.17775102394527142</v>
      </c>
      <c r="AM22" s="297">
        <v>4.8653533324507316E-2</v>
      </c>
    </row>
    <row r="23" spans="1:39" ht="11.25" customHeight="1" x14ac:dyDescent="0.25">
      <c r="A23" s="624"/>
      <c r="B23" s="90" t="s">
        <v>425</v>
      </c>
      <c r="C23" s="297">
        <v>-0.10266500633133009</v>
      </c>
      <c r="D23" s="297">
        <v>8.2073101868688613E-3</v>
      </c>
      <c r="E23" s="297">
        <v>4.5297297095773285E-2</v>
      </c>
      <c r="F23" s="297">
        <v>0.13596507352048298</v>
      </c>
      <c r="G23" s="297">
        <v>0.29674107090821644</v>
      </c>
      <c r="H23" s="297">
        <v>-2.0342940370952956E-2</v>
      </c>
      <c r="I23" s="297">
        <v>0.17301012482633768</v>
      </c>
      <c r="J23" s="297">
        <v>9.9710670129423015E-2</v>
      </c>
      <c r="K23" s="297">
        <v>-5.8407632593289252E-2</v>
      </c>
      <c r="L23" s="297">
        <v>6.1343934734517498E-2</v>
      </c>
      <c r="M23" s="297">
        <v>0.39569355358071101</v>
      </c>
      <c r="N23" s="297">
        <v>8.6156981278196099E-2</v>
      </c>
      <c r="O23" s="297">
        <v>-5.3815040819661965E-2</v>
      </c>
      <c r="P23" s="296">
        <v>1</v>
      </c>
      <c r="Q23" s="297">
        <v>9.0800710541758631E-2</v>
      </c>
      <c r="R23" s="297">
        <v>0.18933523835809946</v>
      </c>
      <c r="S23" s="301">
        <v>-0.32434136808191272</v>
      </c>
      <c r="T23" s="301">
        <v>-0.17165931825115316</v>
      </c>
      <c r="U23" s="297">
        <v>0.5099927353599466</v>
      </c>
      <c r="V23" s="297">
        <v>0.39699837744910443</v>
      </c>
      <c r="W23" s="301">
        <v>8.4992759225569536E-2</v>
      </c>
      <c r="X23" s="297">
        <v>-9.6208527266535542E-3</v>
      </c>
      <c r="Y23" s="297">
        <v>0.26397710600007668</v>
      </c>
      <c r="Z23" s="297">
        <v>-0.13902467914718461</v>
      </c>
      <c r="AA23" s="297">
        <v>1.7559276178067313E-2</v>
      </c>
      <c r="AB23" s="297">
        <v>0.44043335237930814</v>
      </c>
      <c r="AC23" s="297">
        <v>0.38369142273845364</v>
      </c>
      <c r="AD23" s="301">
        <v>1.1959085812235136E-2</v>
      </c>
      <c r="AE23" s="297">
        <v>0.22265512800039317</v>
      </c>
      <c r="AF23" s="297">
        <v>-0.16463882681471911</v>
      </c>
      <c r="AG23" s="297">
        <v>0.14591391851766641</v>
      </c>
      <c r="AH23" s="297">
        <v>8.3176688740687885E-2</v>
      </c>
      <c r="AI23" s="297">
        <v>0.24016025139121752</v>
      </c>
      <c r="AJ23" s="297">
        <v>-4.0405462639121668E-2</v>
      </c>
      <c r="AK23" s="301">
        <v>0.31720351226105653</v>
      </c>
      <c r="AL23" s="297">
        <v>-0.34229158995607251</v>
      </c>
      <c r="AM23" s="297">
        <v>0.37937284116527986</v>
      </c>
    </row>
    <row r="24" spans="1:39" ht="11.25" customHeight="1" x14ac:dyDescent="0.25">
      <c r="A24" s="624"/>
      <c r="B24" s="90" t="s">
        <v>426</v>
      </c>
      <c r="C24" s="297">
        <v>6.91598235619649E-2</v>
      </c>
      <c r="D24" s="297">
        <v>9.0655153673131997E-2</v>
      </c>
      <c r="E24" s="297">
        <v>-5.8360133812902316E-2</v>
      </c>
      <c r="F24" s="297">
        <v>7.0441970904406931E-2</v>
      </c>
      <c r="G24" s="297">
        <v>4.9629639023821691E-2</v>
      </c>
      <c r="H24" s="297">
        <v>0.17235170974872971</v>
      </c>
      <c r="I24" s="297">
        <v>4.1025713405126146E-2</v>
      </c>
      <c r="J24" s="297">
        <v>6.8813321268667668E-2</v>
      </c>
      <c r="K24" s="297">
        <v>2.2580323900824109E-2</v>
      </c>
      <c r="L24" s="297">
        <v>0.23090232870695609</v>
      </c>
      <c r="M24" s="297">
        <v>0.25130003901387044</v>
      </c>
      <c r="N24" s="297">
        <v>-1.7054965046264716E-2</v>
      </c>
      <c r="O24" s="297">
        <v>-0.10832796924456532</v>
      </c>
      <c r="P24" s="297">
        <v>0.15717801142873275</v>
      </c>
      <c r="Q24" s="296">
        <v>1</v>
      </c>
      <c r="R24" s="297">
        <v>-0.19753475601155077</v>
      </c>
      <c r="S24" s="297">
        <v>-0.20319169340887769</v>
      </c>
      <c r="T24" s="297">
        <v>-2.4424805713441039E-3</v>
      </c>
      <c r="U24" s="297">
        <v>2.9203251870231994E-2</v>
      </c>
      <c r="V24" s="297">
        <v>4.4031806753427414E-3</v>
      </c>
      <c r="W24" s="297">
        <v>-8.2589615591671647E-2</v>
      </c>
      <c r="X24" s="297">
        <v>0.12680766557411105</v>
      </c>
      <c r="Y24" s="301">
        <v>0.12139530098811241</v>
      </c>
      <c r="Z24" s="297">
        <v>7.8873555510753091E-2</v>
      </c>
      <c r="AA24" s="297">
        <v>0.12494258783584473</v>
      </c>
      <c r="AB24" s="297">
        <v>-9.3006776449392675E-2</v>
      </c>
      <c r="AC24" s="301">
        <v>-0.25830459687093155</v>
      </c>
      <c r="AD24" s="297">
        <v>0.20448462595611019</v>
      </c>
      <c r="AE24" s="301">
        <v>0.50178246113404534</v>
      </c>
      <c r="AF24" s="297">
        <v>0.27494949798939589</v>
      </c>
      <c r="AG24" s="297">
        <v>-0.17735615871028462</v>
      </c>
      <c r="AH24" s="297">
        <v>-6.0476725036767133E-2</v>
      </c>
      <c r="AI24" s="297">
        <v>9.3957202936422499E-2</v>
      </c>
      <c r="AJ24" s="297">
        <v>5.5179460015852611E-2</v>
      </c>
      <c r="AK24" s="297">
        <v>0.13122154232495697</v>
      </c>
      <c r="AL24" s="297">
        <v>7.8658921010797467E-2</v>
      </c>
      <c r="AM24" s="297">
        <v>0.3644054102824888</v>
      </c>
    </row>
    <row r="25" spans="1:39" ht="11.25" customHeight="1" x14ac:dyDescent="0.25">
      <c r="A25" s="624"/>
      <c r="B25" s="90" t="s">
        <v>427</v>
      </c>
      <c r="C25" s="297">
        <v>8.0986436117029423E-2</v>
      </c>
      <c r="D25" s="297">
        <v>8.6143284483124555E-2</v>
      </c>
      <c r="E25" s="297">
        <v>0.29739106264897525</v>
      </c>
      <c r="F25" s="297">
        <v>0.17440018292392465</v>
      </c>
      <c r="G25" s="297">
        <v>0.12614529774633712</v>
      </c>
      <c r="H25" s="297">
        <v>8.6521617880030197E-2</v>
      </c>
      <c r="I25" s="297">
        <v>0.20826265338683489</v>
      </c>
      <c r="J25" s="297">
        <v>0.16773423968441173</v>
      </c>
      <c r="K25" s="297">
        <v>0.1290489952168743</v>
      </c>
      <c r="L25" s="297">
        <v>0.17047013917322951</v>
      </c>
      <c r="M25" s="297">
        <v>2.4012164495360977E-2</v>
      </c>
      <c r="N25" s="297">
        <v>2.4463599630973179E-2</v>
      </c>
      <c r="O25" s="297">
        <v>0.20209154262238768</v>
      </c>
      <c r="P25" s="297">
        <v>0.23624582369424524</v>
      </c>
      <c r="Q25" s="297">
        <v>-3.0593534855285279E-2</v>
      </c>
      <c r="R25" s="296">
        <v>1</v>
      </c>
      <c r="S25" s="297">
        <v>0.2836551372615726</v>
      </c>
      <c r="T25" s="297">
        <v>0.10443214167524731</v>
      </c>
      <c r="U25" s="297">
        <v>0.34780426981418233</v>
      </c>
      <c r="V25" s="297">
        <v>0.18433594620436802</v>
      </c>
      <c r="W25" s="297">
        <v>5.0587556506831118E-2</v>
      </c>
      <c r="X25" s="297">
        <v>1.5610732251768528E-2</v>
      </c>
      <c r="Y25" s="297">
        <v>0.21848539488061072</v>
      </c>
      <c r="Z25" s="297">
        <v>-0.17542239865647929</v>
      </c>
      <c r="AA25" s="297">
        <v>-5.0315494394044032E-3</v>
      </c>
      <c r="AB25" s="297">
        <v>0.20458983890790292</v>
      </c>
      <c r="AC25" s="297">
        <v>0.22158315444903878</v>
      </c>
      <c r="AD25" s="301">
        <v>-0.23946496118066735</v>
      </c>
      <c r="AE25" s="297">
        <v>-8.6346792620743528E-3</v>
      </c>
      <c r="AF25" s="297">
        <v>4.2213347781466806E-2</v>
      </c>
      <c r="AG25" s="297">
        <v>5.9600901783224844E-2</v>
      </c>
      <c r="AH25" s="297">
        <v>0.25533877660674054</v>
      </c>
      <c r="AI25" s="297">
        <v>7.873543821495016E-2</v>
      </c>
      <c r="AJ25" s="297">
        <v>0.23918293216420658</v>
      </c>
      <c r="AK25" s="297">
        <v>0.23969657268966424</v>
      </c>
      <c r="AL25" s="297">
        <v>0.17215475634478541</v>
      </c>
      <c r="AM25" s="297">
        <v>0.20168253813111955</v>
      </c>
    </row>
    <row r="26" spans="1:39" ht="11.25" customHeight="1" x14ac:dyDescent="0.25">
      <c r="A26" s="624"/>
      <c r="B26" s="90" t="s">
        <v>428</v>
      </c>
      <c r="C26" s="297">
        <v>-9.3083943683373804E-2</v>
      </c>
      <c r="D26" s="297">
        <v>6.5439931165352308E-2</v>
      </c>
      <c r="E26" s="297">
        <v>0.17083029864559415</v>
      </c>
      <c r="F26" s="297">
        <v>8.8440910953124785E-2</v>
      </c>
      <c r="G26" s="297">
        <v>3.3690720999537023E-2</v>
      </c>
      <c r="H26" s="297">
        <v>0.24064517555167084</v>
      </c>
      <c r="I26" s="297">
        <v>4.8206588508881328E-3</v>
      </c>
      <c r="J26" s="297">
        <v>8.7010634788059441E-2</v>
      </c>
      <c r="K26" s="297">
        <v>0.11529357656227369</v>
      </c>
      <c r="L26" s="297">
        <v>-3.8949064188030555E-2</v>
      </c>
      <c r="M26" s="297">
        <v>-5.0963815210830814E-2</v>
      </c>
      <c r="N26" s="297">
        <v>2.356095287316497E-2</v>
      </c>
      <c r="O26" s="297">
        <v>1.8307526530010422E-2</v>
      </c>
      <c r="P26" s="301">
        <v>9.7800181156722885E-2</v>
      </c>
      <c r="Q26" s="297">
        <v>-8.0442538680418549E-2</v>
      </c>
      <c r="R26" s="297">
        <v>0.1317943563957214</v>
      </c>
      <c r="S26" s="296">
        <v>1</v>
      </c>
      <c r="T26" s="297">
        <v>0.4350882155928692</v>
      </c>
      <c r="U26" s="297">
        <v>-0.12979016476458488</v>
      </c>
      <c r="V26" s="301">
        <v>-0.21535917420483458</v>
      </c>
      <c r="W26" s="297">
        <v>-3.571134742376858E-3</v>
      </c>
      <c r="X26" s="297">
        <v>-1.5026142473251427E-2</v>
      </c>
      <c r="Y26" s="297">
        <v>0.18666350487537811</v>
      </c>
      <c r="Z26" s="297">
        <v>-2.6833946623823671E-2</v>
      </c>
      <c r="AA26" s="297">
        <v>2.0142701107574004E-2</v>
      </c>
      <c r="AB26" s="297">
        <v>-1.8291783044763928E-2</v>
      </c>
      <c r="AC26" s="297">
        <v>-9.0837173958124129E-2</v>
      </c>
      <c r="AD26" s="297">
        <v>-7.2661707850447843E-2</v>
      </c>
      <c r="AE26" s="297">
        <v>-0.29589919832089906</v>
      </c>
      <c r="AF26" s="297">
        <v>0.1472163751192091</v>
      </c>
      <c r="AG26" s="297">
        <v>0.21409172598229484</v>
      </c>
      <c r="AH26" s="297">
        <v>0.18168425863772239</v>
      </c>
      <c r="AI26" s="297">
        <v>5.9960814781239144E-2</v>
      </c>
      <c r="AJ26" s="297">
        <v>0.2664068332884339</v>
      </c>
      <c r="AK26" s="297">
        <v>-0.17951421151025707</v>
      </c>
      <c r="AL26" s="301">
        <v>0.37789302609228803</v>
      </c>
      <c r="AM26" s="297">
        <v>-4.5461031945406544E-2</v>
      </c>
    </row>
    <row r="27" spans="1:39" ht="11.25" customHeight="1" x14ac:dyDescent="0.25">
      <c r="A27" s="624"/>
      <c r="B27" s="90" t="s">
        <v>429</v>
      </c>
      <c r="C27" s="297">
        <v>-7.567469488127819E-2</v>
      </c>
      <c r="D27" s="297">
        <v>0.14106887372525995</v>
      </c>
      <c r="E27" s="297">
        <v>1.7034849737122076E-2</v>
      </c>
      <c r="F27" s="297">
        <v>0.12686197010166436</v>
      </c>
      <c r="G27" s="297">
        <v>0.19057466646797067</v>
      </c>
      <c r="H27" s="297">
        <v>0.10176550166304422</v>
      </c>
      <c r="I27" s="297">
        <v>-3.2403468107441977E-2</v>
      </c>
      <c r="J27" s="297">
        <v>8.8696186971986446E-2</v>
      </c>
      <c r="K27" s="297">
        <v>-4.4298469823856032E-2</v>
      </c>
      <c r="L27" s="297">
        <v>-9.3534569196066092E-2</v>
      </c>
      <c r="M27" s="297">
        <v>-7.0136277297704122E-2</v>
      </c>
      <c r="N27" s="297">
        <v>9.7493441314875275E-3</v>
      </c>
      <c r="O27" s="297">
        <v>-8.1203908688581114E-2</v>
      </c>
      <c r="P27" s="301">
        <v>0.15111897733343527</v>
      </c>
      <c r="Q27" s="297">
        <v>9.9609936154960638E-2</v>
      </c>
      <c r="R27" s="297">
        <v>0.15147870752374776</v>
      </c>
      <c r="S27" s="297">
        <v>0.63300493997181251</v>
      </c>
      <c r="T27" s="296">
        <v>1</v>
      </c>
      <c r="U27" s="301">
        <v>-0.23823858770393622</v>
      </c>
      <c r="V27" s="297">
        <v>-0.13478430714825668</v>
      </c>
      <c r="W27" s="297">
        <v>-7.8711078818894345E-2</v>
      </c>
      <c r="X27" s="297">
        <v>-7.8902810524248607E-2</v>
      </c>
      <c r="Y27" s="297">
        <v>0.21537083857365469</v>
      </c>
      <c r="Z27" s="297">
        <v>2.084589899665934E-2</v>
      </c>
      <c r="AA27" s="297">
        <v>0.21371706402781829</v>
      </c>
      <c r="AB27" s="297">
        <v>9.5182539669256896E-2</v>
      </c>
      <c r="AC27" s="297">
        <v>0.15494114738565368</v>
      </c>
      <c r="AD27" s="297">
        <v>2.035673832974003E-2</v>
      </c>
      <c r="AE27" s="297">
        <v>-0.15801515655936726</v>
      </c>
      <c r="AF27" s="297">
        <v>7.5033554829930793E-2</v>
      </c>
      <c r="AG27" s="297">
        <v>0.16345415867651297</v>
      </c>
      <c r="AH27" s="297">
        <v>0.31255724916134831</v>
      </c>
      <c r="AI27" s="297">
        <v>-7.459344220121478E-3</v>
      </c>
      <c r="AJ27" s="297">
        <v>0.17049237434879225</v>
      </c>
      <c r="AK27" s="297">
        <v>-0.31620766311804399</v>
      </c>
      <c r="AL27" s="297">
        <v>0.22422383873047355</v>
      </c>
      <c r="AM27" s="301">
        <v>-0.12662923230804807</v>
      </c>
    </row>
    <row r="28" spans="1:39" ht="11.25" customHeight="1" x14ac:dyDescent="0.25">
      <c r="A28" s="624"/>
      <c r="B28" s="90" t="s">
        <v>430</v>
      </c>
      <c r="C28" s="301">
        <v>8.4534228086795657E-2</v>
      </c>
      <c r="D28" s="297">
        <v>0.13906648293562551</v>
      </c>
      <c r="E28" s="297">
        <v>4.5406361351833305E-3</v>
      </c>
      <c r="F28" s="297">
        <v>0.37003680534335148</v>
      </c>
      <c r="G28" s="297">
        <v>3.7943007776053875E-2</v>
      </c>
      <c r="H28" s="297">
        <v>-4.7231724616601913E-3</v>
      </c>
      <c r="I28" s="297">
        <v>0.43343582595603714</v>
      </c>
      <c r="J28" s="301">
        <v>4.8931385395572881E-2</v>
      </c>
      <c r="K28" s="297">
        <v>0.11874552061572051</v>
      </c>
      <c r="L28" s="301">
        <v>0.21080249869858278</v>
      </c>
      <c r="M28" s="297">
        <v>0.20248419375307403</v>
      </c>
      <c r="N28" s="297">
        <v>0.35181970609848323</v>
      </c>
      <c r="O28" s="297">
        <v>7.93245190653281E-2</v>
      </c>
      <c r="P28" s="297">
        <v>0.33975267528994746</v>
      </c>
      <c r="Q28" s="297">
        <v>-1.7442690997682395E-2</v>
      </c>
      <c r="R28" s="297">
        <v>0.35836217279912785</v>
      </c>
      <c r="S28" s="297">
        <v>0.11756265452680346</v>
      </c>
      <c r="T28" s="301">
        <v>0.15369376851516317</v>
      </c>
      <c r="U28" s="296">
        <v>1</v>
      </c>
      <c r="V28" s="301">
        <v>0.49038467823131648</v>
      </c>
      <c r="W28" s="297">
        <v>-8.2984789306074405E-2</v>
      </c>
      <c r="X28" s="297">
        <v>0.23409894902187872</v>
      </c>
      <c r="Y28" s="297">
        <v>0.12276030065888592</v>
      </c>
      <c r="Z28" s="297">
        <v>-1.20982779350092E-2</v>
      </c>
      <c r="AA28" s="297">
        <v>3.9789855135224074E-2</v>
      </c>
      <c r="AB28" s="297">
        <v>0.42354780260446984</v>
      </c>
      <c r="AC28" s="297">
        <v>0.26317488569212127</v>
      </c>
      <c r="AD28" s="301">
        <v>-0.36694186721257049</v>
      </c>
      <c r="AE28" s="301">
        <v>0.52010684720246447</v>
      </c>
      <c r="AF28" s="297">
        <v>0.13003368199071286</v>
      </c>
      <c r="AG28" s="297">
        <v>0.21609986636741949</v>
      </c>
      <c r="AH28" s="297">
        <v>0.15091205750032161</v>
      </c>
      <c r="AI28" s="297">
        <v>-1.4608770913006689E-2</v>
      </c>
      <c r="AJ28" s="297">
        <v>-0.23031342135315844</v>
      </c>
      <c r="AK28" s="301">
        <v>0.73121985906931342</v>
      </c>
      <c r="AL28" s="297">
        <v>9.8528029400557715E-2</v>
      </c>
      <c r="AM28" s="297">
        <v>0.58905500055560212</v>
      </c>
    </row>
    <row r="29" spans="1:39" ht="11.25" customHeight="1" x14ac:dyDescent="0.25">
      <c r="A29" s="624"/>
      <c r="B29" s="90" t="s">
        <v>431</v>
      </c>
      <c r="C29" s="297">
        <v>-0.11232140541760845</v>
      </c>
      <c r="D29" s="297">
        <v>9.7420945440898674E-2</v>
      </c>
      <c r="E29" s="301">
        <v>0.4426922450616308</v>
      </c>
      <c r="F29" s="297">
        <v>1.8090652337639117E-2</v>
      </c>
      <c r="G29" s="297">
        <v>0.20511381926234107</v>
      </c>
      <c r="H29" s="297">
        <v>9.6369313115999403E-2</v>
      </c>
      <c r="I29" s="297">
        <v>0.17941628643074575</v>
      </c>
      <c r="J29" s="301">
        <v>0.31236847372424914</v>
      </c>
      <c r="K29" s="297">
        <v>5.8126342291614515E-2</v>
      </c>
      <c r="L29" s="301">
        <v>-6.6120038642263179E-2</v>
      </c>
      <c r="M29" s="297">
        <v>6.7742392769370316E-2</v>
      </c>
      <c r="N29" s="297">
        <v>4.2388270063593927E-2</v>
      </c>
      <c r="O29" s="301">
        <v>0.4321469079103803</v>
      </c>
      <c r="P29" s="297">
        <v>0.16661671265686323</v>
      </c>
      <c r="Q29" s="297">
        <v>-6.9772866705925002E-2</v>
      </c>
      <c r="R29" s="297">
        <v>0.36470670031791197</v>
      </c>
      <c r="S29" s="301">
        <v>0.10520748206434728</v>
      </c>
      <c r="T29" s="297">
        <v>0.13915037614497622</v>
      </c>
      <c r="U29" s="301">
        <v>0.10542539888907718</v>
      </c>
      <c r="V29" s="296">
        <v>1</v>
      </c>
      <c r="W29" s="301">
        <v>-4.2851556059216193E-2</v>
      </c>
      <c r="X29" s="297">
        <v>2.8157846914174518E-2</v>
      </c>
      <c r="Y29" s="297">
        <v>2.2036541301991559E-3</v>
      </c>
      <c r="Z29" s="301">
        <v>-0.16814833265733664</v>
      </c>
      <c r="AA29" s="297">
        <v>-0.17716968710836969</v>
      </c>
      <c r="AB29" s="297">
        <v>0.30768554690568306</v>
      </c>
      <c r="AC29" s="297">
        <v>6.2906435663325974E-2</v>
      </c>
      <c r="AD29" s="301">
        <v>-0.31270741450424144</v>
      </c>
      <c r="AE29" s="301">
        <v>0.47498834659155242</v>
      </c>
      <c r="AF29" s="297">
        <v>3.9896326428083231E-2</v>
      </c>
      <c r="AG29" s="297">
        <v>-2.8422140850242673E-2</v>
      </c>
      <c r="AH29" s="297">
        <v>0.10366892786437655</v>
      </c>
      <c r="AI29" s="297">
        <v>0.23426785502771499</v>
      </c>
      <c r="AJ29" s="301">
        <v>-0.16665908596808593</v>
      </c>
      <c r="AK29" s="301">
        <v>0.60978805271177872</v>
      </c>
      <c r="AL29" s="301">
        <v>-0.34843877504517462</v>
      </c>
      <c r="AM29" s="297">
        <v>0.19121521852983253</v>
      </c>
    </row>
    <row r="30" spans="1:39" ht="11.25" customHeight="1" x14ac:dyDescent="0.25">
      <c r="A30" s="624"/>
      <c r="B30" s="90" t="s">
        <v>432</v>
      </c>
      <c r="C30" s="297">
        <v>-0.10473439251430187</v>
      </c>
      <c r="D30" s="297">
        <v>0.28050761645037986</v>
      </c>
      <c r="E30" s="297">
        <v>0.20917820156164468</v>
      </c>
      <c r="F30" s="297">
        <v>0.21365148473620166</v>
      </c>
      <c r="G30" s="301">
        <v>0.43395969842088639</v>
      </c>
      <c r="H30" s="297">
        <v>0.24788303093022657</v>
      </c>
      <c r="I30" s="297">
        <v>7.5374797921596196E-2</v>
      </c>
      <c r="J30" s="297">
        <v>0.31457866585048022</v>
      </c>
      <c r="K30" s="297">
        <v>-1.6423416875546975E-2</v>
      </c>
      <c r="L30" s="297">
        <v>-0.14155538679359647</v>
      </c>
      <c r="M30" s="297">
        <v>0.34104207089016531</v>
      </c>
      <c r="N30" s="297">
        <v>0.21023823821902438</v>
      </c>
      <c r="O30" s="297">
        <v>0.18237837644220234</v>
      </c>
      <c r="P30" s="301">
        <v>0.44821294334322664</v>
      </c>
      <c r="Q30" s="297">
        <v>3.9021967354294682E-2</v>
      </c>
      <c r="R30" s="297">
        <v>0.15664849007880607</v>
      </c>
      <c r="S30" s="297">
        <v>0.12218489547076121</v>
      </c>
      <c r="T30" s="297">
        <v>0.15727518281261527</v>
      </c>
      <c r="U30" s="297">
        <v>9.3886519094170617E-2</v>
      </c>
      <c r="V30" s="301">
        <v>0.33252553141251995</v>
      </c>
      <c r="W30" s="296">
        <v>1</v>
      </c>
      <c r="X30" s="297">
        <v>0.2154626744054858</v>
      </c>
      <c r="Y30" s="297">
        <v>-3.5712248990221664E-2</v>
      </c>
      <c r="Z30" s="297">
        <v>5.3187378956884641E-2</v>
      </c>
      <c r="AA30" s="297">
        <v>-6.4140746171566579E-2</v>
      </c>
      <c r="AB30" s="297">
        <v>0.36030473570132443</v>
      </c>
      <c r="AC30" s="297">
        <v>2.3569856989439818E-2</v>
      </c>
      <c r="AD30" s="297">
        <v>0.13080779154615338</v>
      </c>
      <c r="AE30" s="301">
        <v>-0.16469079267284406</v>
      </c>
      <c r="AF30" s="297">
        <v>-6.801524410252073E-2</v>
      </c>
      <c r="AG30" s="297">
        <v>-6.0476327673329E-2</v>
      </c>
      <c r="AH30" s="297">
        <v>0.20259622609300518</v>
      </c>
      <c r="AI30" s="301">
        <v>0.14473799273194018</v>
      </c>
      <c r="AJ30" s="297">
        <v>0.33306815032917403</v>
      </c>
      <c r="AK30" s="297">
        <v>-0.20175871968815473</v>
      </c>
      <c r="AL30" s="297">
        <v>-6.8872380025115212E-2</v>
      </c>
      <c r="AM30" s="301">
        <v>0.13508991682951557</v>
      </c>
    </row>
    <row r="31" spans="1:39" ht="11.25" customHeight="1" x14ac:dyDescent="0.25">
      <c r="A31" s="624"/>
      <c r="B31" s="90" t="s">
        <v>433</v>
      </c>
      <c r="C31" s="297">
        <v>5.7919489161319684E-2</v>
      </c>
      <c r="D31" s="297">
        <v>-8.544300206590083E-2</v>
      </c>
      <c r="E31" s="297">
        <v>-0.16765247382916335</v>
      </c>
      <c r="F31" s="297">
        <v>-5.8771852504415571E-2</v>
      </c>
      <c r="G31" s="297">
        <v>-0.14181496710045813</v>
      </c>
      <c r="H31" s="297">
        <v>-0.24608499977796836</v>
      </c>
      <c r="I31" s="297">
        <v>0.10677352775061449</v>
      </c>
      <c r="J31" s="297">
        <v>-0.17221053352340024</v>
      </c>
      <c r="K31" s="297">
        <v>-0.1992755825300894</v>
      </c>
      <c r="L31" s="297">
        <v>-7.8536683904173801E-2</v>
      </c>
      <c r="M31" s="297">
        <v>0.35105378395969833</v>
      </c>
      <c r="N31" s="297">
        <v>5.8814381010847863E-2</v>
      </c>
      <c r="O31" s="297">
        <v>-9.3386795642272022E-2</v>
      </c>
      <c r="P31" s="297">
        <v>0.10847034587133615</v>
      </c>
      <c r="Q31" s="297">
        <v>0.19404390210726727</v>
      </c>
      <c r="R31" s="297">
        <v>-0.12406519666074174</v>
      </c>
      <c r="S31" s="297">
        <v>-0.14340920477062633</v>
      </c>
      <c r="T31" s="297">
        <v>-2.4098548164536798E-2</v>
      </c>
      <c r="U31" s="297">
        <v>5.1948570372384095E-2</v>
      </c>
      <c r="V31" s="297">
        <v>-0.15415254778590187</v>
      </c>
      <c r="W31" s="297">
        <v>-6.3095642674946542E-3</v>
      </c>
      <c r="X31" s="296">
        <v>1</v>
      </c>
      <c r="Y31" s="297">
        <v>-2.5501476580503623E-2</v>
      </c>
      <c r="Z31" s="297">
        <v>-1.7804216153774564E-2</v>
      </c>
      <c r="AA31" s="297">
        <v>0.29173007409786883</v>
      </c>
      <c r="AB31" s="297">
        <v>-8.4161872097568896E-2</v>
      </c>
      <c r="AC31" s="297">
        <v>6.2969514851040631E-2</v>
      </c>
      <c r="AD31" s="297">
        <v>-0.16896909579755442</v>
      </c>
      <c r="AE31" s="297">
        <v>0.23371559783495047</v>
      </c>
      <c r="AF31" s="297">
        <v>0.19914260946751014</v>
      </c>
      <c r="AG31" s="297">
        <v>0.19504006118446304</v>
      </c>
      <c r="AH31" s="301">
        <v>0.18632794822108315</v>
      </c>
      <c r="AI31" s="297">
        <v>-6.3782484123340907E-2</v>
      </c>
      <c r="AJ31" s="297">
        <v>-7.3539950215003438E-2</v>
      </c>
      <c r="AK31" s="297">
        <v>0.12616895242115506</v>
      </c>
      <c r="AL31" s="297">
        <v>0.19976662988864294</v>
      </c>
      <c r="AM31" s="297">
        <v>0.62021773968181548</v>
      </c>
    </row>
    <row r="32" spans="1:39" ht="11.25" customHeight="1" x14ac:dyDescent="0.25">
      <c r="A32" s="624"/>
      <c r="B32" s="90" t="s">
        <v>434</v>
      </c>
      <c r="C32" s="297">
        <v>-0.10994891887656623</v>
      </c>
      <c r="D32" s="297">
        <v>-1.2515344624715161E-3</v>
      </c>
      <c r="E32" s="297">
        <v>3.8889366915821656E-2</v>
      </c>
      <c r="F32" s="297">
        <v>3.7687465989537837E-2</v>
      </c>
      <c r="G32" s="297">
        <v>-5.4872851844265824E-2</v>
      </c>
      <c r="H32" s="297">
        <v>0.19631898355846442</v>
      </c>
      <c r="I32" s="297">
        <v>0.10580252556859546</v>
      </c>
      <c r="J32" s="297">
        <v>0.10409201411951331</v>
      </c>
      <c r="K32" s="297">
        <v>0.11838589967061651</v>
      </c>
      <c r="L32" s="297">
        <v>-2.4061691515117192E-2</v>
      </c>
      <c r="M32" s="297">
        <v>1.7839953450225498E-2</v>
      </c>
      <c r="N32" s="297">
        <v>6.8445551350657621E-2</v>
      </c>
      <c r="O32" s="301">
        <v>-3.5362762311517935E-2</v>
      </c>
      <c r="P32" s="297">
        <v>0.19679184385144946</v>
      </c>
      <c r="Q32" s="301">
        <v>-0.18119600793234039</v>
      </c>
      <c r="R32" s="297">
        <v>0.1022902546808498</v>
      </c>
      <c r="S32" s="297">
        <v>0.23092087249175311</v>
      </c>
      <c r="T32" s="297">
        <v>0.17359119067103265</v>
      </c>
      <c r="U32" s="297">
        <v>5.6819882509013035E-2</v>
      </c>
      <c r="V32" s="297">
        <v>0.13866885694455394</v>
      </c>
      <c r="W32" s="297">
        <v>0.11752985818494607</v>
      </c>
      <c r="X32" s="297">
        <v>-9.8209467308072257E-2</v>
      </c>
      <c r="Y32" s="296">
        <v>1</v>
      </c>
      <c r="Z32" s="301">
        <v>-0.37263545886960647</v>
      </c>
      <c r="AA32" s="297">
        <v>0.12141555702987285</v>
      </c>
      <c r="AB32" s="297">
        <v>0.18900135970787729</v>
      </c>
      <c r="AC32" s="297">
        <v>8.8021245638745249E-2</v>
      </c>
      <c r="AD32" s="297">
        <v>-4.4351782288459263E-2</v>
      </c>
      <c r="AE32" s="297">
        <v>-8.1576008046130872E-3</v>
      </c>
      <c r="AF32" s="297">
        <v>0.1512079622461221</v>
      </c>
      <c r="AG32" s="297">
        <v>3.8993652622200059E-2</v>
      </c>
      <c r="AH32" s="297">
        <v>0.37278354880853165</v>
      </c>
      <c r="AI32" s="297">
        <v>-2.4431528299244921E-3</v>
      </c>
      <c r="AJ32" s="297">
        <v>0.40102872291106162</v>
      </c>
      <c r="AK32" s="297">
        <v>-2.8500548585322073E-2</v>
      </c>
      <c r="AL32" s="297">
        <v>7.8952260045680234E-2</v>
      </c>
      <c r="AM32" s="297">
        <v>0.2776771429461446</v>
      </c>
    </row>
    <row r="33" spans="1:39" ht="11.25" customHeight="1" x14ac:dyDescent="0.25">
      <c r="A33" s="624"/>
      <c r="B33" s="90" t="s">
        <v>435</v>
      </c>
      <c r="C33" s="297">
        <v>6.1946170541174746E-2</v>
      </c>
      <c r="D33" s="297">
        <v>6.7448606108115872E-2</v>
      </c>
      <c r="E33" s="297">
        <v>-0.2376911966852179</v>
      </c>
      <c r="F33" s="297">
        <v>0.35702949776841497</v>
      </c>
      <c r="G33" s="301">
        <v>4.6978161561750921E-2</v>
      </c>
      <c r="H33" s="297">
        <v>2.8510538635830758E-3</v>
      </c>
      <c r="I33" s="297">
        <v>0.20393915845308416</v>
      </c>
      <c r="J33" s="297">
        <v>-6.4470109499291911E-2</v>
      </c>
      <c r="K33" s="297">
        <v>-9.3949649896393955E-2</v>
      </c>
      <c r="L33" s="297">
        <v>-9.2989310694238894E-2</v>
      </c>
      <c r="M33" s="297">
        <v>-0.11192668793720852</v>
      </c>
      <c r="N33" s="297">
        <v>3.4351349186004347E-2</v>
      </c>
      <c r="O33" s="297">
        <v>-1.0005275723826361E-2</v>
      </c>
      <c r="P33" s="297">
        <v>-5.1060637796616321E-2</v>
      </c>
      <c r="Q33" s="297">
        <v>2.5120485732290063E-2</v>
      </c>
      <c r="R33" s="297">
        <v>2.6495652577073918E-2</v>
      </c>
      <c r="S33" s="297">
        <v>0.10341192316747412</v>
      </c>
      <c r="T33" s="297">
        <v>0.14773319976438939</v>
      </c>
      <c r="U33" s="297">
        <v>0.131576759232855</v>
      </c>
      <c r="V33" s="301">
        <v>0.13870564035495206</v>
      </c>
      <c r="W33" s="297">
        <v>0.1548535400225679</v>
      </c>
      <c r="X33" s="297">
        <v>-9.2278152744772163E-2</v>
      </c>
      <c r="Y33" s="301">
        <v>-6.5694452182408769E-2</v>
      </c>
      <c r="Z33" s="296">
        <v>1</v>
      </c>
      <c r="AA33" s="297">
        <v>0.13090942052412627</v>
      </c>
      <c r="AB33" s="297">
        <v>2.88228334269214E-2</v>
      </c>
      <c r="AC33" s="297">
        <v>1.3576276713211422E-2</v>
      </c>
      <c r="AD33" s="297">
        <v>7.3279609450215694E-2</v>
      </c>
      <c r="AE33" s="301">
        <v>3.5782970249543022E-2</v>
      </c>
      <c r="AF33" s="297">
        <v>-6.2669784725634753E-2</v>
      </c>
      <c r="AG33" s="297">
        <v>-2.1101514482433081E-3</v>
      </c>
      <c r="AH33" s="297">
        <v>-6.7157948605279141E-2</v>
      </c>
      <c r="AI33" s="301">
        <v>-0.50533910347390965</v>
      </c>
      <c r="AJ33" s="297">
        <v>-0.1645861209105858</v>
      </c>
      <c r="AK33" s="297">
        <v>0.11462385628002437</v>
      </c>
      <c r="AL33" s="297">
        <v>0.32823302695270079</v>
      </c>
      <c r="AM33" s="297">
        <v>-6.2771773039937223E-2</v>
      </c>
    </row>
    <row r="34" spans="1:39" ht="11.25" customHeight="1" x14ac:dyDescent="0.25">
      <c r="A34" s="624"/>
      <c r="B34" s="90" t="s">
        <v>436</v>
      </c>
      <c r="C34" s="297">
        <v>4.1717922629469412E-2</v>
      </c>
      <c r="D34" s="297">
        <v>-3.5863616145758441E-2</v>
      </c>
      <c r="E34" s="297">
        <v>-0.12492828012511796</v>
      </c>
      <c r="F34" s="297">
        <v>4.8411762667464789E-2</v>
      </c>
      <c r="G34" s="297">
        <v>-7.2021613767226586E-2</v>
      </c>
      <c r="H34" s="297">
        <v>-0.12273188388383761</v>
      </c>
      <c r="I34" s="297">
        <v>-2.7126742256661431E-2</v>
      </c>
      <c r="J34" s="297">
        <v>-5.3125769433126982E-2</v>
      </c>
      <c r="K34" s="297">
        <v>-1.8497758661862269E-2</v>
      </c>
      <c r="L34" s="297">
        <v>-5.4585578860052143E-2</v>
      </c>
      <c r="M34" s="297">
        <v>-2.0161028581397688E-2</v>
      </c>
      <c r="N34" s="297">
        <v>0.14632966672212075</v>
      </c>
      <c r="O34" s="297">
        <v>-4.8324025385679564E-2</v>
      </c>
      <c r="P34" s="297">
        <v>0.10387898940935389</v>
      </c>
      <c r="Q34" s="297">
        <v>0.20263682977700451</v>
      </c>
      <c r="R34" s="297">
        <v>-9.3700244150037665E-2</v>
      </c>
      <c r="S34" s="297">
        <v>3.1558263100295979E-3</v>
      </c>
      <c r="T34" s="297">
        <v>0.10921923150651411</v>
      </c>
      <c r="U34" s="297">
        <v>0.14484912584961862</v>
      </c>
      <c r="V34" s="297">
        <v>-0.12302624399308514</v>
      </c>
      <c r="W34" s="297">
        <v>9.5836534840071694E-2</v>
      </c>
      <c r="X34" s="297">
        <v>0.27561179224491422</v>
      </c>
      <c r="Y34" s="297">
        <v>5.0366614338473534E-3</v>
      </c>
      <c r="Z34" s="297">
        <v>0.14646317139594955</v>
      </c>
      <c r="AA34" s="296">
        <v>1</v>
      </c>
      <c r="AB34" s="297">
        <v>-6.3491759356484573E-2</v>
      </c>
      <c r="AC34" s="297">
        <v>0.13789050869299901</v>
      </c>
      <c r="AD34" s="297">
        <v>-3.7058944364403247E-2</v>
      </c>
      <c r="AE34" s="297">
        <v>-1.9524019731891835E-2</v>
      </c>
      <c r="AF34" s="297">
        <v>0.11895649642222156</v>
      </c>
      <c r="AG34" s="297">
        <v>0.25219132766965691</v>
      </c>
      <c r="AH34" s="297">
        <v>0.21184652661978431</v>
      </c>
      <c r="AI34" s="297">
        <v>-0.15221158806859345</v>
      </c>
      <c r="AJ34" s="297">
        <v>4.0033807810732382E-2</v>
      </c>
      <c r="AK34" s="297">
        <v>-0.10720625852450835</v>
      </c>
      <c r="AL34" s="297">
        <v>0.27511224219211955</v>
      </c>
      <c r="AM34" s="297">
        <v>0.20775458105779096</v>
      </c>
    </row>
    <row r="35" spans="1:39" ht="11.25" customHeight="1" x14ac:dyDescent="0.25">
      <c r="A35" s="624"/>
      <c r="B35" s="90" t="s">
        <v>437</v>
      </c>
      <c r="C35" s="297">
        <v>-0.26813020928146059</v>
      </c>
      <c r="D35" s="297">
        <v>0.11837023839729627</v>
      </c>
      <c r="E35" s="297">
        <v>-0.15755836332954448</v>
      </c>
      <c r="F35" s="297">
        <v>0.22101688806083311</v>
      </c>
      <c r="G35" s="297">
        <v>0.36154473379262347</v>
      </c>
      <c r="H35" s="297">
        <v>6.5056001293368179E-2</v>
      </c>
      <c r="I35" s="297">
        <v>8.022940225527575E-2</v>
      </c>
      <c r="J35" s="297">
        <v>0.14508854725830272</v>
      </c>
      <c r="K35" s="297">
        <v>5.1695266891195996E-2</v>
      </c>
      <c r="L35" s="297">
        <v>3.1054281866030847E-2</v>
      </c>
      <c r="M35" s="297">
        <v>0.2404459419363775</v>
      </c>
      <c r="N35" s="297">
        <v>7.9361274517171607E-2</v>
      </c>
      <c r="O35" s="297">
        <v>-0.13115365753222177</v>
      </c>
      <c r="P35" s="297">
        <v>0.49661064199184296</v>
      </c>
      <c r="Q35" s="297">
        <v>6.3139713321761312E-2</v>
      </c>
      <c r="R35" s="297">
        <v>0.17202064625061728</v>
      </c>
      <c r="S35" s="297">
        <v>5.3193428757110202E-2</v>
      </c>
      <c r="T35" s="297">
        <v>0.17918103754016287</v>
      </c>
      <c r="U35" s="297">
        <v>0.30795354210789644</v>
      </c>
      <c r="V35" s="297">
        <v>0.22180240389477873</v>
      </c>
      <c r="W35" s="297">
        <v>0.38122502173419548</v>
      </c>
      <c r="X35" s="297">
        <v>-3.0627265429739352E-2</v>
      </c>
      <c r="Y35" s="297">
        <v>0.23525403887085686</v>
      </c>
      <c r="Z35" s="297">
        <v>0.10145277941756872</v>
      </c>
      <c r="AA35" s="297">
        <v>6.0672516631497621E-2</v>
      </c>
      <c r="AB35" s="296">
        <v>1</v>
      </c>
      <c r="AC35" s="297">
        <v>0.38183436647245411</v>
      </c>
      <c r="AD35" s="297">
        <v>1.0458617047731005E-3</v>
      </c>
      <c r="AE35" s="297">
        <v>3.8095396940807096E-2</v>
      </c>
      <c r="AF35" s="297">
        <v>3.6128918698198391E-2</v>
      </c>
      <c r="AG35" s="297">
        <v>1.0557908858725278E-2</v>
      </c>
      <c r="AH35" s="297">
        <v>0.28864491762217104</v>
      </c>
      <c r="AI35" s="297">
        <v>0.12225253235218483</v>
      </c>
      <c r="AJ35" s="297">
        <v>0.21361897562592755</v>
      </c>
      <c r="AK35" s="297">
        <v>0.19550095869014725</v>
      </c>
      <c r="AL35" s="297">
        <v>-5.8711138059345441E-2</v>
      </c>
      <c r="AM35" s="297">
        <v>0.19114313721178189</v>
      </c>
    </row>
    <row r="36" spans="1:39" ht="11.25" customHeight="1" x14ac:dyDescent="0.25">
      <c r="A36" s="624"/>
      <c r="B36" s="90" t="s">
        <v>438</v>
      </c>
      <c r="C36" s="297">
        <v>-0.12820508712527579</v>
      </c>
      <c r="D36" s="297">
        <v>0.15188798831254213</v>
      </c>
      <c r="E36" s="297">
        <v>-5.8912516191641034E-2</v>
      </c>
      <c r="F36" s="297">
        <v>0.13732483591100114</v>
      </c>
      <c r="G36" s="297">
        <v>0.18911939356733884</v>
      </c>
      <c r="H36" s="301">
        <v>0.19583762449662848</v>
      </c>
      <c r="I36" s="297">
        <v>0.13291414431491072</v>
      </c>
      <c r="J36" s="297">
        <v>9.934232668493069E-2</v>
      </c>
      <c r="K36" s="297">
        <v>0.19242195596206932</v>
      </c>
      <c r="L36" s="297">
        <v>0.21366306483238479</v>
      </c>
      <c r="M36" s="297">
        <v>3.0065572315751007E-2</v>
      </c>
      <c r="N36" s="297">
        <v>1.2298291181509524E-2</v>
      </c>
      <c r="O36" s="297">
        <v>-0.24200089416839085</v>
      </c>
      <c r="P36" s="297">
        <v>0.19344315487475724</v>
      </c>
      <c r="Q36" s="301">
        <v>9.9840323924237001E-2</v>
      </c>
      <c r="R36" s="297">
        <v>0.1955934235340139</v>
      </c>
      <c r="S36" s="297">
        <v>0.16539477279813844</v>
      </c>
      <c r="T36" s="297">
        <v>0.24157394923028219</v>
      </c>
      <c r="U36" s="297">
        <v>0.14050601980548424</v>
      </c>
      <c r="V36" s="297">
        <v>6.8506215441703128E-2</v>
      </c>
      <c r="W36" s="297">
        <v>7.7763042215569164E-2</v>
      </c>
      <c r="X36" s="297">
        <v>1.5533032362191878E-2</v>
      </c>
      <c r="Y36" s="297">
        <v>0.19452449690815415</v>
      </c>
      <c r="Z36" s="297">
        <v>9.2028000788027656E-2</v>
      </c>
      <c r="AA36" s="297">
        <v>-5.1664286286156623E-2</v>
      </c>
      <c r="AB36" s="297">
        <v>0.16661428806261896</v>
      </c>
      <c r="AC36" s="296">
        <v>1</v>
      </c>
      <c r="AD36" s="297">
        <v>-3.2406680818862804E-2</v>
      </c>
      <c r="AE36" s="297">
        <v>-0.20094045001140648</v>
      </c>
      <c r="AF36" s="297">
        <v>-8.2421062910990439E-2</v>
      </c>
      <c r="AG36" s="297">
        <v>0.16685139501593488</v>
      </c>
      <c r="AH36" s="297">
        <v>0.28445091249095678</v>
      </c>
      <c r="AI36" s="297">
        <v>0.13589393317309525</v>
      </c>
      <c r="AJ36" s="297">
        <v>8.7303765088735927E-2</v>
      </c>
      <c r="AK36" s="297">
        <v>2.2980760598062581E-2</v>
      </c>
      <c r="AL36" s="297">
        <v>1.897170432873746E-2</v>
      </c>
      <c r="AM36" s="297">
        <v>0.16556974019707718</v>
      </c>
    </row>
    <row r="37" spans="1:39" ht="11.25" customHeight="1" x14ac:dyDescent="0.25">
      <c r="A37" s="624"/>
      <c r="B37" s="90" t="s">
        <v>439</v>
      </c>
      <c r="C37" s="297">
        <v>4.5294254976191259E-2</v>
      </c>
      <c r="D37" s="297">
        <v>-0.14957737822082443</v>
      </c>
      <c r="E37" s="297">
        <v>7.5901882581839498E-4</v>
      </c>
      <c r="F37" s="297">
        <v>8.7232046643286373E-3</v>
      </c>
      <c r="G37" s="297">
        <v>0.20908437066380298</v>
      </c>
      <c r="H37" s="297">
        <v>-9.5999874888505837E-2</v>
      </c>
      <c r="I37" s="297">
        <v>0.11546004769954764</v>
      </c>
      <c r="J37" s="297">
        <v>0.11270622946648243</v>
      </c>
      <c r="K37" s="297">
        <v>-0.114458499836615</v>
      </c>
      <c r="L37" s="297">
        <v>0.14788310709720368</v>
      </c>
      <c r="M37" s="297">
        <v>0.1582587314635118</v>
      </c>
      <c r="N37" s="297">
        <v>3.7645220594533957E-2</v>
      </c>
      <c r="O37" s="297">
        <v>0.1422588774890097</v>
      </c>
      <c r="P37" s="301">
        <v>0.3528841277884614</v>
      </c>
      <c r="Q37" s="297">
        <v>0.17336072652435389</v>
      </c>
      <c r="R37" s="301">
        <v>0.11053024492262929</v>
      </c>
      <c r="S37" s="297">
        <v>-0.11812427146282554</v>
      </c>
      <c r="T37" s="297">
        <v>-5.2055781222583378E-2</v>
      </c>
      <c r="U37" s="301">
        <v>8.0697280998978299E-2</v>
      </c>
      <c r="V37" s="301">
        <v>5.1695253938958685E-2</v>
      </c>
      <c r="W37" s="297">
        <v>0.28301958557991325</v>
      </c>
      <c r="X37" s="297">
        <v>-3.7169153127425615E-2</v>
      </c>
      <c r="Y37" s="297">
        <v>-0.19917919245427793</v>
      </c>
      <c r="Z37" s="297">
        <v>7.7642208137751981E-2</v>
      </c>
      <c r="AA37" s="297">
        <v>2.7508522590649698E-3</v>
      </c>
      <c r="AB37" s="297">
        <v>0.29625076620901408</v>
      </c>
      <c r="AC37" s="297">
        <v>-0.16838286417538226</v>
      </c>
      <c r="AD37" s="296">
        <v>1</v>
      </c>
      <c r="AE37" s="301">
        <v>-0.50388238276542552</v>
      </c>
      <c r="AF37" s="297">
        <v>4.7052376455582738E-2</v>
      </c>
      <c r="AG37" s="297">
        <v>4.5570151880728271E-2</v>
      </c>
      <c r="AH37" s="297">
        <v>-0.16848363689756071</v>
      </c>
      <c r="AI37" s="297">
        <v>-2.991831172091124E-2</v>
      </c>
      <c r="AJ37" s="297">
        <v>0.21003969133319439</v>
      </c>
      <c r="AK37" s="301">
        <v>-0.39496524027232516</v>
      </c>
      <c r="AL37" s="297">
        <v>-0.16143479208343431</v>
      </c>
      <c r="AM37" s="301">
        <v>-0.19048772157510926</v>
      </c>
    </row>
    <row r="38" spans="1:39" ht="11.25" customHeight="1" x14ac:dyDescent="0.25">
      <c r="A38" s="624"/>
      <c r="B38" s="90" t="s">
        <v>440</v>
      </c>
      <c r="C38" s="297">
        <v>-0.10882309985286193</v>
      </c>
      <c r="D38" s="297">
        <v>-6.1644523979652675E-3</v>
      </c>
      <c r="E38" s="297">
        <v>-0.15096433876237941</v>
      </c>
      <c r="F38" s="297">
        <v>0.30267309549574944</v>
      </c>
      <c r="G38" s="297">
        <v>0.18446031212981359</v>
      </c>
      <c r="H38" s="297">
        <v>-3.6708198191859928E-2</v>
      </c>
      <c r="I38" s="301">
        <v>3.1949520151533885E-2</v>
      </c>
      <c r="J38" s="301">
        <v>0.11889551574227782</v>
      </c>
      <c r="K38" s="297">
        <v>-0.267911636607019</v>
      </c>
      <c r="L38" s="301">
        <v>-0.17056686598847934</v>
      </c>
      <c r="M38" s="297">
        <v>0.15145765419383916</v>
      </c>
      <c r="N38" s="297">
        <v>-9.6280501066468765E-2</v>
      </c>
      <c r="O38" s="297">
        <v>-0.10980812685300122</v>
      </c>
      <c r="P38" s="297">
        <v>5.9717501601873696E-2</v>
      </c>
      <c r="Q38" s="301">
        <v>3.6657461254664091E-2</v>
      </c>
      <c r="R38" s="297">
        <v>-3.8394136889472429E-2</v>
      </c>
      <c r="S38" s="297">
        <v>-0.11330047128876244</v>
      </c>
      <c r="T38" s="297">
        <v>4.4763255476815964E-2</v>
      </c>
      <c r="U38" s="301">
        <v>1.3837843180289784E-2</v>
      </c>
      <c r="V38" s="301">
        <v>7.9669671899948794E-2</v>
      </c>
      <c r="W38" s="301">
        <v>0.15841947576264137</v>
      </c>
      <c r="X38" s="297">
        <v>1.7610299089942338E-2</v>
      </c>
      <c r="Y38" s="297">
        <v>4.768198684979303E-2</v>
      </c>
      <c r="Z38" s="301">
        <v>0.40920142247746588</v>
      </c>
      <c r="AA38" s="297">
        <v>1.5227123480087532E-3</v>
      </c>
      <c r="AB38" s="297">
        <v>9.4184493871014602E-2</v>
      </c>
      <c r="AC38" s="297">
        <v>4.1835148776646694E-3</v>
      </c>
      <c r="AD38" s="301">
        <v>-0.12903492428998806</v>
      </c>
      <c r="AE38" s="296">
        <v>1</v>
      </c>
      <c r="AF38" s="297">
        <v>9.4691142997145289E-2</v>
      </c>
      <c r="AG38" s="297">
        <v>-0.12360894618553676</v>
      </c>
      <c r="AH38" s="297">
        <v>-3.282067411661177E-2</v>
      </c>
      <c r="AI38" s="297">
        <v>8.8780424081265408E-2</v>
      </c>
      <c r="AJ38" s="297">
        <v>-0.24046984118887399</v>
      </c>
      <c r="AK38" s="301">
        <v>0.60096545447587202</v>
      </c>
      <c r="AL38" s="297">
        <v>1.1737034146044066E-2</v>
      </c>
      <c r="AM38" s="301">
        <v>0.47180891870314551</v>
      </c>
    </row>
    <row r="39" spans="1:39" ht="11.25" customHeight="1" x14ac:dyDescent="0.25">
      <c r="A39" s="624"/>
      <c r="B39" s="90" t="s">
        <v>441</v>
      </c>
      <c r="C39" s="297">
        <v>3.5160331440273078E-2</v>
      </c>
      <c r="D39" s="297">
        <v>0.12134856577605978</v>
      </c>
      <c r="E39" s="297">
        <v>-0.20969599450976936</v>
      </c>
      <c r="F39" s="297">
        <v>-0.1363648649292365</v>
      </c>
      <c r="G39" s="297">
        <v>8.0292268804953229E-2</v>
      </c>
      <c r="H39" s="297">
        <v>0.14036221724436082</v>
      </c>
      <c r="I39" s="297">
        <v>6.5584822964957587E-2</v>
      </c>
      <c r="J39" s="297">
        <v>3.2593987928036423E-2</v>
      </c>
      <c r="K39" s="297">
        <v>-7.7602724407691601E-2</v>
      </c>
      <c r="L39" s="297">
        <v>-2.8179769696344274E-2</v>
      </c>
      <c r="M39" s="297">
        <v>0.14633315136225092</v>
      </c>
      <c r="N39" s="297">
        <v>9.0392292756343133E-3</v>
      </c>
      <c r="O39" s="297">
        <v>-0.16149661044332739</v>
      </c>
      <c r="P39" s="297">
        <v>-3.8159528883716723E-2</v>
      </c>
      <c r="Q39" s="297">
        <v>0.12650984870980148</v>
      </c>
      <c r="R39" s="297">
        <v>-0.16812738895988097</v>
      </c>
      <c r="S39" s="297">
        <v>4.0274951767986934E-2</v>
      </c>
      <c r="T39" s="297">
        <v>6.3867675888367614E-2</v>
      </c>
      <c r="U39" s="297">
        <v>1.9190930643845371E-2</v>
      </c>
      <c r="V39" s="297">
        <v>-6.134911946442919E-2</v>
      </c>
      <c r="W39" s="297">
        <v>-3.0324365214666239E-2</v>
      </c>
      <c r="X39" s="297">
        <v>0.28443638389242731</v>
      </c>
      <c r="Y39" s="297">
        <v>7.4951645199870853E-2</v>
      </c>
      <c r="Z39" s="297">
        <v>-7.1905974351520411E-3</v>
      </c>
      <c r="AA39" s="297">
        <v>4.7553840096487755E-2</v>
      </c>
      <c r="AB39" s="297">
        <v>-7.2950239241979783E-2</v>
      </c>
      <c r="AC39" s="297">
        <v>0.15449288953961762</v>
      </c>
      <c r="AD39" s="297">
        <v>-0.14286239388658206</v>
      </c>
      <c r="AE39" s="297">
        <v>0.11051285168884817</v>
      </c>
      <c r="AF39" s="296">
        <v>1</v>
      </c>
      <c r="AG39" s="297">
        <v>-6.4609863384433369E-3</v>
      </c>
      <c r="AH39" s="297">
        <v>6.9470604134307334E-2</v>
      </c>
      <c r="AI39" s="297">
        <v>-0.14290515457618999</v>
      </c>
      <c r="AJ39" s="297">
        <v>1.3622102766226309E-2</v>
      </c>
      <c r="AK39" s="297">
        <v>0.11993756884156076</v>
      </c>
      <c r="AL39" s="297">
        <v>0.26266401041491866</v>
      </c>
      <c r="AM39" s="297">
        <v>0.20961700420322804</v>
      </c>
    </row>
    <row r="40" spans="1:39" ht="11.25" customHeight="1" x14ac:dyDescent="0.25">
      <c r="A40" s="624"/>
      <c r="B40" s="90" t="s">
        <v>442</v>
      </c>
      <c r="C40" s="297">
        <v>0.1481175314452533</v>
      </c>
      <c r="D40" s="297">
        <v>0.12251947851671634</v>
      </c>
      <c r="E40" s="297">
        <v>-4.1560675670308127E-2</v>
      </c>
      <c r="F40" s="297">
        <v>-6.1085788533874197E-3</v>
      </c>
      <c r="G40" s="297">
        <v>4.5673588006723879E-2</v>
      </c>
      <c r="H40" s="297">
        <v>2.1491226337105693E-2</v>
      </c>
      <c r="I40" s="297">
        <v>8.1539053883672344E-2</v>
      </c>
      <c r="J40" s="297">
        <v>5.6416503655848889E-2</v>
      </c>
      <c r="K40" s="297">
        <v>0.23575181429339642</v>
      </c>
      <c r="L40" s="297">
        <v>0.25385717698465449</v>
      </c>
      <c r="M40" s="297">
        <v>1.5724920010442905E-3</v>
      </c>
      <c r="N40" s="297">
        <v>0.10749410434649154</v>
      </c>
      <c r="O40" s="297">
        <v>-7.718659142316138E-2</v>
      </c>
      <c r="P40" s="297">
        <v>0.10716359989130686</v>
      </c>
      <c r="Q40" s="297">
        <v>-8.5802310704865464E-2</v>
      </c>
      <c r="R40" s="297">
        <v>-4.0785043481225629E-2</v>
      </c>
      <c r="S40" s="297">
        <v>-2.2011167213777761E-2</v>
      </c>
      <c r="T40" s="297">
        <v>-2.2843981011579188E-2</v>
      </c>
      <c r="U40" s="297">
        <v>0.22957497548784772</v>
      </c>
      <c r="V40" s="297">
        <v>2.9613873550169159E-2</v>
      </c>
      <c r="W40" s="297">
        <v>-1.3037363213377767E-2</v>
      </c>
      <c r="X40" s="297">
        <v>-1.2716728565769468E-2</v>
      </c>
      <c r="Y40" s="297">
        <v>9.5624562255909706E-2</v>
      </c>
      <c r="Z40" s="297">
        <v>7.524969901978687E-2</v>
      </c>
      <c r="AA40" s="297">
        <v>9.3896442357766771E-2</v>
      </c>
      <c r="AB40" s="297">
        <v>0.13100529858612997</v>
      </c>
      <c r="AC40" s="297">
        <v>0.11462856795175365</v>
      </c>
      <c r="AD40" s="297">
        <v>0.25137220562556434</v>
      </c>
      <c r="AE40" s="297">
        <v>-6.6482592132419832E-2</v>
      </c>
      <c r="AF40" s="297">
        <v>5.2281060671825447E-2</v>
      </c>
      <c r="AG40" s="296">
        <v>1</v>
      </c>
      <c r="AH40" s="297">
        <v>0.16550447609101293</v>
      </c>
      <c r="AI40" s="297">
        <v>-3.2090701806357383E-2</v>
      </c>
      <c r="AJ40" s="297">
        <v>4.5320279239537332E-2</v>
      </c>
      <c r="AK40" s="297">
        <v>-4.1143710692910736E-2</v>
      </c>
      <c r="AL40" s="297">
        <v>0.11811474013367171</v>
      </c>
      <c r="AM40" s="297">
        <v>0.2003847226683772</v>
      </c>
    </row>
    <row r="41" spans="1:39" ht="11.25" customHeight="1" x14ac:dyDescent="0.25">
      <c r="A41" s="624"/>
      <c r="B41" s="90" t="s">
        <v>443</v>
      </c>
      <c r="C41" s="297">
        <v>-6.3847142890276723E-2</v>
      </c>
      <c r="D41" s="297">
        <v>0.28309484875407931</v>
      </c>
      <c r="E41" s="297">
        <v>2.2922068297880502E-2</v>
      </c>
      <c r="F41" s="297">
        <v>0.11307463283312545</v>
      </c>
      <c r="G41" s="301">
        <v>0.39041866429906258</v>
      </c>
      <c r="H41" s="297">
        <v>0.20786561982031757</v>
      </c>
      <c r="I41" s="297">
        <v>-2.1417876794361447E-2</v>
      </c>
      <c r="J41" s="297">
        <v>0.21444512336418187</v>
      </c>
      <c r="K41" s="297">
        <v>2.8939208977635616E-2</v>
      </c>
      <c r="L41" s="297">
        <v>1.6234836591996048E-2</v>
      </c>
      <c r="M41" s="297">
        <v>-8.5589080092932313E-2</v>
      </c>
      <c r="N41" s="297">
        <v>9.4662574187129436E-2</v>
      </c>
      <c r="O41" s="297">
        <v>1.218241436614778E-2</v>
      </c>
      <c r="P41" s="297">
        <v>0.18774607583147943</v>
      </c>
      <c r="Q41" s="297">
        <v>-9.2639363256201895E-2</v>
      </c>
      <c r="R41" s="297">
        <v>0.18390171538035369</v>
      </c>
      <c r="S41" s="297">
        <v>0.31814699773590033</v>
      </c>
      <c r="T41" s="297">
        <v>0.32567805769706343</v>
      </c>
      <c r="U41" s="297">
        <v>0.14902720954792781</v>
      </c>
      <c r="V41" s="297">
        <v>0.23749387621161466</v>
      </c>
      <c r="W41" s="297">
        <v>0.34006834037229522</v>
      </c>
      <c r="X41" s="301">
        <v>-0.25328528959347102</v>
      </c>
      <c r="Y41" s="297">
        <v>0.27238369240743643</v>
      </c>
      <c r="Z41" s="297">
        <v>0.22989880466994689</v>
      </c>
      <c r="AA41" s="297">
        <v>9.5687935231998839E-2</v>
      </c>
      <c r="AB41" s="297">
        <v>0.31473100369743373</v>
      </c>
      <c r="AC41" s="297">
        <v>0.33070945773957588</v>
      </c>
      <c r="AD41" s="297">
        <v>-7.6972419177488649E-2</v>
      </c>
      <c r="AE41" s="297">
        <v>6.3177006082367065E-2</v>
      </c>
      <c r="AF41" s="297">
        <v>-3.1658939370088915E-2</v>
      </c>
      <c r="AG41" s="297">
        <v>4.3449547175066799E-2</v>
      </c>
      <c r="AH41" s="296">
        <v>1</v>
      </c>
      <c r="AI41" s="297">
        <v>2.6269050595965619E-2</v>
      </c>
      <c r="AJ41" s="297">
        <v>0.13565169945107514</v>
      </c>
      <c r="AK41" s="297">
        <v>0.11841031837821395</v>
      </c>
      <c r="AL41" s="297">
        <v>8.7025550675979002E-2</v>
      </c>
      <c r="AM41" s="297">
        <v>0.16584890237441482</v>
      </c>
    </row>
    <row r="42" spans="1:39" ht="11.25" customHeight="1" x14ac:dyDescent="0.25">
      <c r="A42" s="624"/>
      <c r="B42" s="90" t="s">
        <v>444</v>
      </c>
      <c r="C42" s="297">
        <v>-0.19975935055394317</v>
      </c>
      <c r="D42" s="297">
        <v>5.7095195514905918E-2</v>
      </c>
      <c r="E42" s="297">
        <v>0.56461167998046013</v>
      </c>
      <c r="F42" s="297">
        <v>1.3444214405319392E-2</v>
      </c>
      <c r="G42" s="301">
        <v>0.3540110271884408</v>
      </c>
      <c r="H42" s="297">
        <v>0.17004809553667258</v>
      </c>
      <c r="I42" s="297">
        <v>0.26730317824622085</v>
      </c>
      <c r="J42" s="297">
        <v>0.58094229557764654</v>
      </c>
      <c r="K42" s="297">
        <v>8.5029628287791301E-2</v>
      </c>
      <c r="L42" s="297">
        <v>-0.10960978100238609</v>
      </c>
      <c r="M42" s="297">
        <v>0.1874184601674084</v>
      </c>
      <c r="N42" s="297">
        <v>0.20710186562590571</v>
      </c>
      <c r="O42" s="301">
        <v>0.29451751426285844</v>
      </c>
      <c r="P42" s="297">
        <v>0.30281055383924793</v>
      </c>
      <c r="Q42" s="297">
        <v>8.0804579629998222E-2</v>
      </c>
      <c r="R42" s="297">
        <v>0.2846486543710241</v>
      </c>
      <c r="S42" s="297">
        <v>0.20661555933629361</v>
      </c>
      <c r="T42" s="297">
        <v>6.8453552217297903E-2</v>
      </c>
      <c r="U42" s="297">
        <v>0.12562175147599308</v>
      </c>
      <c r="V42" s="297">
        <v>0.46764677046588943</v>
      </c>
      <c r="W42" s="301">
        <v>0.47555537467059816</v>
      </c>
      <c r="X42" s="297">
        <v>-0.20364215297015947</v>
      </c>
      <c r="Y42" s="297">
        <v>-4.7483708061664832E-2</v>
      </c>
      <c r="Z42" s="301">
        <v>3.2110399161234711E-2</v>
      </c>
      <c r="AA42" s="297">
        <v>-0.12420126594166013</v>
      </c>
      <c r="AB42" s="297">
        <v>0.13920801484946196</v>
      </c>
      <c r="AC42" s="297">
        <v>0.12340139910090056</v>
      </c>
      <c r="AD42" s="297">
        <v>0.18688652642988646</v>
      </c>
      <c r="AE42" s="297">
        <v>-1.4584986021707418E-2</v>
      </c>
      <c r="AF42" s="297">
        <v>-4.3166462331066142E-2</v>
      </c>
      <c r="AG42" s="297">
        <v>-7.0741491822141941E-2</v>
      </c>
      <c r="AH42" s="297">
        <v>0.28880721496591266</v>
      </c>
      <c r="AI42" s="296">
        <v>1</v>
      </c>
      <c r="AJ42" s="297">
        <v>0.12024940034967618</v>
      </c>
      <c r="AK42" s="297">
        <v>-2.2329861570515461E-2</v>
      </c>
      <c r="AL42" s="301">
        <v>-0.43529169150782526</v>
      </c>
      <c r="AM42" s="301">
        <v>-6.0241951344964621E-2</v>
      </c>
    </row>
    <row r="43" spans="1:39" ht="11.25" customHeight="1" x14ac:dyDescent="0.25">
      <c r="A43" s="624"/>
      <c r="B43" s="90" t="s">
        <v>445</v>
      </c>
      <c r="C43" s="297">
        <v>5.2355960159096195E-2</v>
      </c>
      <c r="D43" s="297">
        <v>6.8721126504990723E-2</v>
      </c>
      <c r="E43" s="297">
        <v>0.65070025306154133</v>
      </c>
      <c r="F43" s="297">
        <v>2.4415311410107148E-2</v>
      </c>
      <c r="G43" s="297">
        <v>-0.13898437284304119</v>
      </c>
      <c r="H43" s="297">
        <v>8.9930320114908147E-2</v>
      </c>
      <c r="I43" s="297">
        <v>6.594170586861052E-2</v>
      </c>
      <c r="J43" s="301">
        <v>0.32670889316901675</v>
      </c>
      <c r="K43" s="297">
        <v>2.7880429983536516E-3</v>
      </c>
      <c r="L43" s="297">
        <v>-1.9034011311432026E-2</v>
      </c>
      <c r="M43" s="297">
        <v>1.5786902750833567E-2</v>
      </c>
      <c r="N43" s="297">
        <v>9.5793153122567757E-3</v>
      </c>
      <c r="O43" s="301">
        <v>0.70042618213326024</v>
      </c>
      <c r="P43" s="297">
        <v>6.5756547864808515E-2</v>
      </c>
      <c r="Q43" s="297">
        <v>2.38172792916154E-3</v>
      </c>
      <c r="R43" s="297">
        <v>0.30126562341206575</v>
      </c>
      <c r="S43" s="297">
        <v>0.13073428358956943</v>
      </c>
      <c r="T43" s="297">
        <v>2.9342359730748523E-2</v>
      </c>
      <c r="U43" s="297">
        <v>6.669986050452241E-2</v>
      </c>
      <c r="V43" s="301">
        <v>0.60393530607140222</v>
      </c>
      <c r="W43" s="297">
        <v>0.23322403378858819</v>
      </c>
      <c r="X43" s="297">
        <v>-0.12753879383770805</v>
      </c>
      <c r="Y43" s="297">
        <v>0.15314919746933014</v>
      </c>
      <c r="Z43" s="297">
        <v>-2.4279143978824465E-2</v>
      </c>
      <c r="AA43" s="297">
        <v>4.7508668900734886E-2</v>
      </c>
      <c r="AB43" s="297">
        <v>0.12440946412484424</v>
      </c>
      <c r="AC43" s="297">
        <v>-2.6087341079761864E-2</v>
      </c>
      <c r="AD43" s="297">
        <v>0.10427208130649161</v>
      </c>
      <c r="AE43" s="297">
        <v>-8.9854352724016429E-2</v>
      </c>
      <c r="AF43" s="297">
        <v>-0.15897082611932148</v>
      </c>
      <c r="AG43" s="297">
        <v>-1.8979502230762269E-2</v>
      </c>
      <c r="AH43" s="297">
        <v>0.12351497001716848</v>
      </c>
      <c r="AI43" s="297">
        <v>0.25926636287241517</v>
      </c>
      <c r="AJ43" s="296">
        <v>1</v>
      </c>
      <c r="AK43" s="301">
        <v>-0.36560604634917471</v>
      </c>
      <c r="AL43" s="297">
        <v>8.2669938086994132E-2</v>
      </c>
      <c r="AM43" s="297">
        <v>1.9066609199337007E-2</v>
      </c>
    </row>
    <row r="44" spans="1:39" ht="11.25" customHeight="1" x14ac:dyDescent="0.25">
      <c r="A44" s="624"/>
      <c r="B44" s="90" t="s">
        <v>446</v>
      </c>
      <c r="C44" s="301">
        <v>0.18613691163186513</v>
      </c>
      <c r="D44" s="297">
        <v>0.10256556807351251</v>
      </c>
      <c r="E44" s="297">
        <v>-0.15574548604094762</v>
      </c>
      <c r="F44" s="297">
        <v>0.13372201578403436</v>
      </c>
      <c r="G44" s="297">
        <v>-8.6628208498545542E-4</v>
      </c>
      <c r="H44" s="297">
        <v>9.6045472253954003E-2</v>
      </c>
      <c r="I44" s="297">
        <v>0.27296020163175122</v>
      </c>
      <c r="J44" s="301">
        <v>7.5335984106142354E-2</v>
      </c>
      <c r="K44" s="297">
        <v>0.18046913233380033</v>
      </c>
      <c r="L44" s="297">
        <v>0.45775715378499654</v>
      </c>
      <c r="M44" s="301">
        <v>-0.20193956168490132</v>
      </c>
      <c r="N44" s="297">
        <v>-7.4911547042327262E-2</v>
      </c>
      <c r="O44" s="297">
        <v>-8.6395526804416457E-3</v>
      </c>
      <c r="P44" s="301">
        <v>-0.12573628563857697</v>
      </c>
      <c r="Q44" s="297">
        <v>-5.1713638878534245E-2</v>
      </c>
      <c r="R44" s="297">
        <v>0.1028223154488539</v>
      </c>
      <c r="S44" s="297">
        <v>-2.4052130442227416E-2</v>
      </c>
      <c r="T44" s="297">
        <v>-2.2163886677444605E-2</v>
      </c>
      <c r="U44" s="301">
        <v>0.18194215530571289</v>
      </c>
      <c r="V44" s="301">
        <v>3.9483314526474009E-2</v>
      </c>
      <c r="W44" s="297">
        <v>-0.14051067631456612</v>
      </c>
      <c r="X44" s="297">
        <v>-0.11197905412134483</v>
      </c>
      <c r="Y44" s="297">
        <v>-3.1629856899237613E-2</v>
      </c>
      <c r="Z44" s="297">
        <v>0.35856864950327233</v>
      </c>
      <c r="AA44" s="297">
        <v>-4.9804572354041877E-2</v>
      </c>
      <c r="AB44" s="297">
        <v>1.733804618636103E-2</v>
      </c>
      <c r="AC44" s="297">
        <v>7.6089273700662013E-2</v>
      </c>
      <c r="AD44" s="301">
        <v>-2.3149777920813842E-2</v>
      </c>
      <c r="AE44" s="301">
        <v>0.13960616814596932</v>
      </c>
      <c r="AF44" s="297">
        <v>-2.3990114238332267E-3</v>
      </c>
      <c r="AG44" s="297">
        <v>0.13759208570378959</v>
      </c>
      <c r="AH44" s="297">
        <v>0.12603471941437056</v>
      </c>
      <c r="AI44" s="297">
        <v>-0.11571525088782335</v>
      </c>
      <c r="AJ44" s="301">
        <v>-4.8653092756294716E-2</v>
      </c>
      <c r="AK44" s="296">
        <v>1</v>
      </c>
      <c r="AL44" s="297">
        <v>-5.1448103736790533E-2</v>
      </c>
      <c r="AM44" s="301">
        <v>0.30070428340106226</v>
      </c>
    </row>
    <row r="45" spans="1:39" ht="11.25" customHeight="1" x14ac:dyDescent="0.25">
      <c r="A45" s="624"/>
      <c r="B45" s="90" t="s">
        <v>447</v>
      </c>
      <c r="C45" s="297">
        <v>0.43702447280590168</v>
      </c>
      <c r="D45" s="297">
        <v>0.35841159992753835</v>
      </c>
      <c r="E45" s="297">
        <v>9.5457508055236756E-2</v>
      </c>
      <c r="F45" s="297">
        <v>5.5294537097870008E-2</v>
      </c>
      <c r="G45" s="301">
        <v>5.3759358300449547E-2</v>
      </c>
      <c r="H45" s="297">
        <v>0.33229243695201416</v>
      </c>
      <c r="I45" s="297">
        <v>0.28035943726501933</v>
      </c>
      <c r="J45" s="297">
        <v>2.5208598410262691E-2</v>
      </c>
      <c r="K45" s="297">
        <v>-6.8125591380476552E-2</v>
      </c>
      <c r="L45" s="297">
        <v>-1.3925330733557112E-2</v>
      </c>
      <c r="M45" s="297">
        <v>8.3868226452761385E-3</v>
      </c>
      <c r="N45" s="297">
        <v>0.19810385041864839</v>
      </c>
      <c r="O45" s="297">
        <v>0.28176247658793102</v>
      </c>
      <c r="P45" s="297">
        <v>-0.13548758180989076</v>
      </c>
      <c r="Q45" s="297">
        <v>6.3662484847777617E-2</v>
      </c>
      <c r="R45" s="297">
        <v>0.1195593422765394</v>
      </c>
      <c r="S45" s="301">
        <v>3.1577580500138931E-2</v>
      </c>
      <c r="T45" s="297">
        <v>4.63719608313541E-2</v>
      </c>
      <c r="U45" s="297">
        <v>7.3673199798461056E-2</v>
      </c>
      <c r="V45" s="301">
        <v>0.13920758810187009</v>
      </c>
      <c r="W45" s="297">
        <v>0.13062604076339848</v>
      </c>
      <c r="X45" s="297">
        <v>-6.9640549266384952E-2</v>
      </c>
      <c r="Y45" s="297">
        <v>6.4343497321929316E-2</v>
      </c>
      <c r="Z45" s="297">
        <v>0.1650687144024221</v>
      </c>
      <c r="AA45" s="297">
        <v>0.12223520485147166</v>
      </c>
      <c r="AB45" s="297">
        <v>-3.5485166376448524E-2</v>
      </c>
      <c r="AC45" s="297">
        <v>7.2491764253501054E-2</v>
      </c>
      <c r="AD45" s="297">
        <v>-7.9664293191682015E-2</v>
      </c>
      <c r="AE45" s="297">
        <v>-3.3026237946864455E-2</v>
      </c>
      <c r="AF45" s="297">
        <v>0.14900944521844814</v>
      </c>
      <c r="AG45" s="297">
        <v>0.12310339556813198</v>
      </c>
      <c r="AH45" s="297">
        <v>4.5049867299590644E-2</v>
      </c>
      <c r="AI45" s="301">
        <v>6.6286464742448661E-2</v>
      </c>
      <c r="AJ45" s="297">
        <v>0.19509115204044197</v>
      </c>
      <c r="AK45" s="297">
        <v>1.9104024849158113E-2</v>
      </c>
      <c r="AL45" s="296">
        <v>1</v>
      </c>
      <c r="AM45" s="297">
        <v>0.32460528101513292</v>
      </c>
    </row>
    <row r="46" spans="1:39" ht="11.25" customHeight="1" x14ac:dyDescent="0.25">
      <c r="A46" s="624"/>
      <c r="B46" s="90" t="s">
        <v>448</v>
      </c>
      <c r="C46" s="297">
        <v>4.5006030902234713E-2</v>
      </c>
      <c r="D46" s="297">
        <v>0.14265411338860004</v>
      </c>
      <c r="E46" s="297">
        <v>6.0496918533694308E-2</v>
      </c>
      <c r="F46" s="297">
        <v>0.16410816628103547</v>
      </c>
      <c r="G46" s="301">
        <v>0.16419227441252074</v>
      </c>
      <c r="H46" s="297">
        <v>-3.0377337859002682E-2</v>
      </c>
      <c r="I46" s="297">
        <v>0.31977873276584495</v>
      </c>
      <c r="J46" s="297">
        <v>9.4758707803728207E-2</v>
      </c>
      <c r="K46" s="297">
        <v>-5.0093665792415663E-2</v>
      </c>
      <c r="L46" s="297">
        <v>3.0668140346238611E-2</v>
      </c>
      <c r="M46" s="297">
        <v>0.43311068767943883</v>
      </c>
      <c r="N46" s="297">
        <v>0.33064210974507152</v>
      </c>
      <c r="O46" s="297">
        <v>5.5426501254319333E-2</v>
      </c>
      <c r="P46" s="297">
        <v>0.65367367686457012</v>
      </c>
      <c r="Q46" s="297">
        <v>0.24157245922867288</v>
      </c>
      <c r="R46" s="297">
        <v>0.2399907276210565</v>
      </c>
      <c r="S46" s="297">
        <v>0.19046238377239971</v>
      </c>
      <c r="T46" s="301">
        <v>0.19032237129535812</v>
      </c>
      <c r="U46" s="297">
        <v>0.43328084227735253</v>
      </c>
      <c r="V46" s="297">
        <v>0.12581527778716856</v>
      </c>
      <c r="W46" s="301">
        <v>0.46254552558112622</v>
      </c>
      <c r="X46" s="297">
        <v>0.34064957945602803</v>
      </c>
      <c r="Y46" s="297">
        <v>0.14183927901719756</v>
      </c>
      <c r="Z46" s="297">
        <v>2.1905898733565153E-2</v>
      </c>
      <c r="AA46" s="297">
        <v>0.12988886009763592</v>
      </c>
      <c r="AB46" s="297">
        <v>0.3855494320924292</v>
      </c>
      <c r="AC46" s="297">
        <v>0.13952807471130593</v>
      </c>
      <c r="AD46" s="301">
        <v>0.30497786550817224</v>
      </c>
      <c r="AE46" s="301">
        <v>3.2343018018486346E-2</v>
      </c>
      <c r="AF46" s="297">
        <v>7.2203504564495577E-2</v>
      </c>
      <c r="AG46" s="297">
        <v>8.2412688107005805E-2</v>
      </c>
      <c r="AH46" s="297">
        <v>0.17606305168045666</v>
      </c>
      <c r="AI46" s="301">
        <v>0.33340177153633299</v>
      </c>
      <c r="AJ46" s="297">
        <v>8.7405326836883401E-2</v>
      </c>
      <c r="AK46" s="301">
        <v>-5.42921982062258E-2</v>
      </c>
      <c r="AL46" s="297">
        <v>0.14385827111497315</v>
      </c>
      <c r="AM46" s="296">
        <v>1</v>
      </c>
    </row>
    <row r="47" spans="1:39" ht="11.25" customHeight="1" x14ac:dyDescent="0.25">
      <c r="H47" s="74"/>
      <c r="I47" s="39"/>
      <c r="J47" s="39"/>
      <c r="K47" s="39"/>
      <c r="L47" s="39"/>
      <c r="M47" s="39"/>
      <c r="N47" s="39"/>
      <c r="O47" s="39"/>
      <c r="P47" s="39"/>
      <c r="Q47" s="20"/>
      <c r="R47" s="20"/>
      <c r="S47" s="20"/>
      <c r="U47" s="39"/>
      <c r="V47" s="39"/>
      <c r="W47" s="39"/>
      <c r="X47" s="39"/>
      <c r="Y47" s="39"/>
      <c r="Z47" s="39"/>
      <c r="AA47" s="20"/>
      <c r="AB47" s="20"/>
      <c r="AC47" s="20"/>
      <c r="AD47" s="47"/>
    </row>
    <row r="48" spans="1:39" ht="11.25" customHeight="1" x14ac:dyDescent="0.25">
      <c r="H48" s="74"/>
      <c r="I48" s="39"/>
      <c r="J48" s="39"/>
      <c r="K48" s="39"/>
      <c r="L48" s="39"/>
      <c r="M48" s="39"/>
      <c r="N48" s="39"/>
      <c r="O48" s="39"/>
      <c r="P48" s="39"/>
      <c r="Q48" s="20"/>
      <c r="R48" s="20"/>
      <c r="S48" s="20"/>
      <c r="U48" s="39"/>
      <c r="V48" s="39"/>
      <c r="W48" s="39"/>
      <c r="X48" s="39"/>
      <c r="Y48" s="39"/>
      <c r="Z48" s="39"/>
      <c r="AA48" s="20"/>
      <c r="AB48" s="20"/>
      <c r="AC48" s="20"/>
      <c r="AD48" s="47"/>
    </row>
    <row r="49" spans="1:39" ht="11.25" customHeight="1" x14ac:dyDescent="0.25">
      <c r="H49" s="74"/>
      <c r="I49" s="39"/>
      <c r="J49" s="39"/>
      <c r="K49" s="39"/>
      <c r="L49" s="39"/>
      <c r="M49" s="39"/>
      <c r="N49" s="39"/>
      <c r="O49" s="39"/>
      <c r="P49" s="39"/>
      <c r="Q49" s="20"/>
      <c r="R49" s="20"/>
      <c r="S49" s="20"/>
      <c r="U49" s="39"/>
      <c r="V49" s="39"/>
      <c r="W49" s="39"/>
      <c r="X49" s="39"/>
      <c r="Y49" s="39"/>
      <c r="Z49" s="39"/>
      <c r="AA49" s="20"/>
      <c r="AB49" s="20"/>
      <c r="AC49" s="20"/>
      <c r="AD49" s="47"/>
    </row>
    <row r="50" spans="1:39" ht="11.25" customHeight="1" x14ac:dyDescent="0.25">
      <c r="A50" s="91">
        <v>1</v>
      </c>
      <c r="B50" s="621" t="s">
        <v>323</v>
      </c>
      <c r="C50" s="621"/>
      <c r="D50" s="621"/>
      <c r="E50" s="621"/>
      <c r="F50" s="621"/>
      <c r="G50" s="621"/>
      <c r="H50" s="91">
        <v>11</v>
      </c>
      <c r="I50" s="621" t="s">
        <v>331</v>
      </c>
      <c r="J50" s="621"/>
      <c r="K50" s="621"/>
      <c r="L50" s="621"/>
      <c r="M50" s="621"/>
      <c r="N50" s="621"/>
      <c r="O50" s="91">
        <v>21</v>
      </c>
      <c r="P50" s="621" t="s">
        <v>338</v>
      </c>
      <c r="Q50" s="621"/>
      <c r="R50" s="621"/>
      <c r="S50" s="621"/>
      <c r="T50" s="621"/>
      <c r="U50" s="621"/>
      <c r="V50" s="91">
        <v>31</v>
      </c>
      <c r="W50" s="621" t="s">
        <v>345</v>
      </c>
      <c r="X50" s="621"/>
      <c r="Y50" s="621"/>
      <c r="Z50" s="621"/>
      <c r="AA50" s="621"/>
      <c r="AB50" s="621"/>
      <c r="AC50" s="91"/>
      <c r="AD50" s="621"/>
      <c r="AE50" s="621"/>
      <c r="AF50" s="621"/>
      <c r="AG50" s="621"/>
      <c r="AH50" s="621"/>
      <c r="AI50" s="621"/>
      <c r="AJ50" s="91"/>
      <c r="AK50" s="621"/>
      <c r="AL50" s="621"/>
      <c r="AM50" s="621"/>
    </row>
    <row r="51" spans="1:39" ht="11.25" customHeight="1" x14ac:dyDescent="0.25">
      <c r="A51" s="91">
        <v>2</v>
      </c>
      <c r="B51" s="621" t="s">
        <v>324</v>
      </c>
      <c r="C51" s="621"/>
      <c r="D51" s="621"/>
      <c r="E51" s="621"/>
      <c r="F51" s="621"/>
      <c r="G51" s="621"/>
      <c r="H51" s="91">
        <v>12</v>
      </c>
      <c r="I51" s="621" t="s">
        <v>311</v>
      </c>
      <c r="J51" s="621"/>
      <c r="K51" s="621"/>
      <c r="L51" s="621"/>
      <c r="M51" s="621"/>
      <c r="N51" s="621"/>
      <c r="O51" s="91">
        <v>22</v>
      </c>
      <c r="P51" s="621" t="s">
        <v>339</v>
      </c>
      <c r="Q51" s="621"/>
      <c r="R51" s="621"/>
      <c r="S51" s="621"/>
      <c r="T51" s="621"/>
      <c r="U51" s="621"/>
      <c r="V51" s="91">
        <v>32</v>
      </c>
      <c r="W51" s="621" t="s">
        <v>308</v>
      </c>
      <c r="X51" s="621"/>
      <c r="Y51" s="621"/>
      <c r="Z51" s="621"/>
      <c r="AA51" s="621"/>
      <c r="AB51" s="621"/>
      <c r="AC51" s="91"/>
      <c r="AD51" s="621"/>
      <c r="AE51" s="621"/>
      <c r="AF51" s="621"/>
      <c r="AG51" s="621"/>
      <c r="AH51" s="621"/>
      <c r="AI51" s="621"/>
      <c r="AJ51" s="91"/>
      <c r="AK51" s="621"/>
      <c r="AL51" s="621"/>
      <c r="AM51" s="621"/>
    </row>
    <row r="52" spans="1:39" ht="11.25" customHeight="1" x14ac:dyDescent="0.25">
      <c r="A52" s="91">
        <v>3</v>
      </c>
      <c r="B52" s="621" t="s">
        <v>313</v>
      </c>
      <c r="C52" s="621"/>
      <c r="D52" s="621"/>
      <c r="E52" s="621"/>
      <c r="F52" s="621"/>
      <c r="G52" s="621"/>
      <c r="H52" s="91">
        <v>13</v>
      </c>
      <c r="I52" s="621" t="s">
        <v>309</v>
      </c>
      <c r="J52" s="621"/>
      <c r="K52" s="621"/>
      <c r="L52" s="621"/>
      <c r="M52" s="621"/>
      <c r="N52" s="621"/>
      <c r="O52" s="91">
        <v>23</v>
      </c>
      <c r="P52" s="621" t="s">
        <v>340</v>
      </c>
      <c r="Q52" s="621"/>
      <c r="R52" s="621"/>
      <c r="S52" s="621"/>
      <c r="T52" s="621"/>
      <c r="U52" s="621"/>
      <c r="V52" s="91">
        <v>33</v>
      </c>
      <c r="W52" s="621" t="s">
        <v>346</v>
      </c>
      <c r="X52" s="621"/>
      <c r="Y52" s="621"/>
      <c r="Z52" s="621"/>
      <c r="AA52" s="621"/>
      <c r="AB52" s="621"/>
      <c r="AC52" s="91"/>
      <c r="AD52" s="621"/>
      <c r="AE52" s="621"/>
      <c r="AF52" s="621"/>
      <c r="AG52" s="621"/>
      <c r="AH52" s="621"/>
      <c r="AI52" s="621"/>
      <c r="AJ52" s="91"/>
      <c r="AK52" s="621"/>
      <c r="AL52" s="621"/>
      <c r="AM52" s="621"/>
    </row>
    <row r="53" spans="1:39" ht="11.25" customHeight="1" x14ac:dyDescent="0.25">
      <c r="A53" s="91">
        <v>4</v>
      </c>
      <c r="B53" s="621" t="s">
        <v>325</v>
      </c>
      <c r="C53" s="621"/>
      <c r="D53" s="621"/>
      <c r="E53" s="621"/>
      <c r="F53" s="621"/>
      <c r="G53" s="621"/>
      <c r="H53" s="91">
        <v>14</v>
      </c>
      <c r="I53" s="621" t="s">
        <v>332</v>
      </c>
      <c r="J53" s="621"/>
      <c r="K53" s="621"/>
      <c r="L53" s="621"/>
      <c r="M53" s="621"/>
      <c r="N53" s="621"/>
      <c r="O53" s="91">
        <v>24</v>
      </c>
      <c r="P53" s="621" t="s">
        <v>341</v>
      </c>
      <c r="Q53" s="621"/>
      <c r="R53" s="621"/>
      <c r="S53" s="621"/>
      <c r="T53" s="621"/>
      <c r="U53" s="621"/>
      <c r="V53" s="91">
        <v>34</v>
      </c>
      <c r="W53" s="621" t="s">
        <v>304</v>
      </c>
      <c r="X53" s="621"/>
      <c r="Y53" s="621"/>
      <c r="Z53" s="621"/>
      <c r="AA53" s="621"/>
      <c r="AB53" s="621"/>
      <c r="AC53" s="91"/>
      <c r="AD53" s="621"/>
      <c r="AE53" s="621"/>
      <c r="AF53" s="621"/>
      <c r="AG53" s="621"/>
      <c r="AH53" s="621"/>
      <c r="AI53" s="621"/>
      <c r="AJ53" s="91"/>
      <c r="AK53" s="621"/>
      <c r="AL53" s="621"/>
      <c r="AM53" s="621"/>
    </row>
    <row r="54" spans="1:39" ht="11.25" customHeight="1" x14ac:dyDescent="0.25">
      <c r="A54" s="91">
        <v>5</v>
      </c>
      <c r="B54" s="621" t="s">
        <v>326</v>
      </c>
      <c r="C54" s="621"/>
      <c r="D54" s="621"/>
      <c r="E54" s="621"/>
      <c r="F54" s="621"/>
      <c r="G54" s="621"/>
      <c r="H54" s="91">
        <v>15</v>
      </c>
      <c r="I54" s="621" t="s">
        <v>333</v>
      </c>
      <c r="J54" s="621"/>
      <c r="K54" s="621"/>
      <c r="L54" s="621"/>
      <c r="M54" s="621"/>
      <c r="N54" s="621"/>
      <c r="O54" s="91">
        <v>25</v>
      </c>
      <c r="P54" s="621" t="s">
        <v>310</v>
      </c>
      <c r="Q54" s="621"/>
      <c r="R54" s="621"/>
      <c r="S54" s="621"/>
      <c r="T54" s="621"/>
      <c r="U54" s="621"/>
      <c r="V54" s="91">
        <v>35</v>
      </c>
      <c r="W54" s="621" t="s">
        <v>347</v>
      </c>
      <c r="X54" s="621"/>
      <c r="Y54" s="621"/>
      <c r="Z54" s="621"/>
      <c r="AA54" s="621"/>
      <c r="AB54" s="621"/>
      <c r="AC54" s="91"/>
      <c r="AD54" s="621"/>
      <c r="AE54" s="621"/>
      <c r="AF54" s="621"/>
      <c r="AG54" s="621"/>
      <c r="AH54" s="621"/>
      <c r="AI54" s="621"/>
      <c r="AJ54" s="91"/>
      <c r="AK54" s="621"/>
      <c r="AL54" s="621"/>
      <c r="AM54" s="621"/>
    </row>
    <row r="55" spans="1:39" ht="11.25" customHeight="1" x14ac:dyDescent="0.25">
      <c r="A55" s="91">
        <v>6</v>
      </c>
      <c r="B55" s="621" t="s">
        <v>327</v>
      </c>
      <c r="C55" s="621"/>
      <c r="D55" s="621"/>
      <c r="E55" s="621"/>
      <c r="F55" s="621"/>
      <c r="G55" s="621"/>
      <c r="H55" s="91">
        <v>16</v>
      </c>
      <c r="I55" s="621" t="s">
        <v>334</v>
      </c>
      <c r="J55" s="621"/>
      <c r="K55" s="621"/>
      <c r="L55" s="621"/>
      <c r="M55" s="621"/>
      <c r="N55" s="621"/>
      <c r="O55" s="91">
        <v>26</v>
      </c>
      <c r="P55" s="621" t="s">
        <v>305</v>
      </c>
      <c r="Q55" s="621"/>
      <c r="R55" s="621"/>
      <c r="S55" s="621"/>
      <c r="T55" s="621"/>
      <c r="U55" s="621"/>
      <c r="V55" s="91">
        <v>36</v>
      </c>
      <c r="W55" s="621" t="s">
        <v>348</v>
      </c>
      <c r="X55" s="621"/>
      <c r="Y55" s="621"/>
      <c r="Z55" s="621"/>
      <c r="AA55" s="621"/>
      <c r="AB55" s="621"/>
      <c r="AC55" s="91"/>
      <c r="AD55" s="621"/>
      <c r="AE55" s="621"/>
      <c r="AF55" s="621"/>
      <c r="AG55" s="621"/>
      <c r="AH55" s="621"/>
      <c r="AI55" s="621"/>
      <c r="AJ55" s="91"/>
      <c r="AK55" s="621"/>
      <c r="AL55" s="621"/>
      <c r="AM55" s="621"/>
    </row>
    <row r="56" spans="1:39" ht="11.25" customHeight="1" x14ac:dyDescent="0.25">
      <c r="A56" s="91">
        <v>7</v>
      </c>
      <c r="B56" s="621" t="s">
        <v>328</v>
      </c>
      <c r="C56" s="621"/>
      <c r="D56" s="621"/>
      <c r="E56" s="621"/>
      <c r="F56" s="621"/>
      <c r="G56" s="621"/>
      <c r="H56" s="91">
        <v>17</v>
      </c>
      <c r="I56" s="621" t="s">
        <v>335</v>
      </c>
      <c r="J56" s="621"/>
      <c r="K56" s="621"/>
      <c r="L56" s="621"/>
      <c r="M56" s="621"/>
      <c r="N56" s="621"/>
      <c r="O56" s="91">
        <v>27</v>
      </c>
      <c r="P56" s="621" t="s">
        <v>342</v>
      </c>
      <c r="Q56" s="621"/>
      <c r="R56" s="621"/>
      <c r="S56" s="621"/>
      <c r="T56" s="621"/>
      <c r="U56" s="621"/>
      <c r="V56" s="91">
        <v>37</v>
      </c>
      <c r="W56" s="621" t="s">
        <v>349</v>
      </c>
      <c r="X56" s="621"/>
      <c r="Y56" s="621"/>
      <c r="Z56" s="621"/>
      <c r="AA56" s="621"/>
      <c r="AB56" s="621"/>
      <c r="AC56" s="91"/>
      <c r="AD56" s="621"/>
      <c r="AE56" s="621"/>
      <c r="AF56" s="621"/>
      <c r="AG56" s="621"/>
      <c r="AH56" s="621"/>
      <c r="AI56" s="621"/>
      <c r="AJ56" s="91"/>
      <c r="AK56" s="621"/>
      <c r="AL56" s="621"/>
      <c r="AM56" s="621"/>
    </row>
    <row r="57" spans="1:39" ht="11.25" customHeight="1" x14ac:dyDescent="0.25">
      <c r="A57" s="91">
        <v>8</v>
      </c>
      <c r="B57" s="621" t="s">
        <v>329</v>
      </c>
      <c r="C57" s="621"/>
      <c r="D57" s="621"/>
      <c r="E57" s="621"/>
      <c r="F57" s="621"/>
      <c r="G57" s="621"/>
      <c r="H57" s="91">
        <v>18</v>
      </c>
      <c r="I57" s="621" t="s">
        <v>336</v>
      </c>
      <c r="J57" s="621"/>
      <c r="K57" s="621"/>
      <c r="L57" s="621"/>
      <c r="M57" s="621"/>
      <c r="N57" s="621"/>
      <c r="O57" s="91">
        <v>28</v>
      </c>
      <c r="P57" s="621" t="s">
        <v>343</v>
      </c>
      <c r="Q57" s="621"/>
      <c r="R57" s="621"/>
      <c r="S57" s="621"/>
      <c r="T57" s="621"/>
      <c r="U57" s="621"/>
      <c r="V57" s="91"/>
      <c r="W57" s="621"/>
      <c r="X57" s="621"/>
      <c r="Y57" s="621"/>
      <c r="Z57" s="621"/>
      <c r="AA57" s="621"/>
      <c r="AB57" s="621"/>
      <c r="AC57" s="91"/>
      <c r="AD57" s="621"/>
      <c r="AE57" s="621"/>
      <c r="AF57" s="621"/>
      <c r="AG57" s="621"/>
      <c r="AH57" s="621"/>
      <c r="AI57" s="621"/>
      <c r="AJ57" s="91"/>
      <c r="AK57" s="621"/>
      <c r="AL57" s="621"/>
      <c r="AM57" s="621"/>
    </row>
    <row r="58" spans="1:39" ht="11.25" customHeight="1" x14ac:dyDescent="0.25">
      <c r="A58" s="91">
        <v>9</v>
      </c>
      <c r="B58" s="621" t="s">
        <v>330</v>
      </c>
      <c r="C58" s="621"/>
      <c r="D58" s="621"/>
      <c r="E58" s="621"/>
      <c r="F58" s="621"/>
      <c r="G58" s="621"/>
      <c r="H58" s="91">
        <v>19</v>
      </c>
      <c r="I58" s="621" t="s">
        <v>307</v>
      </c>
      <c r="J58" s="621"/>
      <c r="K58" s="621"/>
      <c r="L58" s="621"/>
      <c r="M58" s="621"/>
      <c r="N58" s="621"/>
      <c r="O58" s="91">
        <v>29</v>
      </c>
      <c r="P58" s="621" t="s">
        <v>306</v>
      </c>
      <c r="Q58" s="621"/>
      <c r="R58" s="621"/>
      <c r="S58" s="621"/>
      <c r="T58" s="621"/>
      <c r="U58" s="621"/>
      <c r="V58" s="91"/>
      <c r="W58" s="621"/>
      <c r="X58" s="621"/>
      <c r="Y58" s="621"/>
      <c r="Z58" s="621"/>
      <c r="AA58" s="621"/>
      <c r="AB58" s="621"/>
      <c r="AC58" s="91"/>
      <c r="AD58" s="621"/>
      <c r="AE58" s="621"/>
      <c r="AF58" s="621"/>
      <c r="AG58" s="621"/>
      <c r="AH58" s="621"/>
      <c r="AI58" s="621"/>
      <c r="AJ58" s="91"/>
      <c r="AK58" s="621"/>
      <c r="AL58" s="621"/>
      <c r="AM58" s="621"/>
    </row>
    <row r="59" spans="1:39" ht="11.25" customHeight="1" x14ac:dyDescent="0.25">
      <c r="A59" s="91">
        <v>10</v>
      </c>
      <c r="B59" s="621" t="s">
        <v>312</v>
      </c>
      <c r="C59" s="621"/>
      <c r="D59" s="621"/>
      <c r="E59" s="621"/>
      <c r="F59" s="621"/>
      <c r="G59" s="621"/>
      <c r="H59" s="91">
        <v>20</v>
      </c>
      <c r="I59" s="621" t="s">
        <v>337</v>
      </c>
      <c r="J59" s="621"/>
      <c r="K59" s="621"/>
      <c r="L59" s="621"/>
      <c r="M59" s="621"/>
      <c r="N59" s="621"/>
      <c r="O59" s="91">
        <v>30</v>
      </c>
      <c r="P59" s="621" t="s">
        <v>344</v>
      </c>
      <c r="Q59" s="621"/>
      <c r="R59" s="621"/>
      <c r="S59" s="621"/>
      <c r="T59" s="621"/>
      <c r="U59" s="621"/>
      <c r="V59" s="91"/>
      <c r="W59" s="621"/>
      <c r="X59" s="621"/>
      <c r="Y59" s="621"/>
      <c r="Z59" s="621"/>
      <c r="AA59" s="621"/>
      <c r="AB59" s="621"/>
      <c r="AC59" s="91"/>
      <c r="AD59" s="621"/>
      <c r="AE59" s="621"/>
      <c r="AF59" s="621"/>
      <c r="AG59" s="621"/>
      <c r="AH59" s="621"/>
      <c r="AI59" s="621"/>
      <c r="AJ59" s="91"/>
      <c r="AK59" s="621"/>
      <c r="AL59" s="621"/>
      <c r="AM59" s="621"/>
    </row>
    <row r="60" spans="1:39" ht="11.25" customHeight="1" x14ac:dyDescent="0.25">
      <c r="A60" s="71"/>
      <c r="B60" s="71"/>
      <c r="C60" s="71"/>
      <c r="D60" s="71"/>
      <c r="E60" s="71"/>
      <c r="F60" s="71"/>
      <c r="G60" s="40"/>
      <c r="H60" s="74"/>
      <c r="I60" s="39"/>
      <c r="J60" s="39"/>
      <c r="K60" s="39"/>
      <c r="L60" s="39"/>
      <c r="M60" s="39"/>
      <c r="N60" s="39"/>
      <c r="O60" s="39"/>
      <c r="P60" s="39"/>
      <c r="Q60" s="20"/>
      <c r="R60" s="20"/>
      <c r="S60" s="20"/>
      <c r="U60" s="39"/>
      <c r="V60" s="39"/>
      <c r="W60" s="39"/>
      <c r="X60" s="39"/>
      <c r="Y60" s="39"/>
      <c r="Z60" s="39"/>
      <c r="AA60" s="20"/>
      <c r="AB60" s="20"/>
      <c r="AC60" s="20"/>
      <c r="AD60" s="52"/>
    </row>
    <row r="61" spans="1:39" ht="11.25" customHeight="1" x14ac:dyDescent="0.25">
      <c r="A61" s="71"/>
      <c r="B61" s="71"/>
      <c r="C61" s="71"/>
      <c r="D61" s="71"/>
      <c r="E61" s="71"/>
      <c r="F61" s="71"/>
      <c r="G61" s="40"/>
      <c r="H61" s="74"/>
      <c r="I61" s="39"/>
      <c r="J61" s="39"/>
      <c r="K61" s="39"/>
      <c r="L61" s="39"/>
      <c r="M61" s="39"/>
      <c r="N61" s="39"/>
      <c r="O61" s="39"/>
      <c r="P61" s="39"/>
      <c r="Q61" s="20"/>
      <c r="R61" s="20"/>
      <c r="S61" s="20"/>
      <c r="U61" s="39"/>
      <c r="V61" s="39"/>
      <c r="W61" s="39"/>
      <c r="X61" s="39"/>
      <c r="Y61" s="39"/>
      <c r="Z61" s="39"/>
      <c r="AA61" s="20"/>
      <c r="AB61" s="20"/>
      <c r="AC61" s="20"/>
      <c r="AD61" s="52"/>
    </row>
    <row r="62" spans="1:39" ht="11.25" customHeight="1" x14ac:dyDescent="0.25">
      <c r="Z62" s="39"/>
      <c r="AA62" s="20"/>
      <c r="AB62" s="20"/>
      <c r="AC62" s="20"/>
      <c r="AD62" s="52"/>
    </row>
    <row r="63" spans="1:39" ht="11.25" customHeight="1" x14ac:dyDescent="0.25">
      <c r="Z63" s="39"/>
      <c r="AA63" s="20"/>
      <c r="AB63" s="20"/>
      <c r="AC63" s="20"/>
    </row>
    <row r="64" spans="1:39" ht="11.25" customHeight="1" x14ac:dyDescent="0.25"/>
    <row r="65" ht="11.25" customHeight="1" x14ac:dyDescent="0.25"/>
    <row r="66" ht="11.25" customHeight="1" x14ac:dyDescent="0.25"/>
    <row r="67" ht="11.25" customHeight="1" x14ac:dyDescent="0.25"/>
    <row r="68" ht="11.25" customHeight="1" x14ac:dyDescent="0.25"/>
    <row r="69" ht="11.25" customHeight="1" x14ac:dyDescent="0.25"/>
    <row r="70" ht="11.25" customHeight="1" x14ac:dyDescent="0.25"/>
    <row r="71" ht="11.25" customHeight="1" x14ac:dyDescent="0.25"/>
    <row r="72" ht="11.25" customHeight="1" x14ac:dyDescent="0.25"/>
    <row r="73" ht="11.25" customHeight="1" x14ac:dyDescent="0.25"/>
  </sheetData>
  <mergeCells count="66">
    <mergeCell ref="AD57:AI57"/>
    <mergeCell ref="AK59:AM59"/>
    <mergeCell ref="AK56:AM56"/>
    <mergeCell ref="AK50:AM50"/>
    <mergeCell ref="AK57:AM57"/>
    <mergeCell ref="AK58:AM58"/>
    <mergeCell ref="W58:AB58"/>
    <mergeCell ref="P59:U59"/>
    <mergeCell ref="W59:AB59"/>
    <mergeCell ref="AD53:AI53"/>
    <mergeCell ref="AD56:AI56"/>
    <mergeCell ref="AD59:AI59"/>
    <mergeCell ref="P55:U55"/>
    <mergeCell ref="W55:AB55"/>
    <mergeCell ref="P56:U56"/>
    <mergeCell ref="W56:AB56"/>
    <mergeCell ref="P57:U57"/>
    <mergeCell ref="W57:AB57"/>
    <mergeCell ref="P53:U53"/>
    <mergeCell ref="W53:AB53"/>
    <mergeCell ref="P54:U54"/>
    <mergeCell ref="W54:AB54"/>
    <mergeCell ref="AK53:AM53"/>
    <mergeCell ref="AD54:AI54"/>
    <mergeCell ref="AK54:AM54"/>
    <mergeCell ref="AD55:AI55"/>
    <mergeCell ref="AK55:AM55"/>
    <mergeCell ref="AK51:AM51"/>
    <mergeCell ref="AD52:AI52"/>
    <mergeCell ref="AK52:AM52"/>
    <mergeCell ref="AD50:AI50"/>
    <mergeCell ref="P52:U52"/>
    <mergeCell ref="W52:AB52"/>
    <mergeCell ref="W51:AB51"/>
    <mergeCell ref="I50:N50"/>
    <mergeCell ref="I51:N51"/>
    <mergeCell ref="P51:U51"/>
    <mergeCell ref="AD58:AI58"/>
    <mergeCell ref="A4:AI4"/>
    <mergeCell ref="P50:U50"/>
    <mergeCell ref="W50:AB50"/>
    <mergeCell ref="C8:AI8"/>
    <mergeCell ref="A10:A46"/>
    <mergeCell ref="AD51:AI51"/>
    <mergeCell ref="B56:G56"/>
    <mergeCell ref="B57:G57"/>
    <mergeCell ref="B52:G52"/>
    <mergeCell ref="B51:G51"/>
    <mergeCell ref="B50:G50"/>
    <mergeCell ref="P58:U58"/>
    <mergeCell ref="B1:J2"/>
    <mergeCell ref="A5:AI6"/>
    <mergeCell ref="I59:N59"/>
    <mergeCell ref="B59:G59"/>
    <mergeCell ref="A8:B9"/>
    <mergeCell ref="I52:N52"/>
    <mergeCell ref="I53:N53"/>
    <mergeCell ref="I54:N54"/>
    <mergeCell ref="I55:N55"/>
    <mergeCell ref="I56:N56"/>
    <mergeCell ref="I57:N57"/>
    <mergeCell ref="B53:G53"/>
    <mergeCell ref="I58:N58"/>
    <mergeCell ref="B58:G58"/>
    <mergeCell ref="B54:G54"/>
    <mergeCell ref="B55:G55"/>
  </mergeCells>
  <conditionalFormatting sqref="C10">
    <cfRule type="expression" dxfId="98" priority="452">
      <formula>ISBLANK(C$9)=TRUE</formula>
    </cfRule>
  </conditionalFormatting>
  <conditionalFormatting sqref="D10">
    <cfRule type="expression" dxfId="97" priority="788">
      <formula>ISBLANK(C$9)=TRUE</formula>
    </cfRule>
  </conditionalFormatting>
  <conditionalFormatting sqref="D11">
    <cfRule type="expression" dxfId="96" priority="713">
      <formula>ISBLANK(D$9)=TRUE</formula>
    </cfRule>
  </conditionalFormatting>
  <conditionalFormatting sqref="E10">
    <cfRule type="expression" dxfId="95" priority="789">
      <formula>ISBLANK(C$9)=TRUE</formula>
    </cfRule>
  </conditionalFormatting>
  <conditionalFormatting sqref="E12">
    <cfRule type="expression" dxfId="94" priority="714">
      <formula>ISBLANK(E$9)=TRUE</formula>
    </cfRule>
  </conditionalFormatting>
  <conditionalFormatting sqref="F10">
    <cfRule type="expression" dxfId="93" priority="790">
      <formula>ISBLANK(C$9)=TRUE</formula>
    </cfRule>
  </conditionalFormatting>
  <conditionalFormatting sqref="F13">
    <cfRule type="expression" dxfId="92" priority="715">
      <formula>ISBLANK(F$9)=TRUE</formula>
    </cfRule>
  </conditionalFormatting>
  <conditionalFormatting sqref="G10">
    <cfRule type="expression" dxfId="91" priority="791">
      <formula>ISBLANK(C$9)=TRUE</formula>
    </cfRule>
  </conditionalFormatting>
  <conditionalFormatting sqref="G14">
    <cfRule type="expression" dxfId="90" priority="716">
      <formula>ISBLANK(G$9)=TRUE</formula>
    </cfRule>
  </conditionalFormatting>
  <conditionalFormatting sqref="H10">
    <cfRule type="expression" dxfId="89" priority="792">
      <formula>ISBLANK(C$9)=TRUE</formula>
    </cfRule>
  </conditionalFormatting>
  <conditionalFormatting sqref="H15">
    <cfRule type="expression" dxfId="88" priority="717">
      <formula>ISBLANK(H$9)=TRUE</formula>
    </cfRule>
  </conditionalFormatting>
  <conditionalFormatting sqref="I10">
    <cfRule type="expression" dxfId="87" priority="793">
      <formula>ISBLANK(C$9)=TRUE</formula>
    </cfRule>
  </conditionalFormatting>
  <conditionalFormatting sqref="I16">
    <cfRule type="expression" dxfId="86" priority="718">
      <formula>ISBLANK(I$9)=TRUE</formula>
    </cfRule>
  </conditionalFormatting>
  <conditionalFormatting sqref="J10">
    <cfRule type="expression" dxfId="85" priority="794">
      <formula>ISBLANK(C$9)=TRUE</formula>
    </cfRule>
  </conditionalFormatting>
  <conditionalFormatting sqref="J17">
    <cfRule type="expression" dxfId="84" priority="719">
      <formula>ISBLANK(J$9)=TRUE</formula>
    </cfRule>
  </conditionalFormatting>
  <conditionalFormatting sqref="K10">
    <cfRule type="expression" dxfId="83" priority="795">
      <formula>ISBLANK(C$9)=TRUE</formula>
    </cfRule>
  </conditionalFormatting>
  <conditionalFormatting sqref="K18">
    <cfRule type="expression" dxfId="82" priority="720">
      <formula>ISBLANK(K$9)=TRUE</formula>
    </cfRule>
  </conditionalFormatting>
  <conditionalFormatting sqref="L10">
    <cfRule type="expression" dxfId="81" priority="796">
      <formula>ISBLANK(C$9)=TRUE</formula>
    </cfRule>
  </conditionalFormatting>
  <conditionalFormatting sqref="L19">
    <cfRule type="expression" dxfId="80" priority="786">
      <formula>ISBLANK(L$9)=TRUE</formula>
    </cfRule>
  </conditionalFormatting>
  <conditionalFormatting sqref="M10">
    <cfRule type="expression" dxfId="79" priority="462">
      <formula>ISBLANK(C$9)=TRUE</formula>
    </cfRule>
  </conditionalFormatting>
  <conditionalFormatting sqref="M20">
    <cfRule type="expression" dxfId="78" priority="785">
      <formula>ISBLANK(M$9)=TRUE</formula>
    </cfRule>
  </conditionalFormatting>
  <conditionalFormatting sqref="N10">
    <cfRule type="expression" dxfId="77" priority="463">
      <formula>ISBLANK(C$9)=TRUE</formula>
    </cfRule>
  </conditionalFormatting>
  <conditionalFormatting sqref="N21">
    <cfRule type="expression" dxfId="76" priority="784">
      <formula>ISBLANK(N$9)=TRUE</formula>
    </cfRule>
  </conditionalFormatting>
  <conditionalFormatting sqref="O10">
    <cfRule type="expression" dxfId="75" priority="464">
      <formula>ISBLANK(C$9)=TRUE</formula>
    </cfRule>
  </conditionalFormatting>
  <conditionalFormatting sqref="O22">
    <cfRule type="expression" dxfId="74" priority="783">
      <formula>ISBLANK(O$9)=TRUE</formula>
    </cfRule>
  </conditionalFormatting>
  <conditionalFormatting sqref="P10">
    <cfRule type="expression" dxfId="73" priority="465">
      <formula>ISBLANK(C$9)=TRUE</formula>
    </cfRule>
  </conditionalFormatting>
  <conditionalFormatting sqref="P23">
    <cfRule type="expression" dxfId="72" priority="782">
      <formula>ISBLANK(P$9)=TRUE</formula>
    </cfRule>
  </conditionalFormatting>
  <conditionalFormatting sqref="Q10">
    <cfRule type="expression" dxfId="71" priority="466">
      <formula>ISBLANK(C$9)=TRUE</formula>
    </cfRule>
  </conditionalFormatting>
  <conditionalFormatting sqref="Q24">
    <cfRule type="expression" dxfId="70" priority="781">
      <formula>ISBLANK(Q$9)=TRUE</formula>
    </cfRule>
  </conditionalFormatting>
  <conditionalFormatting sqref="R10">
    <cfRule type="expression" dxfId="69" priority="467">
      <formula>ISBLANK(C$9)=TRUE</formula>
    </cfRule>
  </conditionalFormatting>
  <conditionalFormatting sqref="R25">
    <cfRule type="expression" dxfId="68" priority="780">
      <formula>ISBLANK(R$9)=TRUE</formula>
    </cfRule>
  </conditionalFormatting>
  <conditionalFormatting sqref="S10">
    <cfRule type="expression" dxfId="67" priority="468">
      <formula>ISBLANK(C$9)=TRUE</formula>
    </cfRule>
  </conditionalFormatting>
  <conditionalFormatting sqref="S26">
    <cfRule type="expression" dxfId="66" priority="779">
      <formula>ISBLANK(S$9)=TRUE</formula>
    </cfRule>
  </conditionalFormatting>
  <conditionalFormatting sqref="T10">
    <cfRule type="expression" dxfId="65" priority="469">
      <formula>ISBLANK(C$9)=TRUE</formula>
    </cfRule>
  </conditionalFormatting>
  <conditionalFormatting sqref="T27">
    <cfRule type="expression" dxfId="64" priority="778">
      <formula>ISBLANK(T$9)=TRUE</formula>
    </cfRule>
  </conditionalFormatting>
  <conditionalFormatting sqref="U10">
    <cfRule type="expression" dxfId="63" priority="470">
      <formula>ISBLANK(C$9)=TRUE</formula>
    </cfRule>
  </conditionalFormatting>
  <conditionalFormatting sqref="U28">
    <cfRule type="expression" dxfId="62" priority="777">
      <formula>ISBLANK(U$9)=TRUE</formula>
    </cfRule>
  </conditionalFormatting>
  <conditionalFormatting sqref="V10">
    <cfRule type="expression" dxfId="61" priority="471">
      <formula>ISBLANK(C$9)=TRUE</formula>
    </cfRule>
  </conditionalFormatting>
  <conditionalFormatting sqref="V29">
    <cfRule type="expression" dxfId="60" priority="776">
      <formula>ISBLANK(V$9)=TRUE</formula>
    </cfRule>
  </conditionalFormatting>
  <conditionalFormatting sqref="W10">
    <cfRule type="expression" dxfId="59" priority="472">
      <formula>ISBLANK(C$9)=TRUE</formula>
    </cfRule>
  </conditionalFormatting>
  <conditionalFormatting sqref="W30">
    <cfRule type="expression" dxfId="58" priority="775">
      <formula>ISBLANK(W$9)=TRUE</formula>
    </cfRule>
  </conditionalFormatting>
  <conditionalFormatting sqref="X10">
    <cfRule type="expression" dxfId="57" priority="473">
      <formula>ISBLANK(C$9)=TRUE</formula>
    </cfRule>
  </conditionalFormatting>
  <conditionalFormatting sqref="X31">
    <cfRule type="expression" dxfId="56" priority="774">
      <formula>ISBLANK(X$9)=TRUE</formula>
    </cfRule>
  </conditionalFormatting>
  <conditionalFormatting sqref="Y10">
    <cfRule type="expression" dxfId="55" priority="474">
      <formula>ISBLANK(C$9)=TRUE</formula>
    </cfRule>
  </conditionalFormatting>
  <conditionalFormatting sqref="Y32">
    <cfRule type="expression" dxfId="54" priority="773">
      <formula>ISBLANK(Y$9)=TRUE</formula>
    </cfRule>
  </conditionalFormatting>
  <conditionalFormatting sqref="Z10">
    <cfRule type="expression" dxfId="53" priority="475">
      <formula>ISBLANK(C$9)=TRUE</formula>
    </cfRule>
  </conditionalFormatting>
  <conditionalFormatting sqref="Z33">
    <cfRule type="expression" dxfId="52" priority="772">
      <formula>ISBLANK(Z$9)=TRUE</formula>
    </cfRule>
  </conditionalFormatting>
  <conditionalFormatting sqref="AA10">
    <cfRule type="expression" dxfId="51" priority="476">
      <formula>ISBLANK(C$9)=TRUE</formula>
    </cfRule>
  </conditionalFormatting>
  <conditionalFormatting sqref="AA34">
    <cfRule type="expression" dxfId="50" priority="771">
      <formula>ISBLANK(AA$9)=TRUE</formula>
    </cfRule>
  </conditionalFormatting>
  <conditionalFormatting sqref="AB10">
    <cfRule type="expression" dxfId="49" priority="477">
      <formula>ISBLANK(C$9)=TRUE</formula>
    </cfRule>
  </conditionalFormatting>
  <conditionalFormatting sqref="AB35">
    <cfRule type="expression" dxfId="48" priority="770">
      <formula>ISBLANK(AB$9)=TRUE</formula>
    </cfRule>
  </conditionalFormatting>
  <conditionalFormatting sqref="AC10">
    <cfRule type="expression" dxfId="47" priority="478">
      <formula>ISBLANK(C$9)=TRUE</formula>
    </cfRule>
  </conditionalFormatting>
  <conditionalFormatting sqref="AC36">
    <cfRule type="expression" dxfId="46" priority="769">
      <formula>ISBLANK(AC$9)=TRUE</formula>
    </cfRule>
  </conditionalFormatting>
  <conditionalFormatting sqref="AD10">
    <cfRule type="expression" dxfId="45" priority="479">
      <formula>ISBLANK(C$9)=TRUE</formula>
    </cfRule>
  </conditionalFormatting>
  <conditionalFormatting sqref="AD37">
    <cfRule type="expression" dxfId="44" priority="768">
      <formula>ISBLANK(AD$9)=TRUE</formula>
    </cfRule>
  </conditionalFormatting>
  <conditionalFormatting sqref="AE10">
    <cfRule type="expression" dxfId="43" priority="480">
      <formula>ISBLANK(C$9)=TRUE</formula>
    </cfRule>
  </conditionalFormatting>
  <conditionalFormatting sqref="AE38">
    <cfRule type="expression" dxfId="42" priority="767">
      <formula>ISBLANK(AE$9)=TRUE</formula>
    </cfRule>
  </conditionalFormatting>
  <conditionalFormatting sqref="AF10">
    <cfRule type="expression" dxfId="41" priority="481">
      <formula>ISBLANK(C$9)=TRUE</formula>
    </cfRule>
  </conditionalFormatting>
  <conditionalFormatting sqref="AF39">
    <cfRule type="expression" dxfId="40" priority="766">
      <formula>ISBLANK(AF$9)=TRUE</formula>
    </cfRule>
  </conditionalFormatting>
  <conditionalFormatting sqref="AG10">
    <cfRule type="expression" dxfId="39" priority="482">
      <formula>ISBLANK(C$9)=TRUE</formula>
    </cfRule>
  </conditionalFormatting>
  <conditionalFormatting sqref="AG40">
    <cfRule type="expression" dxfId="38" priority="765">
      <formula>ISBLANK(AG$9)=TRUE</formula>
    </cfRule>
  </conditionalFormatting>
  <conditionalFormatting sqref="AH10">
    <cfRule type="expression" dxfId="37" priority="797">
      <formula>ISBLANK(C$9)=TRUE</formula>
    </cfRule>
  </conditionalFormatting>
  <conditionalFormatting sqref="AH41">
    <cfRule type="expression" dxfId="36" priority="764">
      <formula>ISBLANK(AH$9)=TRUE</formula>
    </cfRule>
  </conditionalFormatting>
  <conditionalFormatting sqref="AI10">
    <cfRule type="expression" dxfId="35" priority="798">
      <formula>ISBLANK(C$9)=TRUE</formula>
    </cfRule>
  </conditionalFormatting>
  <conditionalFormatting sqref="AI42">
    <cfRule type="expression" dxfId="34" priority="763">
      <formula>ISBLANK(AI$9)=TRUE</formula>
    </cfRule>
  </conditionalFormatting>
  <conditionalFormatting sqref="AJ10">
    <cfRule type="expression" dxfId="33" priority="799">
      <formula>ISBLANK(C$9)=TRUE</formula>
    </cfRule>
  </conditionalFormatting>
  <conditionalFormatting sqref="AJ43">
    <cfRule type="expression" dxfId="32" priority="762">
      <formula>ISBLANK(AJ$9)=TRUE</formula>
    </cfRule>
  </conditionalFormatting>
  <conditionalFormatting sqref="AK10">
    <cfRule type="expression" dxfId="31" priority="800">
      <formula>ISBLANK(C$9)=TRUE</formula>
    </cfRule>
  </conditionalFormatting>
  <conditionalFormatting sqref="AK44">
    <cfRule type="expression" dxfId="30" priority="761">
      <formula>ISBLANK(AK$9)=TRUE</formula>
    </cfRule>
  </conditionalFormatting>
  <conditionalFormatting sqref="AL10">
    <cfRule type="expression" dxfId="29" priority="801">
      <formula>ISBLANK(C$9)=TRUE</formula>
    </cfRule>
  </conditionalFormatting>
  <conditionalFormatting sqref="AL45">
    <cfRule type="expression" dxfId="28" priority="760">
      <formula>ISBLANK(AL$9)=TRUE</formula>
    </cfRule>
  </conditionalFormatting>
  <conditionalFormatting sqref="AM10">
    <cfRule type="expression" dxfId="27" priority="802">
      <formula>ISBLANK(C$9)=TRUE</formula>
    </cfRule>
  </conditionalFormatting>
  <conditionalFormatting sqref="AM46">
    <cfRule type="expression" dxfId="26" priority="759">
      <formula>ISBLANK(AM$9)=TRUE</formula>
    </cfRule>
  </conditionalFormatting>
  <pageMargins left="0.7" right="0.7" top="0" bottom="0" header="0" footer="0"/>
  <pageSetup scale="68" fitToHeight="0"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pageSetUpPr fitToPage="1"/>
  </sheetPr>
  <dimension ref="A1:AI84"/>
  <sheetViews>
    <sheetView showGridLines="0" zoomScaleNormal="100" workbookViewId="0"/>
  </sheetViews>
  <sheetFormatPr defaultRowHeight="15" x14ac:dyDescent="0.25"/>
  <cols>
    <col min="1" max="1" width="3.7109375" style="41" customWidth="1"/>
    <col min="2" max="2" width="6.42578125" style="41" customWidth="1"/>
    <col min="3" max="3" width="5" style="41" customWidth="1" collapsed="1"/>
    <col min="4" max="4" width="5" style="41" customWidth="1"/>
    <col min="5" max="11" width="5" style="41" customWidth="1" collapsed="1"/>
    <col min="12" max="12" width="5.28515625" style="41" customWidth="1"/>
    <col min="13" max="13" width="5" style="41" customWidth="1"/>
    <col min="14" max="14" width="5.28515625" style="41" customWidth="1"/>
    <col min="15" max="15" width="5.140625" style="41" customWidth="1"/>
    <col min="16" max="16" width="5.28515625" style="41" customWidth="1"/>
    <col min="17" max="18" width="5.140625" style="41" customWidth="1"/>
    <col min="19" max="19" width="5.28515625" style="41" customWidth="1"/>
    <col min="20" max="20" width="5.5703125" style="41" customWidth="1"/>
    <col min="21" max="21" width="5.28515625" style="41" customWidth="1"/>
    <col min="22" max="22" width="5.42578125" style="41" customWidth="1"/>
    <col min="23" max="35" width="5" style="41" customWidth="1"/>
    <col min="36" max="16384" width="9.140625" style="41"/>
  </cols>
  <sheetData>
    <row r="1" spans="1:35" ht="14.25" customHeight="1" x14ac:dyDescent="0.25">
      <c r="A1" s="84"/>
      <c r="B1" s="620"/>
      <c r="C1" s="620"/>
      <c r="D1" s="620"/>
      <c r="E1" s="620"/>
      <c r="F1" s="620"/>
      <c r="G1" s="620"/>
      <c r="H1" s="620"/>
      <c r="I1" s="620"/>
      <c r="J1" s="620"/>
      <c r="K1" s="84"/>
      <c r="L1" s="84"/>
      <c r="M1" s="84"/>
      <c r="N1" s="84"/>
      <c r="O1" s="84"/>
      <c r="P1" s="84"/>
      <c r="Q1" s="84"/>
      <c r="R1" s="84"/>
      <c r="S1" s="84"/>
      <c r="T1" s="84"/>
      <c r="U1" s="84"/>
      <c r="V1" s="84"/>
      <c r="W1" s="84"/>
      <c r="X1" s="84"/>
      <c r="Y1" s="84"/>
      <c r="Z1" s="84"/>
      <c r="AA1" s="84"/>
      <c r="AB1" s="84"/>
      <c r="AC1" s="84"/>
      <c r="AD1" s="84"/>
    </row>
    <row r="2" spans="1:35" x14ac:dyDescent="0.25">
      <c r="A2" s="84"/>
      <c r="B2" s="620"/>
      <c r="C2" s="620"/>
      <c r="D2" s="620"/>
      <c r="E2" s="620"/>
      <c r="F2" s="620"/>
      <c r="G2" s="620"/>
      <c r="H2" s="620"/>
      <c r="I2" s="620"/>
      <c r="J2" s="620"/>
      <c r="K2" s="84"/>
      <c r="L2" s="84"/>
      <c r="M2" s="84"/>
      <c r="N2" s="84"/>
      <c r="O2" s="84"/>
      <c r="P2" s="84"/>
      <c r="Q2" s="84"/>
      <c r="R2" s="84"/>
      <c r="S2" s="84"/>
      <c r="T2" s="84"/>
      <c r="U2" s="84"/>
      <c r="V2" s="84"/>
      <c r="W2" s="84"/>
      <c r="X2" s="84"/>
      <c r="Y2" s="84"/>
      <c r="Z2" s="84"/>
      <c r="AA2" s="84"/>
      <c r="AB2" s="84"/>
      <c r="AC2" s="84"/>
      <c r="AD2" s="84"/>
    </row>
    <row r="3" spans="1:35" customFormat="1" ht="10.5" customHeight="1" x14ac:dyDescent="0.25"/>
    <row r="4" spans="1:35" ht="11.25" customHeight="1" x14ac:dyDescent="0.25">
      <c r="A4" s="395" t="s">
        <v>72</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row>
    <row r="5" spans="1:35" ht="11.25" customHeight="1" x14ac:dyDescent="0.25">
      <c r="A5" s="379" t="s">
        <v>118</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row>
    <row r="6" spans="1:35" ht="11.25" customHeight="1" x14ac:dyDescent="0.25">
      <c r="A6" s="508"/>
      <c r="B6" s="400"/>
      <c r="C6" s="400"/>
      <c r="D6" s="400"/>
      <c r="E6" s="400"/>
      <c r="F6" s="400"/>
      <c r="G6" s="400"/>
      <c r="H6" s="400"/>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row>
    <row r="7" spans="1:35" ht="11.25" customHeight="1" x14ac:dyDescent="0.25">
      <c r="A7" s="102"/>
      <c r="B7" s="96"/>
      <c r="C7" s="96"/>
      <c r="D7" s="96"/>
      <c r="E7" s="96"/>
      <c r="F7" s="96"/>
      <c r="G7" s="96"/>
      <c r="H7" s="96"/>
      <c r="I7" s="96"/>
      <c r="J7" s="96"/>
      <c r="K7" s="96"/>
      <c r="L7" s="96"/>
      <c r="M7" s="96"/>
      <c r="N7" s="96"/>
      <c r="O7" s="96"/>
      <c r="P7" s="96"/>
      <c r="Q7" s="96"/>
      <c r="R7" s="96"/>
      <c r="S7" s="96"/>
      <c r="T7" s="96"/>
      <c r="U7" s="96"/>
      <c r="V7" s="96"/>
      <c r="W7" s="96"/>
      <c r="X7" s="96"/>
      <c r="Y7" s="96"/>
      <c r="Z7" s="96"/>
      <c r="AA7" s="96"/>
      <c r="AB7" s="96"/>
      <c r="AC7" s="96"/>
      <c r="AD7" s="96"/>
      <c r="AE7" s="96"/>
      <c r="AF7" s="96"/>
      <c r="AG7" s="96"/>
    </row>
    <row r="8" spans="1:35" ht="15" customHeight="1" x14ac:dyDescent="0.25">
      <c r="A8" s="622" t="s">
        <v>410</v>
      </c>
      <c r="B8" s="622"/>
      <c r="C8" s="623" t="s">
        <v>411</v>
      </c>
      <c r="D8" s="623"/>
      <c r="E8" s="623"/>
      <c r="F8" s="623"/>
      <c r="G8" s="623"/>
      <c r="H8" s="623"/>
      <c r="I8" s="623"/>
      <c r="J8" s="623"/>
      <c r="K8" s="623"/>
      <c r="L8" s="623"/>
      <c r="M8" s="623"/>
      <c r="N8" s="623"/>
      <c r="O8" s="623"/>
      <c r="P8" s="623"/>
      <c r="Q8" s="623"/>
      <c r="R8" s="623"/>
      <c r="S8" s="623"/>
      <c r="T8" s="623"/>
      <c r="U8" s="623"/>
      <c r="V8" s="623"/>
      <c r="W8" s="623"/>
      <c r="X8" s="623"/>
      <c r="Y8" s="623"/>
      <c r="Z8" s="623"/>
      <c r="AA8" s="623"/>
      <c r="AB8" s="21"/>
      <c r="AC8" s="21"/>
      <c r="AD8" s="21"/>
      <c r="AE8" s="39"/>
      <c r="AF8" s="39"/>
      <c r="AG8" s="39"/>
    </row>
    <row r="9" spans="1:35" ht="15" customHeight="1" x14ac:dyDescent="0.25">
      <c r="A9" s="622"/>
      <c r="B9" s="622"/>
      <c r="C9" s="90" t="s">
        <v>449</v>
      </c>
      <c r="D9" s="90" t="s">
        <v>450</v>
      </c>
      <c r="E9" s="90" t="s">
        <v>451</v>
      </c>
      <c r="F9" s="90" t="s">
        <v>452</v>
      </c>
      <c r="G9" s="90" t="s">
        <v>453</v>
      </c>
      <c r="H9" s="90" t="s">
        <v>454</v>
      </c>
      <c r="I9" s="90" t="s">
        <v>455</v>
      </c>
      <c r="J9" s="90" t="s">
        <v>456</v>
      </c>
      <c r="K9" s="90" t="s">
        <v>457</v>
      </c>
      <c r="L9" s="90"/>
      <c r="M9" s="90"/>
      <c r="N9" s="90"/>
      <c r="O9" s="90"/>
      <c r="P9" s="90"/>
      <c r="Q9" s="90"/>
      <c r="R9" s="90"/>
      <c r="S9" s="90"/>
      <c r="T9" s="90"/>
      <c r="U9" s="90"/>
      <c r="V9" s="90"/>
      <c r="W9" s="90"/>
      <c r="X9" s="90"/>
      <c r="Y9" s="90"/>
      <c r="Z9" s="90"/>
      <c r="AA9" s="90"/>
      <c r="AB9" s="82"/>
      <c r="AC9" s="82"/>
      <c r="AG9" s="39"/>
    </row>
    <row r="10" spans="1:35" ht="11.25" customHeight="1" x14ac:dyDescent="0.25">
      <c r="A10" s="624" t="s">
        <v>71</v>
      </c>
      <c r="B10" s="90" t="s">
        <v>449</v>
      </c>
      <c r="C10" s="296">
        <v>1</v>
      </c>
      <c r="D10" s="297">
        <v>-0.32635908846794065</v>
      </c>
      <c r="E10" s="297">
        <v>-0.16456113143206705</v>
      </c>
      <c r="F10" s="297">
        <v>-4.934307908625097E-2</v>
      </c>
      <c r="G10" s="297">
        <v>-0.80068077384021785</v>
      </c>
      <c r="H10" s="297">
        <v>0.34837551513843124</v>
      </c>
      <c r="I10" s="301">
        <v>0.11653259816561728</v>
      </c>
      <c r="J10" s="297">
        <v>0.44270776608631091</v>
      </c>
      <c r="K10" s="297">
        <v>1.8704595564245145E-2</v>
      </c>
      <c r="L10" s="297"/>
      <c r="M10" s="297"/>
      <c r="N10" s="297"/>
      <c r="O10" s="297"/>
      <c r="P10" s="297"/>
      <c r="Q10" s="297"/>
      <c r="R10" s="297"/>
      <c r="S10" s="297"/>
      <c r="T10" s="297"/>
      <c r="U10" s="297"/>
      <c r="V10" s="297"/>
      <c r="W10" s="297"/>
      <c r="X10" s="297"/>
      <c r="Y10" s="297"/>
      <c r="Z10" s="297"/>
      <c r="AA10" s="297"/>
    </row>
    <row r="11" spans="1:35" ht="11.25" customHeight="1" x14ac:dyDescent="0.25">
      <c r="A11" s="624"/>
      <c r="B11" s="90" t="s">
        <v>450</v>
      </c>
      <c r="C11" s="297">
        <v>-0.25606694482352438</v>
      </c>
      <c r="D11" s="296">
        <v>1</v>
      </c>
      <c r="E11" s="297">
        <v>-0.52142708651805825</v>
      </c>
      <c r="F11" s="297">
        <v>0.38827376220337034</v>
      </c>
      <c r="G11" s="297">
        <v>0.58249023494517138</v>
      </c>
      <c r="H11" s="297">
        <v>7.3110852819631492E-2</v>
      </c>
      <c r="I11" s="297">
        <v>-0.39228964132547967</v>
      </c>
      <c r="J11" s="297">
        <v>-0.7558770106491699</v>
      </c>
      <c r="K11" s="297">
        <v>5.8102725980193254E-2</v>
      </c>
      <c r="L11" s="297"/>
      <c r="M11" s="297"/>
      <c r="N11" s="297"/>
      <c r="O11" s="297"/>
      <c r="P11" s="297"/>
      <c r="Q11" s="297"/>
      <c r="R11" s="297"/>
      <c r="S11" s="297"/>
      <c r="T11" s="297"/>
      <c r="U11" s="297"/>
      <c r="V11" s="297"/>
      <c r="W11" s="297"/>
      <c r="X11" s="297"/>
      <c r="Y11" s="297"/>
      <c r="Z11" s="297"/>
      <c r="AA11" s="297"/>
    </row>
    <row r="12" spans="1:35" ht="11.25" customHeight="1" x14ac:dyDescent="0.25">
      <c r="A12" s="624"/>
      <c r="B12" s="90" t="s">
        <v>451</v>
      </c>
      <c r="C12" s="297">
        <v>-5.6495379994001962E-2</v>
      </c>
      <c r="D12" s="297">
        <v>-0.54821535220871931</v>
      </c>
      <c r="E12" s="296">
        <v>1</v>
      </c>
      <c r="F12" s="301">
        <v>-0.11817117719878417</v>
      </c>
      <c r="G12" s="297">
        <v>4.8730514689400727E-2</v>
      </c>
      <c r="H12" s="301">
        <v>-0.15013435732345262</v>
      </c>
      <c r="I12" s="297">
        <v>0.31421361756067262</v>
      </c>
      <c r="J12" s="297">
        <v>6.9194886648852524E-2</v>
      </c>
      <c r="K12" s="301">
        <v>-0.24562792323723581</v>
      </c>
      <c r="L12" s="297"/>
      <c r="M12" s="297"/>
      <c r="N12" s="297"/>
      <c r="O12" s="297"/>
      <c r="P12" s="297"/>
      <c r="Q12" s="297"/>
      <c r="R12" s="297"/>
      <c r="S12" s="297"/>
      <c r="T12" s="297"/>
      <c r="U12" s="297"/>
      <c r="V12" s="297"/>
      <c r="W12" s="297"/>
      <c r="X12" s="297"/>
      <c r="Y12" s="297"/>
      <c r="Z12" s="297"/>
      <c r="AA12" s="297"/>
    </row>
    <row r="13" spans="1:35" ht="11.25" customHeight="1" x14ac:dyDescent="0.25">
      <c r="A13" s="624"/>
      <c r="B13" s="90" t="s">
        <v>452</v>
      </c>
      <c r="C13" s="297">
        <v>-0.14292377435512529</v>
      </c>
      <c r="D13" s="297">
        <v>0.20285483480541047</v>
      </c>
      <c r="E13" s="301">
        <v>0.24014099837696951</v>
      </c>
      <c r="F13" s="296">
        <v>1</v>
      </c>
      <c r="G13" s="297">
        <v>0.18541139050006067</v>
      </c>
      <c r="H13" s="297">
        <v>0.59330587889038322</v>
      </c>
      <c r="I13" s="297">
        <v>3.3577090335034712E-3</v>
      </c>
      <c r="J13" s="297">
        <v>-0.33492141100822298</v>
      </c>
      <c r="K13" s="297">
        <v>2.3541646342185914E-2</v>
      </c>
      <c r="L13" s="297"/>
      <c r="M13" s="297"/>
      <c r="N13" s="297"/>
      <c r="O13" s="297"/>
      <c r="P13" s="297"/>
      <c r="Q13" s="297"/>
      <c r="R13" s="297"/>
      <c r="S13" s="297"/>
      <c r="T13" s="297"/>
      <c r="U13" s="297"/>
      <c r="V13" s="297"/>
      <c r="W13" s="297"/>
      <c r="X13" s="297"/>
      <c r="Y13" s="297"/>
      <c r="Z13" s="297"/>
      <c r="AA13" s="297"/>
    </row>
    <row r="14" spans="1:35" ht="11.25" customHeight="1" x14ac:dyDescent="0.25">
      <c r="A14" s="624"/>
      <c r="B14" s="90" t="s">
        <v>453</v>
      </c>
      <c r="C14" s="297">
        <v>-0.76742598360078285</v>
      </c>
      <c r="D14" s="297">
        <v>0.50489873892592874</v>
      </c>
      <c r="E14" s="297">
        <v>1.8293753459502422E-2</v>
      </c>
      <c r="F14" s="297">
        <v>0.22537755418440178</v>
      </c>
      <c r="G14" s="296">
        <v>1</v>
      </c>
      <c r="H14" s="297">
        <v>-0.37260975157103032</v>
      </c>
      <c r="I14" s="301">
        <v>-0.18750977605111094</v>
      </c>
      <c r="J14" s="297">
        <v>-0.65163787161463671</v>
      </c>
      <c r="K14" s="297">
        <v>-7.9322818921737578E-2</v>
      </c>
      <c r="L14" s="297"/>
      <c r="M14" s="297"/>
      <c r="N14" s="297"/>
      <c r="O14" s="297"/>
      <c r="P14" s="297"/>
      <c r="Q14" s="297"/>
      <c r="R14" s="297"/>
      <c r="S14" s="297"/>
      <c r="T14" s="297"/>
      <c r="U14" s="297"/>
      <c r="V14" s="297"/>
      <c r="W14" s="297"/>
      <c r="X14" s="297"/>
      <c r="Y14" s="297"/>
      <c r="Z14" s="297"/>
      <c r="AA14" s="297"/>
    </row>
    <row r="15" spans="1:35" ht="11.25" customHeight="1" x14ac:dyDescent="0.25">
      <c r="A15" s="624"/>
      <c r="B15" s="90" t="s">
        <v>454</v>
      </c>
      <c r="C15" s="297">
        <v>7.295475425678434E-2</v>
      </c>
      <c r="D15" s="297">
        <v>-0.19217873497213744</v>
      </c>
      <c r="E15" s="301">
        <v>0.22728522565541623</v>
      </c>
      <c r="F15" s="297">
        <v>0.35850710452167767</v>
      </c>
      <c r="G15" s="297">
        <v>-0.26342113918155285</v>
      </c>
      <c r="H15" s="296">
        <v>1</v>
      </c>
      <c r="I15" s="297">
        <v>0.16371393016665786</v>
      </c>
      <c r="J15" s="297">
        <v>-9.7115770000850248E-3</v>
      </c>
      <c r="K15" s="297">
        <v>4.2557719536424898E-3</v>
      </c>
      <c r="L15" s="297"/>
      <c r="M15" s="297"/>
      <c r="N15" s="297"/>
      <c r="O15" s="297"/>
      <c r="P15" s="297"/>
      <c r="Q15" s="297"/>
      <c r="R15" s="297"/>
      <c r="S15" s="297"/>
      <c r="T15" s="297"/>
      <c r="U15" s="297"/>
      <c r="V15" s="297"/>
      <c r="W15" s="297"/>
      <c r="X15" s="297"/>
      <c r="Y15" s="297"/>
      <c r="Z15" s="297"/>
      <c r="AA15" s="297"/>
    </row>
    <row r="16" spans="1:35" ht="11.25" customHeight="1" x14ac:dyDescent="0.25">
      <c r="A16" s="624"/>
      <c r="B16" s="90" t="s">
        <v>455</v>
      </c>
      <c r="C16" s="301">
        <v>-0.21678818204815173</v>
      </c>
      <c r="D16" s="297">
        <v>-0.19337365395448622</v>
      </c>
      <c r="E16" s="297">
        <v>0.4527739092303491</v>
      </c>
      <c r="F16" s="297">
        <v>0.20366002992313809</v>
      </c>
      <c r="G16" s="301">
        <v>0.26191069784197218</v>
      </c>
      <c r="H16" s="297">
        <v>0.26962017711610536</v>
      </c>
      <c r="I16" s="296">
        <v>1</v>
      </c>
      <c r="J16" s="301">
        <v>0.22811763412943831</v>
      </c>
      <c r="K16" s="297">
        <v>-0.2082305092344818</v>
      </c>
      <c r="L16" s="297"/>
      <c r="M16" s="297"/>
      <c r="N16" s="297"/>
      <c r="O16" s="297"/>
      <c r="P16" s="297"/>
      <c r="Q16" s="297"/>
      <c r="R16" s="297"/>
      <c r="S16" s="297"/>
      <c r="T16" s="297"/>
      <c r="U16" s="297"/>
      <c r="V16" s="297"/>
      <c r="W16" s="297"/>
      <c r="X16" s="297"/>
      <c r="Y16" s="297"/>
      <c r="Z16" s="297"/>
      <c r="AA16" s="297"/>
    </row>
    <row r="17" spans="1:30" ht="11.25" customHeight="1" x14ac:dyDescent="0.25">
      <c r="A17" s="624"/>
      <c r="B17" s="90" t="s">
        <v>456</v>
      </c>
      <c r="C17" s="297">
        <v>0.37295779730785017</v>
      </c>
      <c r="D17" s="297">
        <v>-0.56133340799326614</v>
      </c>
      <c r="E17" s="297">
        <v>-7.7045303737195536E-2</v>
      </c>
      <c r="F17" s="297">
        <v>-0.3407948880447576</v>
      </c>
      <c r="G17" s="297">
        <v>-0.56827596456543938</v>
      </c>
      <c r="H17" s="297">
        <v>-8.0018216115662108E-2</v>
      </c>
      <c r="I17" s="301">
        <v>-0.33666143347256816</v>
      </c>
      <c r="J17" s="296">
        <v>1</v>
      </c>
      <c r="K17" s="297">
        <v>0.14315222149352955</v>
      </c>
      <c r="L17" s="297"/>
      <c r="M17" s="297"/>
      <c r="N17" s="297"/>
      <c r="O17" s="297"/>
      <c r="P17" s="297"/>
      <c r="Q17" s="297"/>
      <c r="R17" s="297"/>
      <c r="S17" s="297"/>
      <c r="T17" s="297"/>
      <c r="U17" s="297"/>
      <c r="V17" s="297"/>
      <c r="W17" s="297"/>
      <c r="X17" s="297"/>
      <c r="Y17" s="297"/>
      <c r="Z17" s="297"/>
      <c r="AA17" s="297"/>
    </row>
    <row r="18" spans="1:30" ht="11.25" customHeight="1" x14ac:dyDescent="0.25">
      <c r="A18" s="624"/>
      <c r="B18" s="90" t="s">
        <v>457</v>
      </c>
      <c r="C18" s="297">
        <v>0.16016981501811001</v>
      </c>
      <c r="D18" s="297">
        <v>6.9789398664378052E-3</v>
      </c>
      <c r="E18" s="301">
        <v>0.2396053331082762</v>
      </c>
      <c r="F18" s="297">
        <v>0.15960465173365199</v>
      </c>
      <c r="G18" s="297">
        <v>-0.18472509227201853</v>
      </c>
      <c r="H18" s="297">
        <v>0.20119614509890338</v>
      </c>
      <c r="I18" s="297">
        <v>-7.6922565633095377E-3</v>
      </c>
      <c r="J18" s="297">
        <v>-9.4677143695067634E-2</v>
      </c>
      <c r="K18" s="296">
        <v>1</v>
      </c>
      <c r="L18" s="297"/>
      <c r="M18" s="297"/>
      <c r="N18" s="297"/>
      <c r="O18" s="297"/>
      <c r="P18" s="297"/>
      <c r="Q18" s="297"/>
      <c r="R18" s="297"/>
      <c r="S18" s="297"/>
      <c r="T18" s="297"/>
      <c r="U18" s="297"/>
      <c r="V18" s="297"/>
      <c r="W18" s="297"/>
      <c r="X18" s="297"/>
      <c r="Y18" s="297"/>
      <c r="Z18" s="297"/>
      <c r="AA18" s="297"/>
    </row>
    <row r="19" spans="1:30" ht="11.25" customHeight="1" x14ac:dyDescent="0.25">
      <c r="A19" s="624"/>
      <c r="B19" s="90"/>
      <c r="C19" s="297"/>
      <c r="D19" s="297"/>
      <c r="E19" s="297"/>
      <c r="F19" s="297"/>
      <c r="G19" s="297"/>
      <c r="H19" s="297"/>
      <c r="I19" s="297"/>
      <c r="J19" s="297"/>
      <c r="K19" s="297"/>
      <c r="L19" s="296"/>
      <c r="M19" s="297"/>
      <c r="N19" s="297"/>
      <c r="O19" s="297"/>
      <c r="P19" s="297"/>
      <c r="Q19" s="297"/>
      <c r="R19" s="297"/>
      <c r="S19" s="297"/>
      <c r="T19" s="297"/>
      <c r="U19" s="297"/>
      <c r="V19" s="297"/>
      <c r="W19" s="297"/>
      <c r="X19" s="297"/>
      <c r="Y19" s="297"/>
      <c r="Z19" s="297"/>
      <c r="AA19" s="297"/>
    </row>
    <row r="20" spans="1:30" ht="11.25" customHeight="1" x14ac:dyDescent="0.25">
      <c r="A20" s="624"/>
      <c r="B20" s="90"/>
      <c r="C20" s="297"/>
      <c r="D20" s="297"/>
      <c r="E20" s="297"/>
      <c r="F20" s="297"/>
      <c r="G20" s="297"/>
      <c r="H20" s="297"/>
      <c r="I20" s="297"/>
      <c r="J20" s="297"/>
      <c r="K20" s="297"/>
      <c r="L20" s="297"/>
      <c r="M20" s="296"/>
      <c r="N20" s="297"/>
      <c r="O20" s="297"/>
      <c r="P20" s="297"/>
      <c r="Q20" s="297"/>
      <c r="R20" s="297"/>
      <c r="S20" s="297"/>
      <c r="T20" s="297"/>
      <c r="U20" s="297"/>
      <c r="V20" s="297"/>
      <c r="W20" s="297"/>
      <c r="X20" s="297"/>
      <c r="Y20" s="297"/>
      <c r="Z20" s="297"/>
      <c r="AA20" s="297"/>
    </row>
    <row r="21" spans="1:30" ht="11.25" customHeight="1" x14ac:dyDescent="0.25">
      <c r="A21" s="624"/>
      <c r="B21" s="90"/>
      <c r="C21" s="297"/>
      <c r="D21" s="297"/>
      <c r="E21" s="297"/>
      <c r="F21" s="297"/>
      <c r="G21" s="297"/>
      <c r="H21" s="297"/>
      <c r="I21" s="297"/>
      <c r="J21" s="297"/>
      <c r="K21" s="297"/>
      <c r="L21" s="297"/>
      <c r="M21" s="297"/>
      <c r="N21" s="296"/>
      <c r="O21" s="297"/>
      <c r="P21" s="297"/>
      <c r="Q21" s="297"/>
      <c r="R21" s="297"/>
      <c r="S21" s="297"/>
      <c r="T21" s="297"/>
      <c r="U21" s="297"/>
      <c r="V21" s="297"/>
      <c r="W21" s="297"/>
      <c r="X21" s="297"/>
      <c r="Y21" s="297"/>
      <c r="Z21" s="297"/>
      <c r="AA21" s="297"/>
    </row>
    <row r="22" spans="1:30" ht="11.25" customHeight="1" x14ac:dyDescent="0.25">
      <c r="A22" s="624"/>
      <c r="B22" s="90"/>
      <c r="C22" s="297"/>
      <c r="D22" s="297"/>
      <c r="E22" s="297"/>
      <c r="F22" s="297"/>
      <c r="G22" s="297"/>
      <c r="H22" s="297"/>
      <c r="I22" s="297"/>
      <c r="J22" s="297"/>
      <c r="K22" s="297"/>
      <c r="L22" s="297"/>
      <c r="M22" s="297"/>
      <c r="N22" s="297"/>
      <c r="O22" s="296"/>
      <c r="P22" s="297"/>
      <c r="Q22" s="297"/>
      <c r="R22" s="297"/>
      <c r="S22" s="297"/>
      <c r="T22" s="297"/>
      <c r="U22" s="297"/>
      <c r="V22" s="297"/>
      <c r="W22" s="297"/>
      <c r="X22" s="297"/>
      <c r="Y22" s="297"/>
      <c r="Z22" s="297"/>
      <c r="AA22" s="297"/>
    </row>
    <row r="23" spans="1:30" ht="11.25" customHeight="1" x14ac:dyDescent="0.25">
      <c r="A23" s="624"/>
      <c r="B23" s="90"/>
      <c r="C23" s="297"/>
      <c r="D23" s="297"/>
      <c r="E23" s="297"/>
      <c r="F23" s="297"/>
      <c r="G23" s="297"/>
      <c r="H23" s="297"/>
      <c r="I23" s="297"/>
      <c r="J23" s="297"/>
      <c r="K23" s="297"/>
      <c r="L23" s="297"/>
      <c r="M23" s="297"/>
      <c r="N23" s="297"/>
      <c r="O23" s="297"/>
      <c r="P23" s="296"/>
      <c r="Q23" s="297"/>
      <c r="R23" s="297"/>
      <c r="S23" s="297"/>
      <c r="T23" s="297"/>
      <c r="U23" s="297"/>
      <c r="V23" s="297"/>
      <c r="W23" s="297"/>
      <c r="X23" s="297"/>
      <c r="Y23" s="297"/>
      <c r="Z23" s="297"/>
      <c r="AA23" s="297"/>
    </row>
    <row r="24" spans="1:30" ht="11.25" customHeight="1" x14ac:dyDescent="0.25">
      <c r="A24" s="624"/>
      <c r="B24" s="90"/>
      <c r="C24" s="297"/>
      <c r="D24" s="297"/>
      <c r="E24" s="297"/>
      <c r="F24" s="297"/>
      <c r="G24" s="297"/>
      <c r="H24" s="297"/>
      <c r="I24" s="297"/>
      <c r="J24" s="297"/>
      <c r="K24" s="297"/>
      <c r="L24" s="297"/>
      <c r="M24" s="297"/>
      <c r="N24" s="297"/>
      <c r="O24" s="297"/>
      <c r="P24" s="297"/>
      <c r="Q24" s="296"/>
      <c r="R24" s="297"/>
      <c r="S24" s="297"/>
      <c r="T24" s="297"/>
      <c r="U24" s="297"/>
      <c r="V24" s="297"/>
      <c r="W24" s="297"/>
      <c r="X24" s="297"/>
      <c r="Y24" s="297"/>
      <c r="Z24" s="297"/>
      <c r="AA24" s="297"/>
    </row>
    <row r="25" spans="1:30" ht="11.25" customHeight="1" x14ac:dyDescent="0.25">
      <c r="A25" s="624"/>
      <c r="B25" s="90"/>
      <c r="C25" s="297"/>
      <c r="D25" s="297"/>
      <c r="E25" s="297"/>
      <c r="F25" s="297"/>
      <c r="G25" s="297"/>
      <c r="H25" s="297"/>
      <c r="I25" s="297"/>
      <c r="J25" s="297"/>
      <c r="K25" s="297"/>
      <c r="L25" s="297"/>
      <c r="M25" s="297"/>
      <c r="N25" s="297"/>
      <c r="O25" s="297"/>
      <c r="P25" s="297"/>
      <c r="Q25" s="297"/>
      <c r="R25" s="296"/>
      <c r="S25" s="297"/>
      <c r="T25" s="297"/>
      <c r="U25" s="297"/>
      <c r="V25" s="297"/>
      <c r="W25" s="297"/>
      <c r="X25" s="297"/>
      <c r="Y25" s="297"/>
      <c r="Z25" s="297"/>
      <c r="AA25" s="297"/>
    </row>
    <row r="26" spans="1:30" ht="11.25" customHeight="1" x14ac:dyDescent="0.25">
      <c r="A26" s="624"/>
      <c r="B26" s="90"/>
      <c r="C26" s="297"/>
      <c r="D26" s="297"/>
      <c r="E26" s="297"/>
      <c r="F26" s="297"/>
      <c r="G26" s="297"/>
      <c r="H26" s="297"/>
      <c r="I26" s="297"/>
      <c r="J26" s="297"/>
      <c r="K26" s="297"/>
      <c r="L26" s="297"/>
      <c r="M26" s="297"/>
      <c r="N26" s="297"/>
      <c r="O26" s="297"/>
      <c r="P26" s="297"/>
      <c r="Q26" s="297"/>
      <c r="R26" s="297"/>
      <c r="S26" s="296"/>
      <c r="T26" s="297"/>
      <c r="U26" s="297"/>
      <c r="V26" s="297"/>
      <c r="W26" s="297"/>
      <c r="X26" s="297"/>
      <c r="Y26" s="297"/>
      <c r="Z26" s="297"/>
      <c r="AA26" s="297"/>
    </row>
    <row r="27" spans="1:30" ht="11.25" customHeight="1" x14ac:dyDescent="0.25">
      <c r="A27" s="624"/>
      <c r="B27" s="90"/>
      <c r="C27" s="297"/>
      <c r="D27" s="297"/>
      <c r="E27" s="297"/>
      <c r="F27" s="297"/>
      <c r="G27" s="297"/>
      <c r="H27" s="297"/>
      <c r="I27" s="297"/>
      <c r="J27" s="297"/>
      <c r="K27" s="297"/>
      <c r="L27" s="297"/>
      <c r="M27" s="297"/>
      <c r="N27" s="297"/>
      <c r="O27" s="297"/>
      <c r="P27" s="297"/>
      <c r="Q27" s="297"/>
      <c r="R27" s="297"/>
      <c r="S27" s="297"/>
      <c r="T27" s="296"/>
      <c r="U27" s="297"/>
      <c r="V27" s="297"/>
      <c r="W27" s="297"/>
      <c r="X27" s="297"/>
      <c r="Y27" s="297"/>
      <c r="Z27" s="297"/>
      <c r="AA27" s="297"/>
    </row>
    <row r="28" spans="1:30" ht="11.25" customHeight="1" x14ac:dyDescent="0.25">
      <c r="A28" s="624"/>
      <c r="B28" s="90"/>
      <c r="C28" s="297"/>
      <c r="D28" s="297"/>
      <c r="E28" s="297"/>
      <c r="F28" s="297"/>
      <c r="G28" s="297"/>
      <c r="H28" s="297"/>
      <c r="I28" s="297"/>
      <c r="J28" s="297"/>
      <c r="K28" s="297"/>
      <c r="L28" s="297"/>
      <c r="M28" s="297"/>
      <c r="N28" s="297"/>
      <c r="O28" s="297"/>
      <c r="P28" s="297"/>
      <c r="Q28" s="297"/>
      <c r="R28" s="297"/>
      <c r="S28" s="297"/>
      <c r="T28" s="297"/>
      <c r="U28" s="296"/>
      <c r="V28" s="297"/>
      <c r="W28" s="297"/>
      <c r="X28" s="297"/>
      <c r="Y28" s="297"/>
      <c r="Z28" s="297"/>
      <c r="AA28" s="297"/>
    </row>
    <row r="29" spans="1:30" ht="11.25" customHeight="1" x14ac:dyDescent="0.25">
      <c r="A29" s="624"/>
      <c r="B29" s="90"/>
      <c r="C29" s="297"/>
      <c r="D29" s="297"/>
      <c r="E29" s="297"/>
      <c r="F29" s="297"/>
      <c r="G29" s="297"/>
      <c r="H29" s="297"/>
      <c r="I29" s="297"/>
      <c r="J29" s="297"/>
      <c r="K29" s="297"/>
      <c r="L29" s="297"/>
      <c r="M29" s="297"/>
      <c r="N29" s="297"/>
      <c r="O29" s="297"/>
      <c r="P29" s="297"/>
      <c r="Q29" s="297"/>
      <c r="R29" s="297"/>
      <c r="S29" s="297"/>
      <c r="T29" s="297"/>
      <c r="U29" s="297"/>
      <c r="V29" s="296"/>
      <c r="W29" s="297"/>
      <c r="X29" s="297"/>
      <c r="Y29" s="297"/>
      <c r="Z29" s="297"/>
      <c r="AA29" s="297"/>
    </row>
    <row r="30" spans="1:30" ht="11.25" customHeight="1" x14ac:dyDescent="0.25">
      <c r="A30" s="624"/>
      <c r="B30" s="90"/>
      <c r="C30" s="297"/>
      <c r="D30" s="297"/>
      <c r="E30" s="297"/>
      <c r="F30" s="297"/>
      <c r="G30" s="297"/>
      <c r="H30" s="297"/>
      <c r="I30" s="297"/>
      <c r="J30" s="297"/>
      <c r="K30" s="297"/>
      <c r="L30" s="297"/>
      <c r="M30" s="297"/>
      <c r="N30" s="297"/>
      <c r="O30" s="297"/>
      <c r="P30" s="297"/>
      <c r="Q30" s="297"/>
      <c r="R30" s="297"/>
      <c r="S30" s="297"/>
      <c r="T30" s="297"/>
      <c r="U30" s="297"/>
      <c r="V30" s="297"/>
      <c r="W30" s="296"/>
      <c r="X30" s="297"/>
      <c r="Y30" s="297"/>
      <c r="Z30" s="297"/>
      <c r="AA30" s="297"/>
    </row>
    <row r="31" spans="1:30" ht="11.25" customHeight="1" x14ac:dyDescent="0.25">
      <c r="A31" s="624"/>
      <c r="B31" s="90"/>
      <c r="C31" s="297"/>
      <c r="D31" s="297"/>
      <c r="E31" s="297"/>
      <c r="F31" s="297"/>
      <c r="G31" s="297"/>
      <c r="H31" s="297"/>
      <c r="I31" s="297"/>
      <c r="J31" s="297"/>
      <c r="K31" s="297"/>
      <c r="L31" s="297"/>
      <c r="M31" s="297"/>
      <c r="N31" s="297"/>
      <c r="O31" s="297"/>
      <c r="P31" s="297"/>
      <c r="Q31" s="297"/>
      <c r="R31" s="297"/>
      <c r="S31" s="297"/>
      <c r="T31" s="297"/>
      <c r="U31" s="297"/>
      <c r="V31" s="297"/>
      <c r="W31" s="297"/>
      <c r="X31" s="296"/>
      <c r="Y31" s="297"/>
      <c r="Z31" s="297"/>
      <c r="AA31" s="297"/>
      <c r="AB31" s="77"/>
      <c r="AC31" s="77"/>
      <c r="AD31" s="47"/>
    </row>
    <row r="32" spans="1:30" ht="11.25" customHeight="1" x14ac:dyDescent="0.25">
      <c r="A32" s="624"/>
      <c r="B32" s="90"/>
      <c r="C32" s="297"/>
      <c r="D32" s="297"/>
      <c r="E32" s="297"/>
      <c r="F32" s="297"/>
      <c r="G32" s="297"/>
      <c r="H32" s="297"/>
      <c r="I32" s="297"/>
      <c r="J32" s="297"/>
      <c r="K32" s="297"/>
      <c r="L32" s="297"/>
      <c r="M32" s="297"/>
      <c r="N32" s="297"/>
      <c r="O32" s="297"/>
      <c r="P32" s="297"/>
      <c r="Q32" s="297"/>
      <c r="R32" s="297"/>
      <c r="S32" s="297"/>
      <c r="T32" s="297"/>
      <c r="U32" s="297"/>
      <c r="V32" s="297"/>
      <c r="W32" s="297"/>
      <c r="X32" s="297"/>
      <c r="Y32" s="296"/>
      <c r="Z32" s="297"/>
      <c r="AA32" s="297"/>
      <c r="AB32" s="74"/>
      <c r="AC32" s="74"/>
      <c r="AD32" s="52"/>
    </row>
    <row r="33" spans="1:30" ht="11.25" customHeight="1" x14ac:dyDescent="0.25">
      <c r="A33" s="624"/>
      <c r="B33" s="90"/>
      <c r="C33" s="297"/>
      <c r="D33" s="297"/>
      <c r="E33" s="297"/>
      <c r="F33" s="297"/>
      <c r="G33" s="297"/>
      <c r="H33" s="297"/>
      <c r="I33" s="297"/>
      <c r="J33" s="297"/>
      <c r="K33" s="297"/>
      <c r="L33" s="297"/>
      <c r="M33" s="297"/>
      <c r="N33" s="297"/>
      <c r="O33" s="297"/>
      <c r="P33" s="297"/>
      <c r="Q33" s="297"/>
      <c r="R33" s="297"/>
      <c r="S33" s="297"/>
      <c r="T33" s="297"/>
      <c r="U33" s="297"/>
      <c r="V33" s="297"/>
      <c r="W33" s="297"/>
      <c r="X33" s="297"/>
      <c r="Y33" s="297"/>
      <c r="Z33" s="296"/>
      <c r="AA33" s="297"/>
      <c r="AB33" s="74"/>
      <c r="AC33" s="74"/>
      <c r="AD33" s="52"/>
    </row>
    <row r="34" spans="1:30" ht="11.25" customHeight="1" x14ac:dyDescent="0.25">
      <c r="A34" s="624"/>
      <c r="B34" s="90"/>
      <c r="C34" s="297"/>
      <c r="D34" s="297"/>
      <c r="E34" s="297"/>
      <c r="F34" s="297"/>
      <c r="G34" s="297"/>
      <c r="H34" s="297"/>
      <c r="I34" s="297"/>
      <c r="J34" s="297"/>
      <c r="K34" s="297"/>
      <c r="L34" s="297"/>
      <c r="M34" s="297"/>
      <c r="N34" s="297"/>
      <c r="O34" s="297"/>
      <c r="P34" s="297"/>
      <c r="Q34" s="297"/>
      <c r="R34" s="297"/>
      <c r="S34" s="297"/>
      <c r="T34" s="297"/>
      <c r="U34" s="297"/>
      <c r="V34" s="297"/>
      <c r="W34" s="297"/>
      <c r="X34" s="297"/>
      <c r="Y34" s="297"/>
      <c r="Z34" s="297"/>
      <c r="AA34" s="296"/>
      <c r="AB34" s="74"/>
      <c r="AC34" s="74"/>
      <c r="AD34" s="52"/>
    </row>
    <row r="35" spans="1:30" ht="11.25" customHeight="1" x14ac:dyDescent="0.25">
      <c r="A35" s="78"/>
      <c r="B35" s="78"/>
      <c r="C35" s="78"/>
      <c r="D35" s="78"/>
      <c r="E35" s="78"/>
      <c r="F35" s="78"/>
      <c r="G35" s="79"/>
      <c r="H35" s="74"/>
      <c r="I35" s="79"/>
      <c r="J35" s="79"/>
      <c r="K35" s="79"/>
      <c r="L35" s="79"/>
      <c r="M35" s="79"/>
      <c r="N35" s="79"/>
      <c r="O35" s="80"/>
      <c r="P35" s="80"/>
      <c r="Q35" s="74"/>
      <c r="R35" s="74"/>
      <c r="S35" s="74"/>
      <c r="U35" s="79"/>
      <c r="V35" s="79"/>
      <c r="W35" s="79"/>
      <c r="X35" s="79"/>
      <c r="Y35" s="79"/>
      <c r="Z35" s="79"/>
      <c r="AA35" s="74"/>
      <c r="AB35" s="74"/>
      <c r="AC35" s="74"/>
      <c r="AD35" s="52"/>
    </row>
    <row r="36" spans="1:30" ht="11.25" customHeight="1" x14ac:dyDescent="0.25">
      <c r="A36" s="78"/>
      <c r="B36" s="78"/>
      <c r="C36" s="78"/>
      <c r="D36" s="78"/>
      <c r="E36" s="78"/>
      <c r="F36" s="78"/>
      <c r="G36" s="79"/>
      <c r="H36" s="74"/>
      <c r="I36" s="79"/>
      <c r="J36" s="79"/>
      <c r="K36" s="79"/>
      <c r="L36" s="79"/>
      <c r="M36" s="79"/>
      <c r="N36" s="79"/>
      <c r="O36" s="80"/>
      <c r="P36" s="80"/>
      <c r="Q36" s="74"/>
      <c r="R36" s="74"/>
      <c r="S36" s="74"/>
      <c r="U36" s="79"/>
      <c r="V36" s="79"/>
      <c r="W36" s="79"/>
      <c r="X36" s="79"/>
      <c r="Y36" s="79"/>
      <c r="Z36" s="79"/>
      <c r="AA36" s="74"/>
      <c r="AB36" s="74"/>
      <c r="AC36" s="74"/>
      <c r="AD36" s="52"/>
    </row>
    <row r="37" spans="1:30" ht="11.25" customHeight="1" x14ac:dyDescent="0.25">
      <c r="A37" s="91">
        <v>1</v>
      </c>
      <c r="B37" s="621" t="s">
        <v>299</v>
      </c>
      <c r="C37" s="621"/>
      <c r="D37" s="621"/>
      <c r="E37" s="621"/>
      <c r="F37" s="621"/>
      <c r="G37" s="621"/>
      <c r="H37" s="91"/>
      <c r="I37" s="621"/>
      <c r="J37" s="621"/>
      <c r="K37" s="621"/>
      <c r="L37" s="621"/>
      <c r="M37" s="621"/>
      <c r="N37" s="621"/>
      <c r="O37" s="91"/>
      <c r="P37" s="621"/>
      <c r="Q37" s="621"/>
      <c r="R37" s="621"/>
      <c r="S37" s="621"/>
      <c r="T37" s="621"/>
      <c r="U37" s="621"/>
      <c r="V37" s="79"/>
      <c r="W37" s="79"/>
      <c r="X37" s="79"/>
      <c r="Y37" s="79"/>
      <c r="Z37" s="79"/>
      <c r="AA37" s="74"/>
      <c r="AB37" s="74"/>
      <c r="AC37" s="74"/>
      <c r="AD37" s="52"/>
    </row>
    <row r="38" spans="1:30" ht="11.25" customHeight="1" x14ac:dyDescent="0.25">
      <c r="A38" s="91">
        <v>2</v>
      </c>
      <c r="B38" s="621" t="s">
        <v>298</v>
      </c>
      <c r="C38" s="621"/>
      <c r="D38" s="621"/>
      <c r="E38" s="621"/>
      <c r="F38" s="621"/>
      <c r="G38" s="621"/>
      <c r="H38" s="91"/>
      <c r="I38" s="621"/>
      <c r="J38" s="621"/>
      <c r="K38" s="621"/>
      <c r="L38" s="621"/>
      <c r="M38" s="621"/>
      <c r="N38" s="621"/>
      <c r="O38" s="91"/>
      <c r="P38" s="621"/>
      <c r="Q38" s="621"/>
      <c r="R38" s="621"/>
      <c r="S38" s="621"/>
      <c r="T38" s="621"/>
      <c r="U38" s="621"/>
      <c r="V38" s="79"/>
      <c r="W38" s="79"/>
      <c r="X38" s="79"/>
      <c r="Y38" s="79"/>
      <c r="Z38" s="79"/>
      <c r="AA38" s="74"/>
      <c r="AB38" s="74"/>
      <c r="AC38" s="74"/>
      <c r="AD38" s="52"/>
    </row>
    <row r="39" spans="1:30" ht="11.25" customHeight="1" x14ac:dyDescent="0.25">
      <c r="A39" s="91">
        <v>3</v>
      </c>
      <c r="B39" s="621" t="s">
        <v>295</v>
      </c>
      <c r="C39" s="621"/>
      <c r="D39" s="621"/>
      <c r="E39" s="621"/>
      <c r="F39" s="621"/>
      <c r="G39" s="621"/>
      <c r="H39" s="91"/>
      <c r="I39" s="621"/>
      <c r="J39" s="621"/>
      <c r="K39" s="621"/>
      <c r="L39" s="621"/>
      <c r="M39" s="621"/>
      <c r="N39" s="621"/>
      <c r="O39" s="91"/>
      <c r="P39" s="621"/>
      <c r="Q39" s="621"/>
      <c r="R39" s="621"/>
      <c r="S39" s="621"/>
      <c r="T39" s="621"/>
      <c r="U39" s="621"/>
      <c r="V39" s="79"/>
      <c r="W39" s="79"/>
      <c r="X39" s="79"/>
      <c r="Y39" s="79"/>
      <c r="Z39" s="79"/>
      <c r="AA39" s="74"/>
      <c r="AB39" s="74"/>
      <c r="AC39" s="74"/>
      <c r="AD39" s="52"/>
    </row>
    <row r="40" spans="1:30" ht="11.25" customHeight="1" x14ac:dyDescent="0.25">
      <c r="A40" s="91">
        <v>4</v>
      </c>
      <c r="B40" s="621" t="s">
        <v>296</v>
      </c>
      <c r="C40" s="621"/>
      <c r="D40" s="621"/>
      <c r="E40" s="621"/>
      <c r="F40" s="621"/>
      <c r="G40" s="621"/>
      <c r="H40" s="91"/>
      <c r="I40" s="621"/>
      <c r="J40" s="621"/>
      <c r="K40" s="621"/>
      <c r="L40" s="621"/>
      <c r="M40" s="621"/>
      <c r="N40" s="621"/>
      <c r="O40" s="91"/>
      <c r="P40" s="621"/>
      <c r="Q40" s="621"/>
      <c r="R40" s="621"/>
      <c r="S40" s="621"/>
      <c r="T40" s="621"/>
      <c r="U40" s="621"/>
      <c r="V40" s="79"/>
      <c r="W40" s="79"/>
      <c r="X40" s="79"/>
      <c r="Y40" s="79"/>
      <c r="Z40" s="79"/>
      <c r="AA40" s="74"/>
      <c r="AB40" s="74"/>
      <c r="AC40" s="74"/>
      <c r="AD40" s="52"/>
    </row>
    <row r="41" spans="1:30" ht="11.25" customHeight="1" x14ac:dyDescent="0.25">
      <c r="A41" s="91">
        <v>5</v>
      </c>
      <c r="B41" s="621" t="s">
        <v>297</v>
      </c>
      <c r="C41" s="621"/>
      <c r="D41" s="621"/>
      <c r="E41" s="621"/>
      <c r="F41" s="621"/>
      <c r="G41" s="621"/>
      <c r="H41" s="91"/>
      <c r="I41" s="621"/>
      <c r="J41" s="621"/>
      <c r="K41" s="621"/>
      <c r="L41" s="621"/>
      <c r="M41" s="621"/>
      <c r="N41" s="621"/>
      <c r="O41" s="91"/>
      <c r="P41" s="621"/>
      <c r="Q41" s="621"/>
      <c r="R41" s="621"/>
      <c r="S41" s="621"/>
      <c r="T41" s="621"/>
      <c r="U41" s="621"/>
      <c r="V41" s="79"/>
      <c r="W41" s="79"/>
      <c r="X41" s="79"/>
      <c r="Y41" s="79"/>
      <c r="Z41" s="79"/>
      <c r="AA41" s="74"/>
      <c r="AB41" s="74"/>
      <c r="AC41" s="74"/>
      <c r="AD41" s="52"/>
    </row>
    <row r="42" spans="1:30" ht="11.25" customHeight="1" x14ac:dyDescent="0.25">
      <c r="A42" s="91">
        <v>6</v>
      </c>
      <c r="B42" s="621" t="s">
        <v>301</v>
      </c>
      <c r="C42" s="621"/>
      <c r="D42" s="621"/>
      <c r="E42" s="621"/>
      <c r="F42" s="621"/>
      <c r="G42" s="621"/>
      <c r="H42" s="91"/>
      <c r="I42" s="621"/>
      <c r="J42" s="621"/>
      <c r="K42" s="621"/>
      <c r="L42" s="621"/>
      <c r="M42" s="621"/>
      <c r="N42" s="621"/>
      <c r="O42" s="91"/>
      <c r="P42" s="621"/>
      <c r="Q42" s="621"/>
      <c r="R42" s="621"/>
      <c r="S42" s="621"/>
      <c r="T42" s="621"/>
      <c r="U42" s="621"/>
      <c r="V42" s="79"/>
      <c r="W42" s="79"/>
      <c r="X42" s="79"/>
      <c r="Y42" s="79"/>
      <c r="Z42" s="79"/>
      <c r="AA42" s="74"/>
      <c r="AB42" s="74"/>
      <c r="AC42" s="74"/>
      <c r="AD42" s="52"/>
    </row>
    <row r="43" spans="1:30" ht="11.25" customHeight="1" x14ac:dyDescent="0.25">
      <c r="A43" s="91">
        <v>7</v>
      </c>
      <c r="B43" s="621" t="s">
        <v>303</v>
      </c>
      <c r="C43" s="621"/>
      <c r="D43" s="621"/>
      <c r="E43" s="621"/>
      <c r="F43" s="621"/>
      <c r="G43" s="621"/>
      <c r="H43" s="91"/>
      <c r="I43" s="621"/>
      <c r="J43" s="621"/>
      <c r="K43" s="621"/>
      <c r="L43" s="621"/>
      <c r="M43" s="621"/>
      <c r="N43" s="621"/>
      <c r="O43" s="91"/>
      <c r="P43" s="621"/>
      <c r="Q43" s="621"/>
      <c r="R43" s="621"/>
      <c r="S43" s="621"/>
      <c r="T43" s="621"/>
      <c r="U43" s="621"/>
      <c r="V43" s="79"/>
      <c r="W43" s="79"/>
      <c r="X43" s="79"/>
      <c r="Y43" s="79"/>
      <c r="Z43" s="79"/>
      <c r="AA43" s="74"/>
      <c r="AB43" s="74"/>
      <c r="AC43" s="74"/>
      <c r="AD43" s="52"/>
    </row>
    <row r="44" spans="1:30" ht="11.25" customHeight="1" x14ac:dyDescent="0.25">
      <c r="A44" s="91">
        <v>8</v>
      </c>
      <c r="B44" s="621" t="s">
        <v>302</v>
      </c>
      <c r="C44" s="621"/>
      <c r="D44" s="621"/>
      <c r="E44" s="621"/>
      <c r="F44" s="621"/>
      <c r="G44" s="621"/>
      <c r="H44" s="91"/>
      <c r="I44" s="621"/>
      <c r="J44" s="621"/>
      <c r="K44" s="621"/>
      <c r="L44" s="621"/>
      <c r="M44" s="621"/>
      <c r="N44" s="621"/>
      <c r="O44" s="91"/>
      <c r="P44" s="621"/>
      <c r="Q44" s="621"/>
      <c r="R44" s="621"/>
      <c r="S44" s="621"/>
      <c r="T44" s="621"/>
      <c r="U44" s="621"/>
      <c r="V44" s="79"/>
      <c r="W44" s="79"/>
      <c r="X44" s="79"/>
      <c r="Y44" s="79"/>
      <c r="Z44" s="79"/>
      <c r="AA44" s="74"/>
      <c r="AB44" s="74"/>
      <c r="AC44" s="74"/>
      <c r="AD44" s="52"/>
    </row>
    <row r="45" spans="1:30" ht="11.25" customHeight="1" x14ac:dyDescent="0.25">
      <c r="A45" s="91">
        <v>9</v>
      </c>
      <c r="B45" s="621" t="s">
        <v>300</v>
      </c>
      <c r="C45" s="621"/>
      <c r="D45" s="621"/>
      <c r="E45" s="621"/>
      <c r="F45" s="621"/>
      <c r="G45" s="621"/>
      <c r="H45" s="91"/>
      <c r="I45" s="621"/>
      <c r="J45" s="621"/>
      <c r="K45" s="621"/>
      <c r="L45" s="621"/>
      <c r="M45" s="621"/>
      <c r="N45" s="621"/>
      <c r="O45" s="91"/>
      <c r="P45" s="621"/>
      <c r="Q45" s="621"/>
      <c r="R45" s="621"/>
      <c r="S45" s="621"/>
      <c r="T45" s="621"/>
      <c r="U45" s="621"/>
      <c r="V45" s="39"/>
      <c r="W45" s="39"/>
      <c r="X45" s="39"/>
      <c r="Y45" s="39"/>
      <c r="Z45" s="39"/>
      <c r="AA45" s="20"/>
      <c r="AB45" s="20"/>
      <c r="AC45" s="20"/>
      <c r="AD45" s="47"/>
    </row>
    <row r="46" spans="1:30" ht="11.25" customHeight="1" x14ac:dyDescent="0.25">
      <c r="A46" s="91"/>
      <c r="B46" s="621"/>
      <c r="C46" s="621"/>
      <c r="D46" s="621"/>
      <c r="E46" s="621"/>
      <c r="F46" s="621"/>
      <c r="G46" s="621"/>
      <c r="H46" s="91"/>
      <c r="I46" s="621"/>
      <c r="J46" s="621"/>
      <c r="K46" s="621"/>
      <c r="L46" s="621"/>
      <c r="M46" s="621"/>
      <c r="N46" s="621"/>
      <c r="O46" s="91"/>
      <c r="P46" s="621"/>
      <c r="Q46" s="621"/>
      <c r="R46" s="621"/>
      <c r="S46" s="621"/>
      <c r="T46" s="621"/>
      <c r="U46" s="621"/>
      <c r="V46" s="39"/>
      <c r="W46" s="39"/>
      <c r="X46" s="39"/>
      <c r="Y46" s="39"/>
      <c r="Z46" s="39"/>
      <c r="AA46" s="20"/>
      <c r="AB46" s="20"/>
      <c r="AC46" s="20"/>
      <c r="AD46" s="52"/>
    </row>
    <row r="47" spans="1:30" ht="11.25" customHeight="1" x14ac:dyDescent="0.25">
      <c r="A47" s="71"/>
      <c r="B47" s="71"/>
      <c r="C47" s="71"/>
      <c r="D47" s="71"/>
      <c r="E47" s="71"/>
      <c r="F47" s="71"/>
      <c r="G47" s="40"/>
      <c r="H47" s="74"/>
      <c r="I47" s="39"/>
      <c r="J47" s="39"/>
      <c r="K47" s="39"/>
      <c r="L47" s="39"/>
      <c r="M47" s="39"/>
      <c r="N47" s="39"/>
      <c r="O47" s="39"/>
      <c r="P47" s="39"/>
      <c r="Q47" s="20"/>
      <c r="R47" s="20"/>
      <c r="S47" s="20"/>
      <c r="U47" s="39"/>
      <c r="V47" s="39"/>
      <c r="W47" s="39"/>
      <c r="X47" s="39"/>
      <c r="Y47" s="39"/>
      <c r="Z47" s="39"/>
      <c r="AA47" s="20"/>
      <c r="AB47" s="20"/>
      <c r="AC47" s="20"/>
    </row>
    <row r="48" spans="1:30" ht="11.25" customHeight="1" x14ac:dyDescent="0.25">
      <c r="A48" s="54"/>
      <c r="B48" s="54"/>
      <c r="C48" s="54"/>
      <c r="D48" s="54"/>
      <c r="E48" s="54"/>
      <c r="F48" s="54"/>
      <c r="G48" s="19"/>
      <c r="H48" s="55"/>
      <c r="I48" s="21"/>
      <c r="J48" s="21"/>
      <c r="K48" s="21"/>
      <c r="L48" s="21"/>
      <c r="M48" s="21"/>
      <c r="N48" s="21"/>
      <c r="O48" s="21"/>
      <c r="P48" s="21"/>
      <c r="Q48" s="56"/>
      <c r="R48" s="56"/>
      <c r="S48" s="56"/>
      <c r="U48" s="21"/>
      <c r="V48" s="21"/>
      <c r="W48" s="21"/>
      <c r="X48" s="21"/>
      <c r="Y48" s="21"/>
      <c r="Z48" s="21"/>
      <c r="AA48" s="56"/>
      <c r="AB48" s="56"/>
      <c r="AC48" s="56"/>
    </row>
    <row r="49" ht="11.25" customHeight="1" x14ac:dyDescent="0.25"/>
    <row r="50" ht="11.25" customHeight="1" x14ac:dyDescent="0.25"/>
    <row r="51" ht="11.25" customHeight="1" x14ac:dyDescent="0.25"/>
    <row r="52" ht="11.25" customHeight="1" x14ac:dyDescent="0.25"/>
    <row r="53" ht="11.25" customHeight="1" x14ac:dyDescent="0.25"/>
    <row r="54" ht="11.25" customHeight="1" x14ac:dyDescent="0.25"/>
    <row r="55" ht="11.25" customHeight="1" x14ac:dyDescent="0.25"/>
    <row r="56" ht="11.25" customHeight="1" x14ac:dyDescent="0.25"/>
    <row r="57" ht="11.25" customHeight="1" x14ac:dyDescent="0.25"/>
    <row r="58" ht="11.25" customHeight="1" x14ac:dyDescent="0.25"/>
    <row r="59" ht="11.25" customHeight="1" x14ac:dyDescent="0.25"/>
    <row r="60" ht="11.25" customHeight="1" x14ac:dyDescent="0.25"/>
    <row r="61" ht="11.25" customHeight="1" x14ac:dyDescent="0.25"/>
    <row r="62" ht="11.25" customHeight="1" x14ac:dyDescent="0.25"/>
    <row r="63" ht="11.25" customHeight="1" x14ac:dyDescent="0.25"/>
    <row r="64" ht="11.25" customHeight="1" x14ac:dyDescent="0.25"/>
    <row r="65" ht="11.25" customHeight="1" x14ac:dyDescent="0.25"/>
    <row r="66" ht="11.25" customHeight="1" x14ac:dyDescent="0.25"/>
    <row r="67" ht="11.25" customHeight="1" x14ac:dyDescent="0.25"/>
    <row r="68" ht="11.25" customHeight="1" x14ac:dyDescent="0.25"/>
    <row r="69" ht="11.25" customHeight="1" x14ac:dyDescent="0.25"/>
    <row r="70" ht="11.25" customHeight="1" x14ac:dyDescent="0.25"/>
    <row r="71" ht="11.25" customHeight="1" x14ac:dyDescent="0.25"/>
    <row r="72" ht="11.25" customHeight="1" x14ac:dyDescent="0.25"/>
    <row r="73" ht="11.25" customHeight="1" x14ac:dyDescent="0.25"/>
    <row r="74" ht="11.25" customHeight="1" x14ac:dyDescent="0.25"/>
    <row r="75" ht="11.25" customHeight="1" x14ac:dyDescent="0.25"/>
    <row r="76" ht="11.25" customHeight="1" x14ac:dyDescent="0.25"/>
    <row r="77" ht="11.25" customHeight="1" x14ac:dyDescent="0.25"/>
    <row r="78" ht="11.25" customHeight="1" x14ac:dyDescent="0.25"/>
    <row r="79" ht="11.25" customHeight="1" x14ac:dyDescent="0.25"/>
    <row r="80" ht="11.25" customHeight="1" x14ac:dyDescent="0.25"/>
    <row r="81" ht="11.25" customHeight="1" x14ac:dyDescent="0.25"/>
    <row r="82" ht="11.25" customHeight="1" x14ac:dyDescent="0.25"/>
    <row r="83" ht="11.25" customHeight="1" x14ac:dyDescent="0.25"/>
    <row r="84" ht="11.25" customHeight="1" x14ac:dyDescent="0.25"/>
  </sheetData>
  <mergeCells count="36">
    <mergeCell ref="P44:U44"/>
    <mergeCell ref="P45:U45"/>
    <mergeCell ref="P46:U46"/>
    <mergeCell ref="C8:AA8"/>
    <mergeCell ref="A10:A34"/>
    <mergeCell ref="P39:U39"/>
    <mergeCell ref="P40:U40"/>
    <mergeCell ref="P41:U41"/>
    <mergeCell ref="P42:U42"/>
    <mergeCell ref="P43:U43"/>
    <mergeCell ref="B38:G38"/>
    <mergeCell ref="I38:N38"/>
    <mergeCell ref="P38:U38"/>
    <mergeCell ref="B39:G39"/>
    <mergeCell ref="I39:N39"/>
    <mergeCell ref="B40:G40"/>
    <mergeCell ref="B1:J2"/>
    <mergeCell ref="A4:AI4"/>
    <mergeCell ref="A8:B9"/>
    <mergeCell ref="B37:G37"/>
    <mergeCell ref="I37:N37"/>
    <mergeCell ref="P37:U37"/>
    <mergeCell ref="A5:AI6"/>
    <mergeCell ref="I40:N40"/>
    <mergeCell ref="B41:G41"/>
    <mergeCell ref="I41:N41"/>
    <mergeCell ref="B45:G45"/>
    <mergeCell ref="I45:N45"/>
    <mergeCell ref="B46:G46"/>
    <mergeCell ref="I46:N46"/>
    <mergeCell ref="B42:G42"/>
    <mergeCell ref="I42:N42"/>
    <mergeCell ref="B43:G43"/>
    <mergeCell ref="I43:N43"/>
    <mergeCell ref="B44:G44"/>
    <mergeCell ref="I44:N44"/>
  </mergeCells>
  <conditionalFormatting sqref="B10:AA34">
    <cfRule type="expression" dxfId="25" priority="2">
      <formula>ISBLANK($B10)</formula>
    </cfRule>
  </conditionalFormatting>
  <conditionalFormatting sqref="C9:AA34">
    <cfRule type="expression" dxfId="24" priority="1">
      <formula>ISBLANK(C$9)</formula>
    </cfRule>
  </conditionalFormatting>
  <conditionalFormatting sqref="D11">
    <cfRule type="expression" dxfId="23" priority="26">
      <formula>ISBLANK(D$9)=TRUE</formula>
    </cfRule>
  </conditionalFormatting>
  <conditionalFormatting sqref="E12">
    <cfRule type="expression" dxfId="22" priority="25">
      <formula>ISBLANK(E$9)=TRUE</formula>
    </cfRule>
  </conditionalFormatting>
  <conditionalFormatting sqref="F13">
    <cfRule type="expression" dxfId="21" priority="24">
      <formula>ISBLANK(F$9)=TRUE</formula>
    </cfRule>
  </conditionalFormatting>
  <conditionalFormatting sqref="G14">
    <cfRule type="expression" dxfId="20" priority="23">
      <formula>ISBLANK(G$9)=TRUE</formula>
    </cfRule>
  </conditionalFormatting>
  <conditionalFormatting sqref="H15">
    <cfRule type="expression" dxfId="19" priority="22">
      <formula>ISBLANK(H$9)=TRUE</formula>
    </cfRule>
  </conditionalFormatting>
  <conditionalFormatting sqref="I16">
    <cfRule type="expression" dxfId="18" priority="21">
      <formula>ISBLANK(I$9)=TRUE</formula>
    </cfRule>
  </conditionalFormatting>
  <conditionalFormatting sqref="J17">
    <cfRule type="expression" dxfId="17" priority="20">
      <formula>ISBLANK(J$9)=TRUE</formula>
    </cfRule>
  </conditionalFormatting>
  <conditionalFormatting sqref="K18">
    <cfRule type="expression" dxfId="16" priority="19">
      <formula>ISBLANK(K$9)=TRUE</formula>
    </cfRule>
  </conditionalFormatting>
  <conditionalFormatting sqref="L19">
    <cfRule type="expression" dxfId="15" priority="18">
      <formula>ISBLANK(L$9)=TRUE</formula>
    </cfRule>
  </conditionalFormatting>
  <conditionalFormatting sqref="M20">
    <cfRule type="expression" dxfId="14" priority="17">
      <formula>ISBLANK(M$9)=TRUE</formula>
    </cfRule>
  </conditionalFormatting>
  <conditionalFormatting sqref="N21">
    <cfRule type="expression" dxfId="13" priority="16">
      <formula>ISBLANK(N$9)=TRUE</formula>
    </cfRule>
  </conditionalFormatting>
  <conditionalFormatting sqref="O22">
    <cfRule type="expression" dxfId="12" priority="15">
      <formula>ISBLANK(O$9)=TRUE</formula>
    </cfRule>
  </conditionalFormatting>
  <conditionalFormatting sqref="P23">
    <cfRule type="expression" dxfId="11" priority="14">
      <formula>ISBLANK(P$9)=TRUE</formula>
    </cfRule>
  </conditionalFormatting>
  <conditionalFormatting sqref="Q24">
    <cfRule type="expression" dxfId="10" priority="13">
      <formula>ISBLANK(Q$9)=TRUE</formula>
    </cfRule>
  </conditionalFormatting>
  <conditionalFormatting sqref="R25">
    <cfRule type="expression" dxfId="9" priority="12">
      <formula>ISBLANK(R$9)=TRUE</formula>
    </cfRule>
  </conditionalFormatting>
  <conditionalFormatting sqref="S26">
    <cfRule type="expression" dxfId="8" priority="11">
      <formula>ISBLANK(S$9)=TRUE</formula>
    </cfRule>
  </conditionalFormatting>
  <conditionalFormatting sqref="T27">
    <cfRule type="expression" dxfId="7" priority="10">
      <formula>ISBLANK(T$9)=TRUE</formula>
    </cfRule>
  </conditionalFormatting>
  <conditionalFormatting sqref="U28">
    <cfRule type="expression" dxfId="6" priority="9">
      <formula>ISBLANK(U$9)=TRUE</formula>
    </cfRule>
  </conditionalFormatting>
  <conditionalFormatting sqref="V29">
    <cfRule type="expression" dxfId="5" priority="8">
      <formula>ISBLANK(V$9)=TRUE</formula>
    </cfRule>
  </conditionalFormatting>
  <conditionalFormatting sqref="W30">
    <cfRule type="expression" dxfId="4" priority="7">
      <formula>ISBLANK(W$9)=TRUE</formula>
    </cfRule>
  </conditionalFormatting>
  <conditionalFormatting sqref="X31">
    <cfRule type="expression" dxfId="3" priority="6">
      <formula>ISBLANK(X$9)=TRUE</formula>
    </cfRule>
  </conditionalFormatting>
  <conditionalFormatting sqref="Y32">
    <cfRule type="expression" dxfId="2" priority="5">
      <formula>ISBLANK(Y$9)=TRUE</formula>
    </cfRule>
  </conditionalFormatting>
  <conditionalFormatting sqref="Z33">
    <cfRule type="expression" dxfId="1" priority="4">
      <formula>ISBLANK(Z$9)=TRUE</formula>
    </cfRule>
  </conditionalFormatting>
  <conditionalFormatting sqref="AA34">
    <cfRule type="expression" dxfId="0" priority="3">
      <formula>ISBLANK(AA$9)=TRUE</formula>
    </cfRule>
  </conditionalFormatting>
  <pageMargins left="0.7" right="0.7" top="0" bottom="0" header="0" footer="0"/>
  <pageSetup scale="65" fitToHeight="0"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9">
    <pageSetUpPr fitToPage="1"/>
  </sheetPr>
  <dimension ref="A1:FE500"/>
  <sheetViews>
    <sheetView showGridLines="0" zoomScaleNormal="100" workbookViewId="0">
      <selection activeCell="A7" sqref="A7:I8"/>
    </sheetView>
  </sheetViews>
  <sheetFormatPr defaultRowHeight="15" x14ac:dyDescent="0.25"/>
  <cols>
    <col min="1" max="1" width="9.5703125" style="41" customWidth="1"/>
    <col min="2" max="33" width="5" style="41" customWidth="1"/>
    <col min="34" max="151" width="5.28515625" style="41" customWidth="1"/>
    <col min="152" max="16384" width="9.140625" style="41"/>
  </cols>
  <sheetData>
    <row r="1" spans="1:151" x14ac:dyDescent="0.25">
      <c r="B1" s="386"/>
      <c r="C1" s="386"/>
      <c r="D1" s="386"/>
      <c r="E1" s="386"/>
      <c r="F1" s="386"/>
      <c r="G1" s="386"/>
      <c r="H1" s="386"/>
      <c r="I1" s="386"/>
    </row>
    <row r="2" spans="1:151" x14ac:dyDescent="0.25">
      <c r="B2" s="386"/>
      <c r="C2" s="386"/>
      <c r="D2" s="386"/>
      <c r="E2" s="386"/>
      <c r="F2" s="386"/>
      <c r="G2" s="386"/>
      <c r="H2" s="386"/>
      <c r="I2" s="386"/>
    </row>
    <row r="3" spans="1:151" ht="9.75" customHeight="1" x14ac:dyDescent="0.25">
      <c r="B3" s="98"/>
      <c r="C3" s="98"/>
      <c r="D3" s="98"/>
      <c r="E3" s="98"/>
      <c r="F3" s="98"/>
      <c r="G3" s="98"/>
      <c r="H3" s="98"/>
      <c r="I3" s="98"/>
    </row>
    <row r="4" spans="1:151" ht="11.25" customHeight="1" x14ac:dyDescent="0.25">
      <c r="A4" s="395" t="s">
        <v>104</v>
      </c>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row>
    <row r="5" spans="1:151" ht="11.25" customHeight="1" x14ac:dyDescent="0.25">
      <c r="A5" s="379" t="s">
        <v>117</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row>
    <row r="6" spans="1:151" customFormat="1" ht="9.75" customHeight="1" x14ac:dyDescent="0.25"/>
    <row r="7" spans="1:151" ht="11.25" customHeight="1" x14ac:dyDescent="0.25">
      <c r="A7" s="626" t="s">
        <v>79</v>
      </c>
      <c r="B7" s="626"/>
      <c r="C7" s="626"/>
      <c r="D7" s="626"/>
      <c r="E7" s="626"/>
      <c r="F7" s="626"/>
      <c r="G7" s="626"/>
      <c r="H7" s="626"/>
      <c r="I7" s="626"/>
      <c r="J7" s="626" t="s">
        <v>80</v>
      </c>
      <c r="K7" s="626"/>
      <c r="L7" s="626"/>
      <c r="M7" s="626"/>
      <c r="N7" s="626"/>
      <c r="O7" s="626"/>
      <c r="P7" s="626"/>
      <c r="Q7" s="626"/>
      <c r="R7" s="626"/>
      <c r="S7" s="626"/>
      <c r="T7" s="636" t="s">
        <v>81</v>
      </c>
      <c r="U7" s="636"/>
      <c r="V7" s="637"/>
      <c r="W7" s="636" t="s">
        <v>82</v>
      </c>
      <c r="X7" s="636"/>
      <c r="Y7" s="637"/>
      <c r="Z7" s="625" t="s">
        <v>138</v>
      </c>
      <c r="AA7" s="633"/>
      <c r="AB7" s="629" t="s">
        <v>139</v>
      </c>
      <c r="AC7" s="630"/>
      <c r="AD7" s="625" t="s">
        <v>83</v>
      </c>
      <c r="AE7" s="633"/>
      <c r="AF7" s="625" t="s">
        <v>84</v>
      </c>
      <c r="AG7" s="626"/>
      <c r="AH7" s="626"/>
    </row>
    <row r="8" spans="1:151" ht="14.25" customHeight="1" x14ac:dyDescent="0.25">
      <c r="A8" s="628"/>
      <c r="B8" s="628"/>
      <c r="C8" s="628"/>
      <c r="D8" s="628"/>
      <c r="E8" s="628"/>
      <c r="F8" s="628"/>
      <c r="G8" s="628"/>
      <c r="H8" s="628"/>
      <c r="I8" s="628"/>
      <c r="J8" s="628"/>
      <c r="K8" s="628"/>
      <c r="L8" s="628"/>
      <c r="M8" s="628"/>
      <c r="N8" s="628"/>
      <c r="O8" s="628"/>
      <c r="P8" s="628"/>
      <c r="Q8" s="628"/>
      <c r="R8" s="628"/>
      <c r="S8" s="628"/>
      <c r="T8" s="151" t="s">
        <v>85</v>
      </c>
      <c r="U8" s="153" t="s">
        <v>74</v>
      </c>
      <c r="V8" s="152" t="s">
        <v>86</v>
      </c>
      <c r="W8" s="118" t="s">
        <v>85</v>
      </c>
      <c r="X8" s="154" t="s">
        <v>74</v>
      </c>
      <c r="Y8" s="119" t="s">
        <v>86</v>
      </c>
      <c r="Z8" s="634"/>
      <c r="AA8" s="635"/>
      <c r="AB8" s="631"/>
      <c r="AC8" s="632"/>
      <c r="AD8" s="634"/>
      <c r="AE8" s="635"/>
      <c r="AF8" s="627"/>
      <c r="AG8" s="628"/>
      <c r="AH8" s="628"/>
    </row>
    <row r="9" spans="1:151" ht="11.25" customHeight="1" x14ac:dyDescent="0.25">
      <c r="A9" s="641" t="s">
        <v>350</v>
      </c>
      <c r="B9" s="641"/>
      <c r="C9" s="641"/>
      <c r="D9" s="641"/>
      <c r="E9" s="641"/>
      <c r="F9" s="641"/>
      <c r="G9" s="641"/>
      <c r="H9" s="641"/>
      <c r="I9" s="641"/>
      <c r="J9" s="640"/>
      <c r="K9" s="640"/>
      <c r="L9" s="640"/>
      <c r="M9" s="640"/>
      <c r="N9" s="640"/>
      <c r="O9" s="640"/>
      <c r="P9" s="640"/>
      <c r="Q9" s="640"/>
      <c r="R9" s="640"/>
      <c r="S9" s="640"/>
      <c r="T9" s="150"/>
      <c r="U9" s="150"/>
      <c r="V9" s="155"/>
      <c r="W9" s="156"/>
      <c r="X9" s="156"/>
      <c r="Y9" s="157"/>
      <c r="Z9" s="642"/>
      <c r="AA9" s="643"/>
      <c r="AB9" s="642"/>
      <c r="AC9" s="643"/>
      <c r="AD9" s="644"/>
      <c r="AE9" s="645"/>
      <c r="AF9" s="646"/>
      <c r="AG9" s="647"/>
      <c r="AH9" s="647"/>
    </row>
    <row r="10" spans="1:151" ht="9.75" customHeight="1" x14ac:dyDescent="0.25">
      <c r="A10" s="638" t="s">
        <v>87</v>
      </c>
      <c r="B10" s="638"/>
      <c r="C10" s="638"/>
      <c r="D10" s="638"/>
      <c r="E10" s="638"/>
      <c r="F10" s="638"/>
      <c r="G10" s="638"/>
      <c r="H10" s="638"/>
      <c r="I10" s="638"/>
      <c r="J10" s="638"/>
      <c r="K10" s="638"/>
      <c r="L10" s="638"/>
      <c r="M10" s="638"/>
      <c r="N10" s="638"/>
      <c r="O10" s="638"/>
      <c r="P10" s="638"/>
      <c r="Q10" s="638"/>
      <c r="R10" s="638"/>
      <c r="S10" s="638"/>
      <c r="T10" s="638"/>
      <c r="U10" s="638"/>
      <c r="V10" s="638"/>
      <c r="W10" s="638"/>
      <c r="X10" s="638"/>
      <c r="Y10" s="638"/>
      <c r="Z10" s="638"/>
      <c r="AA10" s="638"/>
      <c r="AB10" s="638"/>
      <c r="AC10" s="638"/>
      <c r="AD10" s="638"/>
      <c r="AE10" s="638"/>
      <c r="AF10" s="638"/>
      <c r="AG10" s="638"/>
      <c r="AH10" s="638"/>
    </row>
    <row r="11" spans="1:151" ht="9.75" customHeight="1" x14ac:dyDescent="0.25">
      <c r="A11" s="639" t="s">
        <v>88</v>
      </c>
      <c r="B11" s="639"/>
      <c r="C11" s="639"/>
      <c r="D11" s="639"/>
      <c r="E11" s="639"/>
      <c r="F11" s="639"/>
      <c r="G11" s="639"/>
      <c r="H11" s="639"/>
      <c r="I11" s="639"/>
      <c r="J11" s="639"/>
      <c r="K11" s="639"/>
      <c r="L11" s="639"/>
      <c r="M11" s="639"/>
      <c r="N11" s="639"/>
      <c r="O11" s="639"/>
      <c r="P11" s="639"/>
      <c r="Q11" s="639"/>
      <c r="R11" s="639"/>
      <c r="S11" s="639"/>
      <c r="T11" s="639"/>
      <c r="U11" s="639"/>
      <c r="V11" s="639"/>
      <c r="W11" s="639"/>
      <c r="X11" s="639"/>
      <c r="Y11" s="639"/>
      <c r="Z11" s="639"/>
      <c r="AA11" s="639"/>
      <c r="AB11" s="639"/>
      <c r="AC11" s="639"/>
      <c r="AD11" s="639"/>
      <c r="AE11" s="639"/>
      <c r="AF11" s="639"/>
      <c r="AG11" s="639"/>
      <c r="AH11" s="639"/>
    </row>
    <row r="12" spans="1:151" ht="11.25" customHeight="1" x14ac:dyDescent="0.25">
      <c r="A12" s="99"/>
      <c r="B12" s="99"/>
      <c r="C12" s="99"/>
      <c r="D12" s="99"/>
      <c r="E12" s="99"/>
      <c r="F12" s="99"/>
      <c r="G12" s="99"/>
      <c r="H12" s="99"/>
      <c r="I12" s="99"/>
      <c r="J12" s="99"/>
      <c r="K12" s="99"/>
      <c r="L12" s="99"/>
      <c r="M12" s="99"/>
      <c r="N12" s="99"/>
      <c r="O12" s="99"/>
      <c r="P12" s="99"/>
      <c r="Q12" s="99"/>
      <c r="R12" s="99"/>
      <c r="S12" s="99"/>
      <c r="T12" s="99"/>
      <c r="U12" s="99"/>
      <c r="V12" s="99"/>
      <c r="W12" s="99"/>
      <c r="X12" s="99"/>
      <c r="Y12" s="99"/>
      <c r="Z12" s="99"/>
      <c r="AA12" s="99"/>
      <c r="AB12" s="99"/>
      <c r="AC12" s="99"/>
      <c r="AD12" s="99"/>
      <c r="AE12" s="99"/>
      <c r="AF12" s="99"/>
      <c r="AG12" s="99"/>
      <c r="AH12" s="99"/>
    </row>
    <row r="13" spans="1:151" ht="9.75" customHeight="1" x14ac:dyDescent="0.25">
      <c r="A13" s="395" t="s">
        <v>276</v>
      </c>
      <c r="B13" s="395"/>
      <c r="C13" s="395"/>
      <c r="D13" s="395"/>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c r="AD13" s="395"/>
      <c r="AE13" s="395"/>
      <c r="AF13" s="395"/>
      <c r="AG13" s="395"/>
      <c r="AH13" s="395"/>
    </row>
    <row r="14" spans="1:151" ht="11.25" customHeight="1" x14ac:dyDescent="0.25">
      <c r="A14" s="379" t="s">
        <v>114</v>
      </c>
      <c r="B14" s="380"/>
      <c r="C14" s="380"/>
      <c r="D14" s="380"/>
      <c r="E14" s="380"/>
      <c r="F14" s="380"/>
      <c r="G14" s="380"/>
      <c r="H14" s="380"/>
      <c r="I14" s="380"/>
      <c r="J14" s="380"/>
      <c r="K14" s="380"/>
      <c r="L14" s="380"/>
      <c r="M14" s="380"/>
      <c r="N14" s="380"/>
      <c r="O14" s="380"/>
      <c r="P14" s="380"/>
      <c r="Q14" s="380"/>
      <c r="R14" s="380"/>
      <c r="S14" s="380"/>
      <c r="T14" s="380"/>
      <c r="U14" s="380"/>
      <c r="V14" s="380"/>
      <c r="W14" s="380"/>
      <c r="X14" s="380"/>
      <c r="Y14" s="380"/>
      <c r="Z14" s="380"/>
      <c r="AA14" s="380"/>
      <c r="AB14" s="380"/>
      <c r="AC14" s="380"/>
      <c r="AD14" s="380"/>
      <c r="AE14" s="380"/>
      <c r="AF14" s="380"/>
      <c r="AG14" s="380"/>
      <c r="AH14" s="380"/>
    </row>
    <row r="15" spans="1:151" ht="10.5" customHeight="1" x14ac:dyDescent="0.2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151" ht="37.5" customHeight="1" x14ac:dyDescent="0.25">
      <c r="A16" s="220" t="s">
        <v>294</v>
      </c>
      <c r="B16" s="85" t="s">
        <v>323</v>
      </c>
      <c r="C16" s="85" t="s">
        <v>324</v>
      </c>
      <c r="D16" s="85" t="s">
        <v>313</v>
      </c>
      <c r="E16" s="85" t="s">
        <v>325</v>
      </c>
      <c r="F16" s="85" t="s">
        <v>326</v>
      </c>
      <c r="G16" s="85" t="s">
        <v>327</v>
      </c>
      <c r="H16" s="85" t="s">
        <v>328</v>
      </c>
      <c r="I16" s="85" t="s">
        <v>329</v>
      </c>
      <c r="J16" s="85" t="s">
        <v>330</v>
      </c>
      <c r="K16" s="85" t="s">
        <v>312</v>
      </c>
      <c r="L16" s="85" t="s">
        <v>331</v>
      </c>
      <c r="M16" s="85" t="s">
        <v>311</v>
      </c>
      <c r="N16" s="85" t="s">
        <v>309</v>
      </c>
      <c r="O16" s="85" t="s">
        <v>332</v>
      </c>
      <c r="P16" s="85" t="s">
        <v>333</v>
      </c>
      <c r="Q16" s="85" t="s">
        <v>334</v>
      </c>
      <c r="R16" s="85" t="s">
        <v>335</v>
      </c>
      <c r="S16" s="85" t="s">
        <v>336</v>
      </c>
      <c r="T16" s="85" t="s">
        <v>307</v>
      </c>
      <c r="U16" s="85" t="s">
        <v>337</v>
      </c>
      <c r="V16" s="85" t="s">
        <v>338</v>
      </c>
      <c r="W16" s="85" t="s">
        <v>339</v>
      </c>
      <c r="X16" s="85" t="s">
        <v>340</v>
      </c>
      <c r="Y16" s="85" t="s">
        <v>341</v>
      </c>
      <c r="Z16" s="85" t="s">
        <v>310</v>
      </c>
      <c r="AA16" s="85" t="s">
        <v>305</v>
      </c>
      <c r="AB16" s="85" t="s">
        <v>342</v>
      </c>
      <c r="AC16" s="85" t="s">
        <v>343</v>
      </c>
      <c r="AD16" s="85" t="s">
        <v>306</v>
      </c>
      <c r="AE16" s="85" t="s">
        <v>344</v>
      </c>
      <c r="AF16" s="85" t="s">
        <v>345</v>
      </c>
      <c r="AG16" s="85" t="s">
        <v>308</v>
      </c>
      <c r="AH16" s="85" t="s">
        <v>346</v>
      </c>
      <c r="AI16" s="85" t="s">
        <v>304</v>
      </c>
      <c r="AJ16" s="85" t="s">
        <v>347</v>
      </c>
      <c r="AK16" s="85" t="s">
        <v>348</v>
      </c>
      <c r="AL16" s="85" t="s">
        <v>349</v>
      </c>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c r="CY16" s="85"/>
      <c r="CZ16" s="85"/>
      <c r="DA16" s="85"/>
      <c r="DB16" s="85"/>
      <c r="DC16" s="85"/>
      <c r="DD16" s="85"/>
      <c r="DE16" s="85"/>
      <c r="DF16" s="85"/>
      <c r="DG16" s="85"/>
      <c r="DH16" s="85"/>
      <c r="DI16" s="85"/>
      <c r="DJ16" s="85"/>
      <c r="DK16" s="85"/>
      <c r="DL16" s="85"/>
      <c r="DM16" s="85"/>
      <c r="DN16" s="85"/>
      <c r="DO16" s="85"/>
      <c r="DP16" s="85"/>
      <c r="DQ16" s="85"/>
      <c r="DR16" s="85"/>
      <c r="DS16" s="85"/>
      <c r="DT16" s="85"/>
      <c r="DU16" s="85"/>
      <c r="DV16" s="85"/>
      <c r="DW16" s="85"/>
      <c r="DX16" s="85"/>
      <c r="DY16" s="85"/>
      <c r="DZ16" s="85"/>
      <c r="EA16" s="85"/>
      <c r="EB16" s="85"/>
      <c r="EC16" s="85"/>
      <c r="ED16" s="85"/>
      <c r="EE16" s="85"/>
      <c r="EF16" s="85"/>
      <c r="EG16" s="85"/>
      <c r="EH16" s="85"/>
      <c r="EI16" s="85"/>
      <c r="EJ16" s="85"/>
      <c r="EK16" s="85"/>
      <c r="EL16" s="85"/>
      <c r="EM16" s="85"/>
      <c r="EN16" s="85"/>
      <c r="EO16" s="85"/>
      <c r="EP16" s="85"/>
      <c r="EQ16" s="85"/>
      <c r="ER16" s="85"/>
      <c r="ES16" s="85"/>
      <c r="ET16" s="85"/>
      <c r="EU16" s="85"/>
    </row>
    <row r="17" spans="1:161" ht="9" customHeight="1" x14ac:dyDescent="0.25">
      <c r="A17" s="182" t="s">
        <v>78</v>
      </c>
      <c r="B17" s="273" t="s">
        <v>294</v>
      </c>
      <c r="C17" s="273" t="s">
        <v>294</v>
      </c>
      <c r="D17" s="273" t="s">
        <v>294</v>
      </c>
      <c r="E17" s="273" t="s">
        <v>294</v>
      </c>
      <c r="F17" s="273" t="s">
        <v>294</v>
      </c>
      <c r="G17" s="273" t="s">
        <v>294</v>
      </c>
      <c r="H17" s="273" t="s">
        <v>294</v>
      </c>
      <c r="I17" s="273" t="s">
        <v>294</v>
      </c>
      <c r="J17" s="273" t="s">
        <v>294</v>
      </c>
      <c r="K17" s="273" t="s">
        <v>294</v>
      </c>
      <c r="L17" s="273" t="s">
        <v>294</v>
      </c>
      <c r="M17" s="273" t="s">
        <v>294</v>
      </c>
      <c r="N17" s="273" t="s">
        <v>294</v>
      </c>
      <c r="O17" s="273" t="s">
        <v>294</v>
      </c>
      <c r="P17" s="273" t="s">
        <v>294</v>
      </c>
      <c r="Q17" s="273" t="s">
        <v>294</v>
      </c>
      <c r="R17" s="273" t="s">
        <v>294</v>
      </c>
      <c r="S17" s="273" t="s">
        <v>294</v>
      </c>
      <c r="T17" s="273" t="s">
        <v>294</v>
      </c>
      <c r="U17" s="273" t="s">
        <v>294</v>
      </c>
      <c r="V17" s="182" t="s">
        <v>294</v>
      </c>
      <c r="W17" s="273" t="s">
        <v>294</v>
      </c>
      <c r="X17" s="273" t="s">
        <v>294</v>
      </c>
      <c r="Y17" s="273" t="s">
        <v>294</v>
      </c>
      <c r="Z17" s="273" t="s">
        <v>294</v>
      </c>
      <c r="AA17" s="273" t="s">
        <v>294</v>
      </c>
      <c r="AB17" s="273" t="s">
        <v>294</v>
      </c>
      <c r="AC17" s="273" t="s">
        <v>294</v>
      </c>
      <c r="AD17" s="273" t="s">
        <v>294</v>
      </c>
      <c r="AE17" s="273" t="s">
        <v>294</v>
      </c>
      <c r="AF17" s="273" t="s">
        <v>294</v>
      </c>
      <c r="AG17" s="273" t="s">
        <v>294</v>
      </c>
      <c r="AH17" s="273" t="s">
        <v>294</v>
      </c>
      <c r="AI17" s="273" t="s">
        <v>294</v>
      </c>
      <c r="AJ17" s="273" t="s">
        <v>294</v>
      </c>
      <c r="AK17" s="273" t="s">
        <v>294</v>
      </c>
      <c r="AL17" s="273" t="s">
        <v>294</v>
      </c>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c r="BK17" s="273"/>
      <c r="BL17" s="273"/>
      <c r="BM17" s="273"/>
      <c r="BN17" s="273"/>
      <c r="BO17" s="273"/>
      <c r="BP17" s="273"/>
      <c r="BQ17" s="273"/>
      <c r="BR17" s="273"/>
      <c r="BS17" s="273"/>
      <c r="BT17" s="273"/>
      <c r="BU17" s="273"/>
      <c r="BV17" s="273"/>
      <c r="BW17" s="273"/>
      <c r="BX17" s="273"/>
      <c r="BY17" s="273"/>
      <c r="BZ17" s="273"/>
      <c r="CA17" s="273"/>
      <c r="CB17" s="273"/>
      <c r="CC17" s="273"/>
      <c r="CD17" s="273"/>
      <c r="CE17" s="273"/>
      <c r="CF17" s="273"/>
      <c r="CG17" s="273"/>
      <c r="CH17" s="273"/>
      <c r="CI17" s="273"/>
      <c r="CJ17" s="273"/>
      <c r="CK17" s="273"/>
      <c r="CL17" s="273"/>
      <c r="CM17" s="273"/>
      <c r="CN17" s="273"/>
      <c r="CO17" s="273"/>
      <c r="CP17" s="273"/>
      <c r="CQ17" s="273"/>
      <c r="CR17" s="273"/>
      <c r="CS17" s="273"/>
      <c r="CT17" s="273"/>
      <c r="CU17" s="273"/>
      <c r="CV17" s="273"/>
      <c r="CW17" s="273"/>
      <c r="CX17" s="273"/>
      <c r="CY17" s="273"/>
      <c r="CZ17" s="273"/>
      <c r="DA17" s="273"/>
      <c r="DB17" s="273"/>
      <c r="DC17" s="273"/>
      <c r="DD17" s="273"/>
      <c r="DE17" s="273"/>
      <c r="DF17" s="273"/>
      <c r="DG17" s="273"/>
      <c r="DH17" s="273"/>
      <c r="DI17" s="273"/>
      <c r="DJ17" s="273"/>
      <c r="DK17" s="273"/>
      <c r="DL17" s="273"/>
      <c r="DM17" s="273"/>
      <c r="DN17" s="273"/>
      <c r="DO17" s="273"/>
      <c r="DP17" s="273"/>
      <c r="DQ17" s="273"/>
      <c r="DR17" s="273"/>
      <c r="DS17" s="273"/>
      <c r="DT17" s="273"/>
      <c r="DU17" s="273"/>
      <c r="DV17" s="273"/>
      <c r="DW17" s="273"/>
      <c r="DX17" s="273"/>
      <c r="DY17" s="273"/>
      <c r="DZ17" s="273"/>
      <c r="EA17" s="273"/>
      <c r="EB17" s="273"/>
      <c r="EC17" s="273"/>
      <c r="ED17" s="273"/>
      <c r="EE17" s="273"/>
      <c r="EF17" s="273"/>
      <c r="EG17" s="273"/>
      <c r="EH17" s="273"/>
      <c r="EI17" s="273"/>
      <c r="EJ17" s="273"/>
      <c r="EK17" s="273"/>
      <c r="EL17" s="273"/>
      <c r="EM17" s="273"/>
      <c r="EN17" s="273"/>
      <c r="EO17" s="273"/>
      <c r="EP17" s="273"/>
      <c r="EQ17" s="273"/>
      <c r="ER17" s="273"/>
      <c r="ES17" s="273"/>
      <c r="ET17" s="273"/>
      <c r="EU17" s="273"/>
      <c r="EV17" s="272"/>
      <c r="EW17" s="272"/>
      <c r="EX17" s="272"/>
      <c r="EY17" s="272"/>
      <c r="EZ17" s="272"/>
      <c r="FA17" s="272"/>
      <c r="FB17" s="272"/>
      <c r="FC17" s="272"/>
      <c r="FD17" s="272"/>
      <c r="FE17" s="272"/>
    </row>
    <row r="18" spans="1:161" ht="11.25" customHeight="1" x14ac:dyDescent="0.25">
      <c r="A18" s="253" t="s">
        <v>458</v>
      </c>
      <c r="B18" s="120">
        <v>1.3599999999999997</v>
      </c>
      <c r="C18" s="120">
        <v>1.8995000000000071</v>
      </c>
      <c r="D18" s="120">
        <v>0</v>
      </c>
      <c r="E18" s="120">
        <v>0.92719999999998781</v>
      </c>
      <c r="F18" s="120">
        <v>-1.9179999999999993</v>
      </c>
      <c r="G18" s="120">
        <v>-1.0499999999999963</v>
      </c>
      <c r="H18" s="120">
        <v>1.0448000000000024</v>
      </c>
      <c r="I18" s="120">
        <v>0</v>
      </c>
      <c r="J18" s="120">
        <v>-0.27120000000000932</v>
      </c>
      <c r="K18" s="120">
        <v>2.0621999999999976</v>
      </c>
      <c r="L18" s="120">
        <v>3.8588000000000102</v>
      </c>
      <c r="M18" s="120">
        <v>3.0097999999999971</v>
      </c>
      <c r="N18" s="120">
        <v>0</v>
      </c>
      <c r="O18" s="120">
        <v>2.4799999999999955</v>
      </c>
      <c r="P18" s="120">
        <v>0.85999999999998922</v>
      </c>
      <c r="Q18" s="120">
        <v>0.79999999999999571</v>
      </c>
      <c r="R18" s="120">
        <v>-1.1500000000000021</v>
      </c>
      <c r="S18" s="120">
        <v>-8.0000000000002763E-2</v>
      </c>
      <c r="T18" s="120">
        <v>3.4132999999999978</v>
      </c>
      <c r="U18" s="120">
        <v>0.33730000000000226</v>
      </c>
      <c r="V18" s="120">
        <v>0.74019999999999175</v>
      </c>
      <c r="W18" s="120">
        <v>4.3784999999999963</v>
      </c>
      <c r="X18" s="120">
        <v>2.3400000000009791E-2</v>
      </c>
      <c r="Y18" s="120">
        <v>-0.40940000000000343</v>
      </c>
      <c r="Z18" s="120">
        <v>1.3875000000000111</v>
      </c>
      <c r="AA18" s="120">
        <v>3.7499999999994316E-2</v>
      </c>
      <c r="AB18" s="120">
        <v>2.2647999999999975</v>
      </c>
      <c r="AC18" s="120">
        <v>-3.9106000000000001</v>
      </c>
      <c r="AD18" s="120">
        <v>7.6433000000000053</v>
      </c>
      <c r="AE18" s="120">
        <v>0.15839999999999346</v>
      </c>
      <c r="AF18" s="120">
        <v>4.685800000000004</v>
      </c>
      <c r="AG18" s="120">
        <v>0.59999999999999076</v>
      </c>
      <c r="AH18" s="120">
        <v>0</v>
      </c>
      <c r="AI18" s="120">
        <v>0</v>
      </c>
      <c r="AJ18" s="120">
        <v>0.7098999999999992</v>
      </c>
      <c r="AK18" s="120">
        <v>2.9169999999999945</v>
      </c>
      <c r="AL18" s="120">
        <v>3.992299999999998</v>
      </c>
    </row>
    <row r="19" spans="1:161" ht="11.25" customHeight="1" x14ac:dyDescent="0.25">
      <c r="A19" s="253" t="s">
        <v>459</v>
      </c>
      <c r="B19" s="120">
        <v>5.4499999999999993</v>
      </c>
      <c r="C19" s="120">
        <v>0.8399000000000012</v>
      </c>
      <c r="D19" s="120">
        <v>4.529999999999986</v>
      </c>
      <c r="E19" s="120">
        <v>0.81610000000001426</v>
      </c>
      <c r="F19" s="120">
        <v>-0.1637000000000049</v>
      </c>
      <c r="G19" s="120">
        <v>3.8299999999999987</v>
      </c>
      <c r="H19" s="120">
        <v>6.9999999999993123E-2</v>
      </c>
      <c r="I19" s="120">
        <v>3.1520999999999857</v>
      </c>
      <c r="J19" s="120">
        <v>-2.844899999999992</v>
      </c>
      <c r="K19" s="120">
        <v>-3.427300000000002</v>
      </c>
      <c r="L19" s="120">
        <v>-1.6966000000000006</v>
      </c>
      <c r="M19" s="120">
        <v>2.2136999999999993</v>
      </c>
      <c r="N19" s="120">
        <v>3.7481999999999926</v>
      </c>
      <c r="O19" s="120">
        <v>-2.6300000000000021</v>
      </c>
      <c r="P19" s="120">
        <v>-0.46880000000000716</v>
      </c>
      <c r="Q19" s="120">
        <v>0.2000000000000007</v>
      </c>
      <c r="R19" s="120">
        <v>2.6610000000000067</v>
      </c>
      <c r="S19" s="120">
        <v>2.4436999999999989</v>
      </c>
      <c r="T19" s="120">
        <v>-6.1786000000000065</v>
      </c>
      <c r="U19" s="120">
        <v>-8.0587</v>
      </c>
      <c r="V19" s="120">
        <v>1.3226000000000004</v>
      </c>
      <c r="W19" s="120">
        <v>-0.10869999999999706</v>
      </c>
      <c r="X19" s="120">
        <v>-0.16049999999999845</v>
      </c>
      <c r="Y19" s="120">
        <v>-0.18339999999999934</v>
      </c>
      <c r="Z19" s="120">
        <v>1.0934999999999944</v>
      </c>
      <c r="AA19" s="120">
        <v>-0.74939999999999996</v>
      </c>
      <c r="AB19" s="120">
        <v>0.16370000000000476</v>
      </c>
      <c r="AC19" s="120">
        <v>7.5684999999999976</v>
      </c>
      <c r="AD19" s="120">
        <v>-13.849499999999997</v>
      </c>
      <c r="AE19" s="120">
        <v>0.2239999999999969</v>
      </c>
      <c r="AF19" s="120">
        <v>1.9320000000000108</v>
      </c>
      <c r="AG19" s="120">
        <v>0</v>
      </c>
      <c r="AH19" s="120">
        <v>0.60000000000000475</v>
      </c>
      <c r="AI19" s="120">
        <v>6.8781999999999854</v>
      </c>
      <c r="AJ19" s="120">
        <v>-8.7258999999999887</v>
      </c>
      <c r="AK19" s="120">
        <v>1.7343000000000066</v>
      </c>
      <c r="AL19" s="120">
        <v>-1.2226999999999952</v>
      </c>
    </row>
    <row r="20" spans="1:161" ht="11.25" customHeight="1" x14ac:dyDescent="0.25">
      <c r="A20" s="253" t="s">
        <v>460</v>
      </c>
      <c r="B20" s="120">
        <v>-0.63999999999999202</v>
      </c>
      <c r="C20" s="120">
        <v>-0.41200000000000142</v>
      </c>
      <c r="D20" s="120">
        <v>0</v>
      </c>
      <c r="E20" s="120">
        <v>1.0299999999999898</v>
      </c>
      <c r="F20" s="120">
        <v>0.90200000000000835</v>
      </c>
      <c r="G20" s="120">
        <v>1.4999999999999896</v>
      </c>
      <c r="H20" s="120">
        <v>1.5883000000000158</v>
      </c>
      <c r="I20" s="120">
        <v>0</v>
      </c>
      <c r="J20" s="120">
        <v>1.4821999999999926</v>
      </c>
      <c r="K20" s="120">
        <v>1.0807999999999995</v>
      </c>
      <c r="L20" s="120">
        <v>-6.2700000000002171E-2</v>
      </c>
      <c r="M20" s="120">
        <v>1.8688000000000065</v>
      </c>
      <c r="N20" s="120">
        <v>0</v>
      </c>
      <c r="O20" s="120">
        <v>2.5700000000000016</v>
      </c>
      <c r="P20" s="120">
        <v>0.99769999999999803</v>
      </c>
      <c r="Q20" s="120">
        <v>-0.29999999999999732</v>
      </c>
      <c r="R20" s="120">
        <v>-3.598800000000002</v>
      </c>
      <c r="S20" s="120">
        <v>-1.1870000000000076</v>
      </c>
      <c r="T20" s="120">
        <v>-8.6299999999997073E-2</v>
      </c>
      <c r="U20" s="120">
        <v>0.28580000000000616</v>
      </c>
      <c r="V20" s="120">
        <v>0.78729999999999578</v>
      </c>
      <c r="W20" s="120">
        <v>-3.1765000000000065</v>
      </c>
      <c r="X20" s="120">
        <v>-0.10690000000000328</v>
      </c>
      <c r="Y20" s="120">
        <v>-0.16259999999999908</v>
      </c>
      <c r="Z20" s="120">
        <v>-1.5067999999999937</v>
      </c>
      <c r="AA20" s="120">
        <v>0.74860000000000138</v>
      </c>
      <c r="AB20" s="120">
        <v>-4.9799999999990574E-2</v>
      </c>
      <c r="AC20" s="120">
        <v>1.2553999999999961</v>
      </c>
      <c r="AD20" s="120">
        <v>3.5427000000000111</v>
      </c>
      <c r="AE20" s="120">
        <v>5.310000000000234E-2</v>
      </c>
      <c r="AF20" s="120">
        <v>-1.8322000000000012</v>
      </c>
      <c r="AG20" s="120">
        <v>-2.5900000000000052</v>
      </c>
      <c r="AH20" s="120">
        <v>0</v>
      </c>
      <c r="AI20" s="120">
        <v>0</v>
      </c>
      <c r="AJ20" s="120">
        <v>0.48109999999999881</v>
      </c>
      <c r="AK20" s="120">
        <v>-1.9521000000000042</v>
      </c>
      <c r="AL20" s="120">
        <v>-0.76960000000000939</v>
      </c>
    </row>
    <row r="21" spans="1:161" ht="11.25" customHeight="1" x14ac:dyDescent="0.25">
      <c r="A21" s="253" t="s">
        <v>461</v>
      </c>
      <c r="B21" s="120">
        <v>-5.7000000000000091</v>
      </c>
      <c r="C21" s="120">
        <v>0.44979999999998815</v>
      </c>
      <c r="D21" s="120">
        <v>0</v>
      </c>
      <c r="E21" s="120">
        <v>0.49479999999999696</v>
      </c>
      <c r="F21" s="120">
        <v>1.2499000000000073</v>
      </c>
      <c r="G21" s="120">
        <v>8.9999999999990116E-2</v>
      </c>
      <c r="H21" s="120">
        <v>-0.19300000000000006</v>
      </c>
      <c r="I21" s="120">
        <v>0</v>
      </c>
      <c r="J21" s="120">
        <v>0.8869000000000038</v>
      </c>
      <c r="K21" s="120">
        <v>2.6307000000000147</v>
      </c>
      <c r="L21" s="120">
        <v>0.81680000000000264</v>
      </c>
      <c r="M21" s="120">
        <v>0.74060000000000603</v>
      </c>
      <c r="N21" s="120">
        <v>0</v>
      </c>
      <c r="O21" s="120">
        <v>3.8399999999999963</v>
      </c>
      <c r="P21" s="120">
        <v>-4.8664000000000085</v>
      </c>
      <c r="Q21" s="120">
        <v>1.299999999999996</v>
      </c>
      <c r="R21" s="120">
        <v>0.9039999999999937</v>
      </c>
      <c r="S21" s="120">
        <v>0.46320000000000372</v>
      </c>
      <c r="T21" s="120">
        <v>1.73769999999999</v>
      </c>
      <c r="U21" s="120">
        <v>0.31319999999999087</v>
      </c>
      <c r="V21" s="120">
        <v>0.82899999999999774</v>
      </c>
      <c r="W21" s="120">
        <v>-1.7094000000000005</v>
      </c>
      <c r="X21" s="120">
        <v>5.4000000000013117E-3</v>
      </c>
      <c r="Y21" s="120">
        <v>-0.16739999999998983</v>
      </c>
      <c r="Z21" s="120">
        <v>4.2399999999993075E-2</v>
      </c>
      <c r="AA21" s="120">
        <v>1.7562000000000091</v>
      </c>
      <c r="AB21" s="120">
        <v>4.1427000000000058</v>
      </c>
      <c r="AC21" s="120">
        <v>3.6647000000000074</v>
      </c>
      <c r="AD21" s="120">
        <v>-13.720800000000001</v>
      </c>
      <c r="AE21" s="120">
        <v>4.0499999999993166E-2</v>
      </c>
      <c r="AF21" s="120">
        <v>4.2121000000000022</v>
      </c>
      <c r="AG21" s="120">
        <v>3.5600000000000174</v>
      </c>
      <c r="AH21" s="120">
        <v>0</v>
      </c>
      <c r="AI21" s="120">
        <v>0</v>
      </c>
      <c r="AJ21" s="120">
        <v>0.45500000000001245</v>
      </c>
      <c r="AK21" s="120">
        <v>-0.79860000000000797</v>
      </c>
      <c r="AL21" s="120">
        <v>-0.59590000000000298</v>
      </c>
    </row>
    <row r="22" spans="1:161" ht="11.25" customHeight="1" x14ac:dyDescent="0.25">
      <c r="A22" s="253" t="s">
        <v>462</v>
      </c>
      <c r="B22" s="120">
        <v>1.2299999999999989</v>
      </c>
      <c r="C22" s="120">
        <v>0.80370000000000785</v>
      </c>
      <c r="D22" s="120">
        <v>2.364999999999994</v>
      </c>
      <c r="E22" s="120">
        <v>0.82649999999999879</v>
      </c>
      <c r="F22" s="120">
        <v>0.89520000000000532</v>
      </c>
      <c r="G22" s="120">
        <v>5.6600000000000028</v>
      </c>
      <c r="H22" s="120">
        <v>1.3514999999999877</v>
      </c>
      <c r="I22" s="120">
        <v>3.1150000000000007</v>
      </c>
      <c r="J22" s="120">
        <v>-2.0387000000000102</v>
      </c>
      <c r="K22" s="120">
        <v>0.326599999999997</v>
      </c>
      <c r="L22" s="120">
        <v>0.44709999999999439</v>
      </c>
      <c r="M22" s="120">
        <v>2.1287000000000003</v>
      </c>
      <c r="N22" s="120">
        <v>9.0743000000000062</v>
      </c>
      <c r="O22" s="120">
        <v>0.83999999999999531</v>
      </c>
      <c r="P22" s="120">
        <v>1.230000000000006</v>
      </c>
      <c r="Q22" s="120">
        <v>1.4191999999999934</v>
      </c>
      <c r="R22" s="120">
        <v>1.612900000000012</v>
      </c>
      <c r="S22" s="120">
        <v>1.9538000000000004</v>
      </c>
      <c r="T22" s="120">
        <v>1.6968000000000025</v>
      </c>
      <c r="U22" s="120">
        <v>0.86310000000001164</v>
      </c>
      <c r="V22" s="120">
        <v>0.84439999999998994</v>
      </c>
      <c r="W22" s="120">
        <v>1.1269000000000016</v>
      </c>
      <c r="X22" s="120">
        <v>7.1093000000000099</v>
      </c>
      <c r="Y22" s="120">
        <v>-2.6067999999999931</v>
      </c>
      <c r="Z22" s="120">
        <v>0.95940000000000591</v>
      </c>
      <c r="AA22" s="120">
        <v>0.79839999999999178</v>
      </c>
      <c r="AB22" s="120">
        <v>0.14119999999999616</v>
      </c>
      <c r="AC22" s="120">
        <v>-1.3707999999999982</v>
      </c>
      <c r="AD22" s="120">
        <v>2.5488000000000031</v>
      </c>
      <c r="AE22" s="120">
        <v>0.9272000000000008</v>
      </c>
      <c r="AF22" s="120">
        <v>1.4931999999999941</v>
      </c>
      <c r="AG22" s="120">
        <v>6.7600000000000051</v>
      </c>
      <c r="AH22" s="120">
        <v>3.1247000000000069</v>
      </c>
      <c r="AI22" s="120">
        <v>4.4070999999999954</v>
      </c>
      <c r="AJ22" s="120">
        <v>1.2223000000000055</v>
      </c>
      <c r="AK22" s="120">
        <v>2.1538999999999988</v>
      </c>
      <c r="AL22" s="120">
        <v>2.0509000000000137</v>
      </c>
    </row>
    <row r="23" spans="1:161" ht="11.25" customHeight="1" x14ac:dyDescent="0.25">
      <c r="A23" s="253" t="s">
        <v>463</v>
      </c>
      <c r="B23" s="120">
        <v>4.2399999999999993</v>
      </c>
      <c r="C23" s="120">
        <v>-1.1179999999999917</v>
      </c>
      <c r="D23" s="120">
        <v>0</v>
      </c>
      <c r="E23" s="120">
        <v>0.54199999999999726</v>
      </c>
      <c r="F23" s="120">
        <v>0.91419999999999579</v>
      </c>
      <c r="G23" s="120">
        <v>0.41000000000000159</v>
      </c>
      <c r="H23" s="120">
        <v>0.84169999999998535</v>
      </c>
      <c r="I23" s="120">
        <v>0</v>
      </c>
      <c r="J23" s="120">
        <v>2.4856999999999889</v>
      </c>
      <c r="K23" s="120">
        <v>-1.6851999999999965</v>
      </c>
      <c r="L23" s="120">
        <v>0.98299999999999998</v>
      </c>
      <c r="M23" s="120">
        <v>1.6017999999999997</v>
      </c>
      <c r="N23" s="120">
        <v>0</v>
      </c>
      <c r="O23" s="120">
        <v>-8.9999999999997193E-2</v>
      </c>
      <c r="P23" s="120">
        <v>-2.1000000000000081</v>
      </c>
      <c r="Q23" s="120">
        <v>0.49999999999998612</v>
      </c>
      <c r="R23" s="120">
        <v>-0.86969999999999059</v>
      </c>
      <c r="S23" s="120">
        <v>-2.3519999999999928</v>
      </c>
      <c r="T23" s="120">
        <v>0.68369999999999487</v>
      </c>
      <c r="U23" s="120">
        <v>0.3007999999999908</v>
      </c>
      <c r="V23" s="120">
        <v>1.3671</v>
      </c>
      <c r="W23" s="120">
        <v>3.3873000000000077</v>
      </c>
      <c r="X23" s="120">
        <v>0.54579999999999484</v>
      </c>
      <c r="Y23" s="120">
        <v>-1.1002999999999949</v>
      </c>
      <c r="Z23" s="120">
        <v>-0.45159999999999767</v>
      </c>
      <c r="AA23" s="120">
        <v>0.42390000000001593</v>
      </c>
      <c r="AB23" s="120">
        <v>0.31000000000001515</v>
      </c>
      <c r="AC23" s="120">
        <v>-1.6200000000000065</v>
      </c>
      <c r="AD23" s="120">
        <v>-3.9592999999999936</v>
      </c>
      <c r="AE23" s="120">
        <v>0.96000000000000096</v>
      </c>
      <c r="AF23" s="120">
        <v>-1.3801000000000034</v>
      </c>
      <c r="AG23" s="120">
        <v>1.6999999999999929</v>
      </c>
      <c r="AH23" s="120">
        <v>0</v>
      </c>
      <c r="AI23" s="120">
        <v>0</v>
      </c>
      <c r="AJ23" s="120">
        <v>1.1699999999999973</v>
      </c>
      <c r="AK23" s="120">
        <v>-0.36000000000000754</v>
      </c>
      <c r="AL23" s="120">
        <v>1.5700000000000061</v>
      </c>
    </row>
    <row r="24" spans="1:161" ht="11.25" customHeight="1" x14ac:dyDescent="0.25">
      <c r="A24" s="253" t="s">
        <v>464</v>
      </c>
      <c r="B24" s="120">
        <v>2.2999999999999936</v>
      </c>
      <c r="C24" s="120">
        <v>6.4796000000000058</v>
      </c>
      <c r="D24" s="120">
        <v>0</v>
      </c>
      <c r="E24" s="120">
        <v>1.1419000000000015</v>
      </c>
      <c r="F24" s="120">
        <v>2.1254000000000084</v>
      </c>
      <c r="G24" s="120">
        <v>-2.9000000000000066</v>
      </c>
      <c r="H24" s="120">
        <v>1.0842999999999896</v>
      </c>
      <c r="I24" s="120">
        <v>0</v>
      </c>
      <c r="J24" s="120">
        <v>-0.2599000000000023</v>
      </c>
      <c r="K24" s="120">
        <v>0.33579999999999566</v>
      </c>
      <c r="L24" s="120">
        <v>0.68649999999999645</v>
      </c>
      <c r="M24" s="120">
        <v>2.0640999999999949</v>
      </c>
      <c r="N24" s="120">
        <v>0</v>
      </c>
      <c r="O24" s="120">
        <v>1.2499999999999896</v>
      </c>
      <c r="P24" s="120">
        <v>-2.8553999999999982</v>
      </c>
      <c r="Q24" s="120">
        <v>0.49999999999998135</v>
      </c>
      <c r="R24" s="120">
        <v>2.5657999999999963</v>
      </c>
      <c r="S24" s="120">
        <v>2.2412999999999994</v>
      </c>
      <c r="T24" s="120">
        <v>0.64260000000000217</v>
      </c>
      <c r="U24" s="120">
        <v>0.31879999999999747</v>
      </c>
      <c r="V24" s="120">
        <v>1.3616000000000124</v>
      </c>
      <c r="W24" s="120">
        <v>2.8874000000000057</v>
      </c>
      <c r="X24" s="120">
        <v>-0.1206999999999895</v>
      </c>
      <c r="Y24" s="120">
        <v>0.50390000000000335</v>
      </c>
      <c r="Z24" s="120">
        <v>1.7126000000000059</v>
      </c>
      <c r="AA24" s="120">
        <v>0.83530000000001126</v>
      </c>
      <c r="AB24" s="120">
        <v>1.0200000000000076</v>
      </c>
      <c r="AC24" s="120">
        <v>-5.6857999999999898</v>
      </c>
      <c r="AD24" s="120">
        <v>-1.1073999999999955</v>
      </c>
      <c r="AE24" s="120">
        <v>-0.40310000000000112</v>
      </c>
      <c r="AF24" s="120">
        <v>3.4091999999999936</v>
      </c>
      <c r="AG24" s="120">
        <v>3.88</v>
      </c>
      <c r="AH24" s="120">
        <v>0</v>
      </c>
      <c r="AI24" s="120">
        <v>0</v>
      </c>
      <c r="AJ24" s="120">
        <v>1.8361999999999985</v>
      </c>
      <c r="AK24" s="120">
        <v>2.8776999999999981</v>
      </c>
      <c r="AL24" s="120">
        <v>0.68010000000000514</v>
      </c>
    </row>
    <row r="25" spans="1:161" ht="11.25" customHeight="1" x14ac:dyDescent="0.25">
      <c r="A25" s="253" t="s">
        <v>465</v>
      </c>
      <c r="B25" s="120">
        <v>-1.4399999999999957</v>
      </c>
      <c r="C25" s="120">
        <v>-1.9312000000000058</v>
      </c>
      <c r="D25" s="120">
        <v>4.0715000000000083</v>
      </c>
      <c r="E25" s="120">
        <v>0.65569999999999262</v>
      </c>
      <c r="F25" s="120">
        <v>10.139999999999986</v>
      </c>
      <c r="G25" s="120">
        <v>-0.10000000000000128</v>
      </c>
      <c r="H25" s="120">
        <v>0.84740000000001547</v>
      </c>
      <c r="I25" s="120">
        <v>1.9999999999999976</v>
      </c>
      <c r="J25" s="120">
        <v>-2.7620000000000013</v>
      </c>
      <c r="K25" s="120">
        <v>-1.4119000000000028</v>
      </c>
      <c r="L25" s="120">
        <v>1.8300000000000058</v>
      </c>
      <c r="M25" s="120">
        <v>1.827899999999985</v>
      </c>
      <c r="N25" s="120">
        <v>-0.41899999999999793</v>
      </c>
      <c r="O25" s="120">
        <v>4.0699999999999976</v>
      </c>
      <c r="P25" s="120">
        <v>0.5805000000000089</v>
      </c>
      <c r="Q25" s="120">
        <v>0.29110000000000863</v>
      </c>
      <c r="R25" s="120">
        <v>-0.76599999999999635</v>
      </c>
      <c r="S25" s="120">
        <v>1.0308999999999942</v>
      </c>
      <c r="T25" s="120">
        <v>0.12959999999999228</v>
      </c>
      <c r="U25" s="120">
        <v>7.5372999999999895</v>
      </c>
      <c r="V25" s="120">
        <v>0.96430000000001304</v>
      </c>
      <c r="W25" s="120">
        <v>0.520199999999994</v>
      </c>
      <c r="X25" s="120">
        <v>0.32000000000000722</v>
      </c>
      <c r="Y25" s="120">
        <v>-3.0643000000000002</v>
      </c>
      <c r="Z25" s="120">
        <v>-0.68749999999999922</v>
      </c>
      <c r="AA25" s="120">
        <v>0.99499999999999034</v>
      </c>
      <c r="AB25" s="120">
        <v>1.4659999999999962</v>
      </c>
      <c r="AC25" s="120">
        <v>1.537199999999993</v>
      </c>
      <c r="AD25" s="120">
        <v>1.7104999999999946</v>
      </c>
      <c r="AE25" s="120">
        <v>-8.3000000000004473E-2</v>
      </c>
      <c r="AF25" s="120">
        <v>1.3446000000000038</v>
      </c>
      <c r="AG25" s="120">
        <v>0.5800000000000004</v>
      </c>
      <c r="AH25" s="120">
        <v>29.50719999999999</v>
      </c>
      <c r="AI25" s="120">
        <v>0.78679999999999772</v>
      </c>
      <c r="AJ25" s="120">
        <v>0.13860000000002082</v>
      </c>
      <c r="AK25" s="120">
        <v>-6.8957000000000059</v>
      </c>
      <c r="AL25" s="120">
        <v>0.46889999999999693</v>
      </c>
    </row>
    <row r="26" spans="1:161" ht="11.25" customHeight="1" x14ac:dyDescent="0.25">
      <c r="A26" s="253" t="s">
        <v>466</v>
      </c>
      <c r="B26" s="120">
        <v>1.8599999999999943</v>
      </c>
      <c r="C26" s="120">
        <v>0.3813000000000008</v>
      </c>
      <c r="D26" s="120">
        <v>0</v>
      </c>
      <c r="E26" s="120">
        <v>0.96059999999999357</v>
      </c>
      <c r="F26" s="120">
        <v>0.43999999999999134</v>
      </c>
      <c r="G26" s="120">
        <v>1.7899999999999985</v>
      </c>
      <c r="H26" s="120">
        <v>1.0691000000000073</v>
      </c>
      <c r="I26" s="120">
        <v>0</v>
      </c>
      <c r="J26" s="120">
        <v>3.4639000000000033</v>
      </c>
      <c r="K26" s="120">
        <v>-0.30809999999999738</v>
      </c>
      <c r="L26" s="120">
        <v>0.66999999999998983</v>
      </c>
      <c r="M26" s="120">
        <v>0.67120000000000457</v>
      </c>
      <c r="N26" s="120">
        <v>0</v>
      </c>
      <c r="O26" s="120">
        <v>1.4300000000000037</v>
      </c>
      <c r="P26" s="120">
        <v>-0.2050000000000004</v>
      </c>
      <c r="Q26" s="120">
        <v>0.89999999999999125</v>
      </c>
      <c r="R26" s="120">
        <v>3.6000000000000032</v>
      </c>
      <c r="S26" s="120">
        <v>2.452700000000005</v>
      </c>
      <c r="T26" s="120">
        <v>0.88229999999999853</v>
      </c>
      <c r="U26" s="120">
        <v>0.36119999999998997</v>
      </c>
      <c r="V26" s="120">
        <v>-0.49770000000000031</v>
      </c>
      <c r="W26" s="120">
        <v>-2.9993999999999899</v>
      </c>
      <c r="X26" s="120">
        <v>2.4000000000000052</v>
      </c>
      <c r="Y26" s="120">
        <v>-0.13440000000000449</v>
      </c>
      <c r="Z26" s="120">
        <v>0.41370000000000973</v>
      </c>
      <c r="AA26" s="120">
        <v>0.61960000000001447</v>
      </c>
      <c r="AB26" s="120">
        <v>0.83780000000000832</v>
      </c>
      <c r="AC26" s="120">
        <v>-3.2762999999999987</v>
      </c>
      <c r="AD26" s="120">
        <v>2.2216000000000031</v>
      </c>
      <c r="AE26" s="120">
        <v>0.61699999999999522</v>
      </c>
      <c r="AF26" s="120">
        <v>1.0137999999999976</v>
      </c>
      <c r="AG26" s="120">
        <v>-0.61999999999999389</v>
      </c>
      <c r="AH26" s="120">
        <v>0</v>
      </c>
      <c r="AI26" s="120">
        <v>0</v>
      </c>
      <c r="AJ26" s="120">
        <v>0.69509999999999872</v>
      </c>
      <c r="AK26" s="120">
        <v>3.9654000000000154</v>
      </c>
      <c r="AL26" s="120">
        <v>1.1093999999999902</v>
      </c>
    </row>
    <row r="27" spans="1:161" ht="11.25" customHeight="1" x14ac:dyDescent="0.25">
      <c r="A27" s="253" t="s">
        <v>467</v>
      </c>
      <c r="B27" s="120">
        <v>-3.3699999999999979</v>
      </c>
      <c r="C27" s="120">
        <v>-7.3884999999999934</v>
      </c>
      <c r="D27" s="120">
        <v>0</v>
      </c>
      <c r="E27" s="120">
        <v>0.63620000000000398</v>
      </c>
      <c r="F27" s="120">
        <v>0.85000000000000009</v>
      </c>
      <c r="G27" s="120">
        <v>-2.6500000000000026</v>
      </c>
      <c r="H27" s="120">
        <v>-3.8800000000011187E-2</v>
      </c>
      <c r="I27" s="120">
        <v>0</v>
      </c>
      <c r="J27" s="120">
        <v>-1.2063000000000097</v>
      </c>
      <c r="K27" s="120">
        <v>-1.1801000000000017</v>
      </c>
      <c r="L27" s="120">
        <v>1.5800000000000063</v>
      </c>
      <c r="M27" s="120">
        <v>1.5826999999999931</v>
      </c>
      <c r="N27" s="120">
        <v>0</v>
      </c>
      <c r="O27" s="120">
        <v>-1.0700000000000094</v>
      </c>
      <c r="P27" s="120">
        <v>0.50170000000001114</v>
      </c>
      <c r="Q27" s="120">
        <v>0.20000000000000606</v>
      </c>
      <c r="R27" s="120">
        <v>1.2928000000000084</v>
      </c>
      <c r="S27" s="120">
        <v>2.7624999999999971</v>
      </c>
      <c r="T27" s="120">
        <v>-0.49199999999999938</v>
      </c>
      <c r="U27" s="120">
        <v>0.35840000000001027</v>
      </c>
      <c r="V27" s="120">
        <v>0.62519999999999432</v>
      </c>
      <c r="W27" s="120">
        <v>2.4899999999999998</v>
      </c>
      <c r="X27" s="120">
        <v>0.11369999999999209</v>
      </c>
      <c r="Y27" s="120">
        <v>-0.13999999999999685</v>
      </c>
      <c r="Z27" s="120">
        <v>1.6497999999999953</v>
      </c>
      <c r="AA27" s="120">
        <v>0.67459999999999676</v>
      </c>
      <c r="AB27" s="120">
        <v>1.1444000000000076</v>
      </c>
      <c r="AC27" s="120">
        <v>-1.1657999999999915</v>
      </c>
      <c r="AD27" s="120">
        <v>0.70879999999999654</v>
      </c>
      <c r="AE27" s="120">
        <v>0.52009999999999801</v>
      </c>
      <c r="AF27" s="120">
        <v>1.2941999999999987</v>
      </c>
      <c r="AG27" s="120">
        <v>6.8799999999999928</v>
      </c>
      <c r="AH27" s="120">
        <v>0</v>
      </c>
      <c r="AI27" s="120">
        <v>0</v>
      </c>
      <c r="AJ27" s="120">
        <v>-0.17190000000001016</v>
      </c>
      <c r="AK27" s="120">
        <v>0.68109999999999216</v>
      </c>
      <c r="AL27" s="120">
        <v>0.48050000000000065</v>
      </c>
    </row>
    <row r="28" spans="1:161" ht="11.25" customHeight="1" x14ac:dyDescent="0.25">
      <c r="A28" s="253" t="s">
        <v>468</v>
      </c>
      <c r="B28" s="120">
        <v>-0.76000000000000556</v>
      </c>
      <c r="C28" s="120">
        <v>-1.9088000000000018</v>
      </c>
      <c r="D28" s="120">
        <v>1.533599999999995</v>
      </c>
      <c r="E28" s="120">
        <v>0.88280000000000924</v>
      </c>
      <c r="F28" s="120">
        <v>0.74000000000001076</v>
      </c>
      <c r="G28" s="120">
        <v>1.4499999999999946</v>
      </c>
      <c r="H28" s="120">
        <v>0.12669999999999218</v>
      </c>
      <c r="I28" s="120">
        <v>2.8299999999999921</v>
      </c>
      <c r="J28" s="120">
        <v>0.51979999999999782</v>
      </c>
      <c r="K28" s="120">
        <v>1.2129999999999983</v>
      </c>
      <c r="L28" s="120">
        <v>1.69999999999999</v>
      </c>
      <c r="M28" s="120">
        <v>-2.3299999999998943E-2</v>
      </c>
      <c r="N28" s="120">
        <v>1.3236000000000065</v>
      </c>
      <c r="O28" s="120">
        <v>4.46</v>
      </c>
      <c r="P28" s="120">
        <v>2.4270999999999998</v>
      </c>
      <c r="Q28" s="120">
        <v>0.80479999999999929</v>
      </c>
      <c r="R28" s="120">
        <v>1.6215000000000086</v>
      </c>
      <c r="S28" s="120">
        <v>1.3636999999999944</v>
      </c>
      <c r="T28" s="120">
        <v>1.2134000000000023</v>
      </c>
      <c r="U28" s="120">
        <v>-1.2453000000000045</v>
      </c>
      <c r="V28" s="120">
        <v>0.69609999999999639</v>
      </c>
      <c r="W28" s="120">
        <v>1.314799999999992</v>
      </c>
      <c r="X28" s="120">
        <v>9.467099999999995</v>
      </c>
      <c r="Y28" s="120">
        <v>-0.43569999999999431</v>
      </c>
      <c r="Z28" s="120">
        <v>1.4059000000000079</v>
      </c>
      <c r="AA28" s="120">
        <v>0.97729999999999972</v>
      </c>
      <c r="AB28" s="120">
        <v>1.1064000000000016</v>
      </c>
      <c r="AC28" s="120">
        <v>4.2100000000000035</v>
      </c>
      <c r="AD28" s="120">
        <v>-1.3799999999999959</v>
      </c>
      <c r="AE28" s="120">
        <v>0.65559999999999552</v>
      </c>
      <c r="AF28" s="120">
        <v>2.3050000000000055</v>
      </c>
      <c r="AG28" s="120">
        <v>2.4899999999999936</v>
      </c>
      <c r="AH28" s="120">
        <v>-2.3457999999999988</v>
      </c>
      <c r="AI28" s="120">
        <v>9.1677</v>
      </c>
      <c r="AJ28" s="120">
        <v>1.3886000000000061</v>
      </c>
      <c r="AK28" s="120">
        <v>-0.63990000000000025</v>
      </c>
      <c r="AL28" s="120">
        <v>1.826599999999988</v>
      </c>
    </row>
    <row r="29" spans="1:161" ht="11.25" customHeight="1" x14ac:dyDescent="0.25">
      <c r="A29" s="253" t="s">
        <v>469</v>
      </c>
      <c r="B29" s="120">
        <v>3.150000000000011</v>
      </c>
      <c r="C29" s="120">
        <v>1.4073999999999929</v>
      </c>
      <c r="D29" s="120">
        <v>0</v>
      </c>
      <c r="E29" s="120">
        <v>0.80530000000000501</v>
      </c>
      <c r="F29" s="120">
        <v>1.1300000000000079</v>
      </c>
      <c r="G29" s="120">
        <v>3.2399999999999962</v>
      </c>
      <c r="H29" s="120">
        <v>0.75759999999999839</v>
      </c>
      <c r="I29" s="120">
        <v>0</v>
      </c>
      <c r="J29" s="120">
        <v>0.38050000000000095</v>
      </c>
      <c r="K29" s="120">
        <v>2.5668000000000015</v>
      </c>
      <c r="L29" s="120">
        <v>0.4999999999999859</v>
      </c>
      <c r="M29" s="120">
        <v>1.4742999999999986</v>
      </c>
      <c r="N29" s="120">
        <v>0</v>
      </c>
      <c r="O29" s="120">
        <v>0.81000000000000172</v>
      </c>
      <c r="P29" s="120">
        <v>3.1306000000000016</v>
      </c>
      <c r="Q29" s="120">
        <v>0.3999999999999993</v>
      </c>
      <c r="R29" s="120">
        <v>0.89449999999999352</v>
      </c>
      <c r="S29" s="120">
        <v>1.0100000000000084</v>
      </c>
      <c r="T29" s="120">
        <v>0.27749999999999808</v>
      </c>
      <c r="U29" s="120">
        <v>0.34360000000000779</v>
      </c>
      <c r="V29" s="120">
        <v>0.92120000000000202</v>
      </c>
      <c r="W29" s="120">
        <v>-0.10100000000000016</v>
      </c>
      <c r="X29" s="120">
        <v>0.66290000000000282</v>
      </c>
      <c r="Y29" s="120">
        <v>-0.59399999999999864</v>
      </c>
      <c r="Z29" s="120">
        <v>-2.166199999999999</v>
      </c>
      <c r="AA29" s="120">
        <v>0.67950000000002053</v>
      </c>
      <c r="AB29" s="120">
        <v>-0.4668999999999971</v>
      </c>
      <c r="AC29" s="120">
        <v>2.7902000000000116</v>
      </c>
      <c r="AD29" s="120">
        <v>0.89859999999999141</v>
      </c>
      <c r="AE29" s="120">
        <v>0.80730000000000057</v>
      </c>
      <c r="AF29" s="120">
        <v>1.1800000000000035</v>
      </c>
      <c r="AG29" s="120">
        <v>2.8999999999999964</v>
      </c>
      <c r="AH29" s="120">
        <v>0</v>
      </c>
      <c r="AI29" s="120">
        <v>0</v>
      </c>
      <c r="AJ29" s="120">
        <v>0.46370000000000605</v>
      </c>
      <c r="AK29" s="120">
        <v>1.2563999999999977</v>
      </c>
      <c r="AL29" s="120">
        <v>1.1540000000000172</v>
      </c>
    </row>
    <row r="30" spans="1:161" ht="11.25" customHeight="1" x14ac:dyDescent="0.25">
      <c r="A30" s="253" t="s">
        <v>470</v>
      </c>
      <c r="B30" s="120">
        <v>1.6799999999999982</v>
      </c>
      <c r="C30" s="120">
        <v>1.0288000000000113</v>
      </c>
      <c r="D30" s="120">
        <v>0</v>
      </c>
      <c r="E30" s="120">
        <v>0.25809999999998601</v>
      </c>
      <c r="F30" s="120">
        <v>0.38999999999999618</v>
      </c>
      <c r="G30" s="120">
        <v>2.350000000000013</v>
      </c>
      <c r="H30" s="120">
        <v>0.68830000000000113</v>
      </c>
      <c r="I30" s="120">
        <v>0</v>
      </c>
      <c r="J30" s="120">
        <v>10.770299999999992</v>
      </c>
      <c r="K30" s="120">
        <v>2.9233999999999933</v>
      </c>
      <c r="L30" s="120">
        <v>1.2000000000000015</v>
      </c>
      <c r="M30" s="120">
        <v>2.8122999999999876</v>
      </c>
      <c r="N30" s="120">
        <v>0</v>
      </c>
      <c r="O30" s="120">
        <v>-0.29999999999999849</v>
      </c>
      <c r="P30" s="120">
        <v>2.0580999999999987</v>
      </c>
      <c r="Q30" s="120">
        <v>-0.4000000000000008</v>
      </c>
      <c r="R30" s="120">
        <v>1.4186999999999894</v>
      </c>
      <c r="S30" s="120">
        <v>0.8460000000000002</v>
      </c>
      <c r="T30" s="120">
        <v>0.29559999999999659</v>
      </c>
      <c r="U30" s="120">
        <v>0.35470000000000212</v>
      </c>
      <c r="V30" s="120">
        <v>0.80549999999998456</v>
      </c>
      <c r="W30" s="120">
        <v>1.6618999999999999</v>
      </c>
      <c r="X30" s="120">
        <v>2.0000000000003602E-2</v>
      </c>
      <c r="Y30" s="120">
        <v>0.61709999999998677</v>
      </c>
      <c r="Z30" s="120">
        <v>0.28779999999999917</v>
      </c>
      <c r="AA30" s="120">
        <v>0.24900000000001596</v>
      </c>
      <c r="AB30" s="120">
        <v>1.032699999999994</v>
      </c>
      <c r="AC30" s="120">
        <v>4.8564000000000007</v>
      </c>
      <c r="AD30" s="120">
        <v>-2.8105999999999898</v>
      </c>
      <c r="AE30" s="120">
        <v>0.74090000000000522</v>
      </c>
      <c r="AF30" s="120">
        <v>4.1400000000000095</v>
      </c>
      <c r="AG30" s="120">
        <v>-0.32999999999999569</v>
      </c>
      <c r="AH30" s="120">
        <v>0</v>
      </c>
      <c r="AI30" s="120">
        <v>0</v>
      </c>
      <c r="AJ30" s="120">
        <v>1.0170999999999912</v>
      </c>
      <c r="AK30" s="120">
        <v>3.2750999999999975</v>
      </c>
      <c r="AL30" s="120">
        <v>1.9192999999999965</v>
      </c>
    </row>
    <row r="31" spans="1:161" ht="11.25" customHeight="1" x14ac:dyDescent="0.25">
      <c r="A31" s="253" t="s">
        <v>471</v>
      </c>
      <c r="B31" s="120">
        <v>-3.6200000000000023</v>
      </c>
      <c r="C31" s="120">
        <v>1.8578999999999961</v>
      </c>
      <c r="D31" s="120">
        <v>3.8891999999999998</v>
      </c>
      <c r="E31" s="120">
        <v>0.65209999999999535</v>
      </c>
      <c r="F31" s="120">
        <v>0.45999999999999425</v>
      </c>
      <c r="G31" s="120">
        <v>8.6500000000000075</v>
      </c>
      <c r="H31" s="120">
        <v>1.1335000000000026</v>
      </c>
      <c r="I31" s="120">
        <v>2.5099999999999922</v>
      </c>
      <c r="J31" s="120">
        <v>5.7555999999999932</v>
      </c>
      <c r="K31" s="120">
        <v>-1.048299999999996</v>
      </c>
      <c r="L31" s="120">
        <v>1.8999999999999893</v>
      </c>
      <c r="M31" s="120">
        <v>1.8256999999999948</v>
      </c>
      <c r="N31" s="120">
        <v>-1.9288999999999987</v>
      </c>
      <c r="O31" s="120">
        <v>-1.9299999999999966</v>
      </c>
      <c r="P31" s="120">
        <v>-3.1989000000000107</v>
      </c>
      <c r="Q31" s="120">
        <v>1.1611000000000116</v>
      </c>
      <c r="R31" s="120">
        <v>8.102100000000009</v>
      </c>
      <c r="S31" s="120">
        <v>-0.15949999999999331</v>
      </c>
      <c r="T31" s="120">
        <v>1.2480000000000051</v>
      </c>
      <c r="U31" s="120">
        <v>2.3354000000000106</v>
      </c>
      <c r="V31" s="120">
        <v>0.93579999999999397</v>
      </c>
      <c r="W31" s="120">
        <v>4.3600000000003414E-2</v>
      </c>
      <c r="X31" s="120">
        <v>1.9334000000000042</v>
      </c>
      <c r="Y31" s="120">
        <v>-1.5701999999999994</v>
      </c>
      <c r="Z31" s="120">
        <v>-1.9818000000000002</v>
      </c>
      <c r="AA31" s="120">
        <v>0.51179999999999415</v>
      </c>
      <c r="AB31" s="120">
        <v>-1.7143000000000008</v>
      </c>
      <c r="AC31" s="120">
        <v>-3.5922000000000081</v>
      </c>
      <c r="AD31" s="120">
        <v>-3.8663999999999992</v>
      </c>
      <c r="AE31" s="120">
        <v>0.83289999999999453</v>
      </c>
      <c r="AF31" s="120">
        <v>3.5047000000000059</v>
      </c>
      <c r="AG31" s="120">
        <v>-1.2399999999999909</v>
      </c>
      <c r="AH31" s="120">
        <v>1.6988000000000072</v>
      </c>
      <c r="AI31" s="120">
        <v>2.7534000000000023</v>
      </c>
      <c r="AJ31" s="120">
        <v>0.63999999999999102</v>
      </c>
      <c r="AK31" s="120">
        <v>2.498099999999996</v>
      </c>
      <c r="AL31" s="120">
        <v>0.20949999999999308</v>
      </c>
    </row>
    <row r="32" spans="1:161" ht="11.25" customHeight="1" x14ac:dyDescent="0.25">
      <c r="A32" s="253" t="s">
        <v>472</v>
      </c>
      <c r="B32" s="120">
        <v>-1.5200000000000007</v>
      </c>
      <c r="C32" s="120">
        <v>1.6915999999999911</v>
      </c>
      <c r="D32" s="120">
        <v>0</v>
      </c>
      <c r="E32" s="120">
        <v>0.87580000000000591</v>
      </c>
      <c r="F32" s="120">
        <v>0.75000000000000644</v>
      </c>
      <c r="G32" s="120">
        <v>1.6700000000000004</v>
      </c>
      <c r="H32" s="120">
        <v>0.62159999999999782</v>
      </c>
      <c r="I32" s="120">
        <v>0</v>
      </c>
      <c r="J32" s="120">
        <v>1.9692000000000074</v>
      </c>
      <c r="K32" s="120">
        <v>0.37160000000000121</v>
      </c>
      <c r="L32" s="120">
        <v>-0.2999999999999956</v>
      </c>
      <c r="M32" s="120">
        <v>-0.14880000000000168</v>
      </c>
      <c r="N32" s="120">
        <v>0</v>
      </c>
      <c r="O32" s="120">
        <v>-1.3000000000000005</v>
      </c>
      <c r="P32" s="120">
        <v>-2.2399999999999913</v>
      </c>
      <c r="Q32" s="120">
        <v>1.0999999999999943</v>
      </c>
      <c r="R32" s="120">
        <v>0.71000000000000241</v>
      </c>
      <c r="S32" s="120">
        <v>4.6702000000000021</v>
      </c>
      <c r="T32" s="120">
        <v>1.1690000000000058</v>
      </c>
      <c r="U32" s="120">
        <v>0.3290000000000004</v>
      </c>
      <c r="V32" s="120">
        <v>0.69509999999999517</v>
      </c>
      <c r="W32" s="120">
        <v>0.26880000000000642</v>
      </c>
      <c r="X32" s="120">
        <v>0.29269999999998847</v>
      </c>
      <c r="Y32" s="120">
        <v>-0.12569999999999887</v>
      </c>
      <c r="Z32" s="120">
        <v>8.0900000000004288E-2</v>
      </c>
      <c r="AA32" s="120">
        <v>1.3544999999999885</v>
      </c>
      <c r="AB32" s="120">
        <v>2.4021999999999886</v>
      </c>
      <c r="AC32" s="120">
        <v>-2.7128999999999981</v>
      </c>
      <c r="AD32" s="120">
        <v>-0.63750000000000195</v>
      </c>
      <c r="AE32" s="120">
        <v>1.1957000000000044</v>
      </c>
      <c r="AF32" s="120">
        <v>-1.2817999999999985</v>
      </c>
      <c r="AG32" s="120">
        <v>-0.30000000000000177</v>
      </c>
      <c r="AH32" s="120">
        <v>0</v>
      </c>
      <c r="AI32" s="120">
        <v>0</v>
      </c>
      <c r="AJ32" s="120">
        <v>0.40739999999999466</v>
      </c>
      <c r="AK32" s="120">
        <v>2.5155000000000123</v>
      </c>
      <c r="AL32" s="120">
        <v>-0.54119999999998969</v>
      </c>
    </row>
    <row r="33" spans="1:38" ht="11.25" customHeight="1" x14ac:dyDescent="0.25">
      <c r="A33" s="253" t="s">
        <v>473</v>
      </c>
      <c r="B33" s="120">
        <v>5.0799999999999974</v>
      </c>
      <c r="C33" s="120">
        <v>1.8072000000000088</v>
      </c>
      <c r="D33" s="120">
        <v>0</v>
      </c>
      <c r="E33" s="120">
        <v>0.86379999999998469</v>
      </c>
      <c r="F33" s="120">
        <v>0.94000000000001438</v>
      </c>
      <c r="G33" s="120">
        <v>3.6799999999999917</v>
      </c>
      <c r="H33" s="120">
        <v>1.8445000000000076</v>
      </c>
      <c r="I33" s="120">
        <v>0</v>
      </c>
      <c r="J33" s="120">
        <v>-1.1418000000000068</v>
      </c>
      <c r="K33" s="120">
        <v>3.1455000000000073</v>
      </c>
      <c r="L33" s="120">
        <v>5.8999999999999968</v>
      </c>
      <c r="M33" s="120">
        <v>1.6618000000000059</v>
      </c>
      <c r="N33" s="120">
        <v>0</v>
      </c>
      <c r="O33" s="120">
        <v>2.709999999999996</v>
      </c>
      <c r="P33" s="120">
        <v>2.5329000000000024</v>
      </c>
      <c r="Q33" s="120">
        <v>0.20000000000000309</v>
      </c>
      <c r="R33" s="120">
        <v>0.80270000000000319</v>
      </c>
      <c r="S33" s="120">
        <v>0.8026999999999973</v>
      </c>
      <c r="T33" s="120">
        <v>2.8987000000000096</v>
      </c>
      <c r="U33" s="120">
        <v>0.36469999999999364</v>
      </c>
      <c r="V33" s="120">
        <v>0.71990000000000054</v>
      </c>
      <c r="W33" s="120">
        <v>3.7740000000000169</v>
      </c>
      <c r="X33" s="120">
        <v>0.47669999999999657</v>
      </c>
      <c r="Y33" s="120">
        <v>-0.14750000000000518</v>
      </c>
      <c r="Z33" s="120">
        <v>0.93639999999998846</v>
      </c>
      <c r="AA33" s="120">
        <v>1.5044999999999995</v>
      </c>
      <c r="AB33" s="120">
        <v>2.3349999999999986</v>
      </c>
      <c r="AC33" s="120">
        <v>10.141599999999999</v>
      </c>
      <c r="AD33" s="120">
        <v>-2.675000000000002</v>
      </c>
      <c r="AE33" s="120">
        <v>1.1163000000000125</v>
      </c>
      <c r="AF33" s="120">
        <v>0.85969999999999103</v>
      </c>
      <c r="AG33" s="120">
        <v>0.20999999999999458</v>
      </c>
      <c r="AH33" s="120">
        <v>0</v>
      </c>
      <c r="AI33" s="120">
        <v>0</v>
      </c>
      <c r="AJ33" s="120">
        <v>1.7673000000000036</v>
      </c>
      <c r="AK33" s="120">
        <v>3.6372000000000022</v>
      </c>
      <c r="AL33" s="120">
        <v>3.2359999999999967</v>
      </c>
    </row>
    <row r="34" spans="1:38" ht="11.25" customHeight="1" x14ac:dyDescent="0.25">
      <c r="A34" s="253" t="s">
        <v>474</v>
      </c>
      <c r="B34" s="120">
        <v>0.46999999999999448</v>
      </c>
      <c r="C34" s="120">
        <v>3.6281999999999988</v>
      </c>
      <c r="D34" s="120">
        <v>3.4455999999999989</v>
      </c>
      <c r="E34" s="120">
        <v>0.86980000000000979</v>
      </c>
      <c r="F34" s="120">
        <v>0.82999999999999252</v>
      </c>
      <c r="G34" s="120">
        <v>-0.17999999999999886</v>
      </c>
      <c r="H34" s="120">
        <v>1.2198999999999995</v>
      </c>
      <c r="I34" s="120">
        <v>5.2100000000000053</v>
      </c>
      <c r="J34" s="120">
        <v>0.80690000000000617</v>
      </c>
      <c r="K34" s="120">
        <v>1.0767000000000029</v>
      </c>
      <c r="L34" s="120">
        <v>0.49999999999998718</v>
      </c>
      <c r="M34" s="120">
        <v>3.5152000000000023</v>
      </c>
      <c r="N34" s="120">
        <v>0.91990000000000094</v>
      </c>
      <c r="O34" s="120">
        <v>-0.11000000000000003</v>
      </c>
      <c r="P34" s="120">
        <v>1.1574999999999831</v>
      </c>
      <c r="Q34" s="120">
        <v>0.52669999999999839</v>
      </c>
      <c r="R34" s="120">
        <v>4.999999999999731E-2</v>
      </c>
      <c r="S34" s="120">
        <v>-0.24030000000000007</v>
      </c>
      <c r="T34" s="120">
        <v>2.0289999999999959</v>
      </c>
      <c r="U34" s="120">
        <v>1.1438999999999944</v>
      </c>
      <c r="V34" s="120">
        <v>0.51769999999999772</v>
      </c>
      <c r="W34" s="120">
        <v>0.64759999999999762</v>
      </c>
      <c r="X34" s="120">
        <v>1.7049000000000123</v>
      </c>
      <c r="Y34" s="120">
        <v>-0.53999999999999559</v>
      </c>
      <c r="Z34" s="120">
        <v>1.5204000000000015</v>
      </c>
      <c r="AA34" s="120">
        <v>1.4246000000000061</v>
      </c>
      <c r="AB34" s="120">
        <v>2.5485000000000033</v>
      </c>
      <c r="AC34" s="120">
        <v>-1.1217000000000112</v>
      </c>
      <c r="AD34" s="120">
        <v>0.56190000000000762</v>
      </c>
      <c r="AE34" s="120">
        <v>0.75629999999998865</v>
      </c>
      <c r="AF34" s="120">
        <v>3.5808999999999966</v>
      </c>
      <c r="AG34" s="120">
        <v>3.39</v>
      </c>
      <c r="AH34" s="120">
        <v>1.5737000000000172</v>
      </c>
      <c r="AI34" s="120">
        <v>7.3542000000000041</v>
      </c>
      <c r="AJ34" s="120">
        <v>1.4704999999999964</v>
      </c>
      <c r="AK34" s="120">
        <v>1.4105999999999874</v>
      </c>
      <c r="AL34" s="120">
        <v>1.9126000000000056</v>
      </c>
    </row>
    <row r="35" spans="1:38" ht="11.25" customHeight="1" x14ac:dyDescent="0.25">
      <c r="A35" s="253" t="s">
        <v>475</v>
      </c>
      <c r="B35" s="120">
        <v>1.9799999999999989</v>
      </c>
      <c r="C35" s="120">
        <v>0.82230000000000658</v>
      </c>
      <c r="D35" s="120">
        <v>0</v>
      </c>
      <c r="E35" s="120">
        <v>0.84210000000000429</v>
      </c>
      <c r="F35" s="120">
        <v>0.93000000000000216</v>
      </c>
      <c r="G35" s="120">
        <v>1.7799999999999971</v>
      </c>
      <c r="H35" s="120">
        <v>1.6855000000000082</v>
      </c>
      <c r="I35" s="120">
        <v>0</v>
      </c>
      <c r="J35" s="120">
        <v>-1.9634999999999982</v>
      </c>
      <c r="K35" s="120">
        <v>4.6311000000000044</v>
      </c>
      <c r="L35" s="120">
        <v>1.0000000000000004</v>
      </c>
      <c r="M35" s="120">
        <v>2.7611000000000061</v>
      </c>
      <c r="N35" s="120">
        <v>0</v>
      </c>
      <c r="O35" s="120">
        <v>1.7099999999999851</v>
      </c>
      <c r="P35" s="120">
        <v>3.1819999999999924</v>
      </c>
      <c r="Q35" s="120">
        <v>0.89999999999999347</v>
      </c>
      <c r="R35" s="120">
        <v>0.16000000000001091</v>
      </c>
      <c r="S35" s="120">
        <v>0.69689999999999452</v>
      </c>
      <c r="T35" s="120">
        <v>2.0885999999999938</v>
      </c>
      <c r="U35" s="120">
        <v>0.30869999999999853</v>
      </c>
      <c r="V35" s="120">
        <v>1.0347000000000111</v>
      </c>
      <c r="W35" s="120">
        <v>0.28760000000000679</v>
      </c>
      <c r="X35" s="120">
        <v>1.0321000000000005</v>
      </c>
      <c r="Y35" s="120">
        <v>4.9999999999997727E-2</v>
      </c>
      <c r="Z35" s="120">
        <v>5.6046999999999967</v>
      </c>
      <c r="AA35" s="120">
        <v>0.75149999999999906</v>
      </c>
      <c r="AB35" s="120">
        <v>1.0658000000000127</v>
      </c>
      <c r="AC35" s="120">
        <v>1.3214999999999932</v>
      </c>
      <c r="AD35" s="120">
        <v>-0.54790000000000738</v>
      </c>
      <c r="AE35" s="120">
        <v>1.277999999999996</v>
      </c>
      <c r="AF35" s="120">
        <v>4.311599999999995</v>
      </c>
      <c r="AG35" s="120">
        <v>1.9500000000000073</v>
      </c>
      <c r="AH35" s="120">
        <v>0</v>
      </c>
      <c r="AI35" s="120">
        <v>0</v>
      </c>
      <c r="AJ35" s="120">
        <v>1.5709999999999935</v>
      </c>
      <c r="AK35" s="120">
        <v>2.5090999999999943</v>
      </c>
      <c r="AL35" s="120">
        <v>1.9732999999999983</v>
      </c>
    </row>
    <row r="36" spans="1:38" ht="11.25" customHeight="1" x14ac:dyDescent="0.25">
      <c r="A36" s="253" t="s">
        <v>476</v>
      </c>
      <c r="B36" s="120">
        <v>1.0499999999999983</v>
      </c>
      <c r="C36" s="120">
        <v>-8.1900000000000348E-2</v>
      </c>
      <c r="D36" s="120">
        <v>0</v>
      </c>
      <c r="E36" s="120">
        <v>0.78780000000000272</v>
      </c>
      <c r="F36" s="120">
        <v>0.93000000000000915</v>
      </c>
      <c r="G36" s="120">
        <v>-1.2599999999999951</v>
      </c>
      <c r="H36" s="120">
        <v>3.580000000000777E-2</v>
      </c>
      <c r="I36" s="120">
        <v>0</v>
      </c>
      <c r="J36" s="120">
        <v>-2.2522000000000051</v>
      </c>
      <c r="K36" s="120">
        <v>-1.5841000000000038</v>
      </c>
      <c r="L36" s="120">
        <v>8.8999999999999932</v>
      </c>
      <c r="M36" s="120">
        <v>1.6289000000000002</v>
      </c>
      <c r="N36" s="120">
        <v>0</v>
      </c>
      <c r="O36" s="120">
        <v>2.4400000000000031</v>
      </c>
      <c r="P36" s="120">
        <v>1.2089999999999999</v>
      </c>
      <c r="Q36" s="120">
        <v>0.20000000000000737</v>
      </c>
      <c r="R36" s="120">
        <v>0.19000000000000838</v>
      </c>
      <c r="S36" s="120">
        <v>1.6259999999999899</v>
      </c>
      <c r="T36" s="120">
        <v>-0.57719999999999094</v>
      </c>
      <c r="U36" s="120">
        <v>0.35419999999999846</v>
      </c>
      <c r="V36" s="120">
        <v>0.99600000000000377</v>
      </c>
      <c r="W36" s="120">
        <v>2.4203999999999821</v>
      </c>
      <c r="X36" s="120">
        <v>-0.28909999999999902</v>
      </c>
      <c r="Y36" s="120">
        <v>-0.3900000000000059</v>
      </c>
      <c r="Z36" s="120">
        <v>0.26360000000000455</v>
      </c>
      <c r="AA36" s="120">
        <v>1.3557999999999992</v>
      </c>
      <c r="AB36" s="120">
        <v>-0.18710000000000021</v>
      </c>
      <c r="AC36" s="120">
        <v>1.7609999999999892</v>
      </c>
      <c r="AD36" s="120">
        <v>2.2432000000000052</v>
      </c>
      <c r="AE36" s="120">
        <v>0.67069999999999108</v>
      </c>
      <c r="AF36" s="120">
        <v>3.9595000000000038</v>
      </c>
      <c r="AG36" s="120">
        <v>1.8400000000000034</v>
      </c>
      <c r="AH36" s="120">
        <v>0</v>
      </c>
      <c r="AI36" s="120">
        <v>0</v>
      </c>
      <c r="AJ36" s="120">
        <v>-0.6082000000000034</v>
      </c>
      <c r="AK36" s="120">
        <v>-0.8638000000000009</v>
      </c>
      <c r="AL36" s="120">
        <v>1.9398000000000106</v>
      </c>
    </row>
    <row r="37" spans="1:38" ht="11.25" customHeight="1" x14ac:dyDescent="0.25">
      <c r="A37" s="253" t="s">
        <v>477</v>
      </c>
      <c r="B37" s="120">
        <v>0.37000000000000766</v>
      </c>
      <c r="C37" s="120">
        <v>-2.4980999999999991</v>
      </c>
      <c r="D37" s="120">
        <v>11.621600000000001</v>
      </c>
      <c r="E37" s="120">
        <v>0.58920000000000261</v>
      </c>
      <c r="F37" s="120">
        <v>0.83000000000000573</v>
      </c>
      <c r="G37" s="120">
        <v>1.360000000000011</v>
      </c>
      <c r="H37" s="120">
        <v>0.37089999999999762</v>
      </c>
      <c r="I37" s="120">
        <v>2.8000000000000029</v>
      </c>
      <c r="J37" s="120">
        <v>3.101799999999995</v>
      </c>
      <c r="K37" s="120">
        <v>1.9001999999999932</v>
      </c>
      <c r="L37" s="120">
        <v>1.3999999999999979</v>
      </c>
      <c r="M37" s="120">
        <v>0.27099999999999635</v>
      </c>
      <c r="N37" s="120">
        <v>-1.8565000000000009</v>
      </c>
      <c r="O37" s="120">
        <v>3.3700000000000103</v>
      </c>
      <c r="P37" s="120">
        <v>1.5144000000000064</v>
      </c>
      <c r="Q37" s="120">
        <v>1.7703000000000098</v>
      </c>
      <c r="R37" s="120">
        <v>0.14000000000000734</v>
      </c>
      <c r="S37" s="120">
        <v>0.73700000000001176</v>
      </c>
      <c r="T37" s="120">
        <v>0.65990000000000526</v>
      </c>
      <c r="U37" s="120">
        <v>0.48919999999998071</v>
      </c>
      <c r="V37" s="120">
        <v>1.1103000000000103</v>
      </c>
      <c r="W37" s="120">
        <v>-0.76830000000000775</v>
      </c>
      <c r="X37" s="120">
        <v>1.554199999999986</v>
      </c>
      <c r="Y37" s="120">
        <v>-0.86680000000000279</v>
      </c>
      <c r="Z37" s="120">
        <v>0</v>
      </c>
      <c r="AA37" s="120">
        <v>0.96059999999999701</v>
      </c>
      <c r="AB37" s="120">
        <v>1.8860999999999986</v>
      </c>
      <c r="AC37" s="120">
        <v>-1.6648000000000063</v>
      </c>
      <c r="AD37" s="120">
        <v>-5.4900000000009989E-2</v>
      </c>
      <c r="AE37" s="120">
        <v>0.69340000000000779</v>
      </c>
      <c r="AF37" s="120">
        <v>0.82089999999998675</v>
      </c>
      <c r="AG37" s="120">
        <v>2.7099999999999835</v>
      </c>
      <c r="AH37" s="120">
        <v>18.154699999999991</v>
      </c>
      <c r="AI37" s="120">
        <v>1.2243999999999851</v>
      </c>
      <c r="AJ37" s="120">
        <v>2.146699999999985</v>
      </c>
      <c r="AK37" s="120">
        <v>0.18590000000000462</v>
      </c>
      <c r="AL37" s="120">
        <v>-0.10520000000000923</v>
      </c>
    </row>
    <row r="38" spans="1:38" ht="11.25" customHeight="1" x14ac:dyDescent="0.25">
      <c r="A38" s="253" t="s">
        <v>478</v>
      </c>
      <c r="B38" s="120">
        <v>5.0300000000000056</v>
      </c>
      <c r="C38" s="120">
        <v>3.7774000000000028</v>
      </c>
      <c r="D38" s="120">
        <v>0</v>
      </c>
      <c r="E38" s="120">
        <v>0.70879999999999277</v>
      </c>
      <c r="F38" s="120">
        <v>0.93000000000001715</v>
      </c>
      <c r="G38" s="120">
        <v>0.2699999999999898</v>
      </c>
      <c r="H38" s="120">
        <v>1.3141000000000118</v>
      </c>
      <c r="I38" s="120">
        <v>0</v>
      </c>
      <c r="J38" s="120">
        <v>0.32139999999999841</v>
      </c>
      <c r="K38" s="120">
        <v>-0.72110000000000352</v>
      </c>
      <c r="L38" s="120">
        <v>1.2999999999999901</v>
      </c>
      <c r="M38" s="120">
        <v>1.519899999999996</v>
      </c>
      <c r="N38" s="120">
        <v>0</v>
      </c>
      <c r="O38" s="120">
        <v>2.0799999999999903</v>
      </c>
      <c r="P38" s="120">
        <v>3.5040000000000049</v>
      </c>
      <c r="Q38" s="120">
        <v>1.2999999999999887</v>
      </c>
      <c r="R38" s="120">
        <v>1.3400000000000083</v>
      </c>
      <c r="S38" s="120">
        <v>1.1494999999999949</v>
      </c>
      <c r="T38" s="120">
        <v>-0.84100000000000708</v>
      </c>
      <c r="U38" s="120">
        <v>0.41839999999999922</v>
      </c>
      <c r="V38" s="120">
        <v>0.96499999999999853</v>
      </c>
      <c r="W38" s="120">
        <v>1.3914999999999937</v>
      </c>
      <c r="X38" s="120">
        <v>1.993000000000001</v>
      </c>
      <c r="Y38" s="120">
        <v>-0.1705000000000014</v>
      </c>
      <c r="Z38" s="120">
        <v>0</v>
      </c>
      <c r="AA38" s="120">
        <v>0.74440000000000595</v>
      </c>
      <c r="AB38" s="120">
        <v>1.1802999999999984</v>
      </c>
      <c r="AC38" s="120">
        <v>-0.28959999999999625</v>
      </c>
      <c r="AD38" s="120">
        <v>-0.10219999999999166</v>
      </c>
      <c r="AE38" s="120">
        <v>0.86949999999998051</v>
      </c>
      <c r="AF38" s="120">
        <v>-4.5977000000000103</v>
      </c>
      <c r="AG38" s="120">
        <v>0.21999999999999853</v>
      </c>
      <c r="AH38" s="120">
        <v>0</v>
      </c>
      <c r="AI38" s="120">
        <v>0</v>
      </c>
      <c r="AJ38" s="120">
        <v>0.36020000000000546</v>
      </c>
      <c r="AK38" s="120">
        <v>3.5986000000000051</v>
      </c>
      <c r="AL38" s="120">
        <v>3.1979000000000002</v>
      </c>
    </row>
    <row r="39" spans="1:38" ht="11.25" customHeight="1" x14ac:dyDescent="0.25">
      <c r="A39" s="253" t="s">
        <v>479</v>
      </c>
      <c r="B39" s="120">
        <v>-1.5799999999999998</v>
      </c>
      <c r="C39" s="120">
        <v>-1.3152999999999975</v>
      </c>
      <c r="D39" s="120">
        <v>0</v>
      </c>
      <c r="E39" s="120">
        <v>0.81850000000000511</v>
      </c>
      <c r="F39" s="120">
        <v>0.94000000000001094</v>
      </c>
      <c r="G39" s="120">
        <v>2.8100000000000076</v>
      </c>
      <c r="H39" s="120">
        <v>-1.4199999999994498E-2</v>
      </c>
      <c r="I39" s="120">
        <v>0</v>
      </c>
      <c r="J39" s="120">
        <v>3.3981999999999917</v>
      </c>
      <c r="K39" s="120">
        <v>1.6448999999999978</v>
      </c>
      <c r="L39" s="120">
        <v>-4.6999999999999957</v>
      </c>
      <c r="M39" s="120">
        <v>0.50669999999999515</v>
      </c>
      <c r="N39" s="120">
        <v>0</v>
      </c>
      <c r="O39" s="120">
        <v>-0.88000000000000667</v>
      </c>
      <c r="P39" s="120">
        <v>-1.8254000000000086</v>
      </c>
      <c r="Q39" s="120">
        <v>0.89999999999998936</v>
      </c>
      <c r="R39" s="120">
        <v>2.6700000000000026</v>
      </c>
      <c r="S39" s="120">
        <v>0.85219999999998974</v>
      </c>
      <c r="T39" s="120">
        <v>0.49199999999999633</v>
      </c>
      <c r="U39" s="120">
        <v>0.37680000000000152</v>
      </c>
      <c r="V39" s="120">
        <v>0.69760000000001432</v>
      </c>
      <c r="W39" s="120">
        <v>0.67280000000001439</v>
      </c>
      <c r="X39" s="120">
        <v>0.42469999999998115</v>
      </c>
      <c r="Y39" s="120">
        <v>-0.37949999999999956</v>
      </c>
      <c r="Z39" s="120">
        <v>1.2399999999999743E-2</v>
      </c>
      <c r="AA39" s="120">
        <v>0.48799999999999744</v>
      </c>
      <c r="AB39" s="120">
        <v>1.6003000000000009</v>
      </c>
      <c r="AC39" s="120">
        <v>-0.12629999999999852</v>
      </c>
      <c r="AD39" s="120">
        <v>0.8116000000000021</v>
      </c>
      <c r="AE39" s="120">
        <v>7.6699999999991386E-2</v>
      </c>
      <c r="AF39" s="120">
        <v>0.51699999999999169</v>
      </c>
      <c r="AG39" s="120">
        <v>0.66170000000000673</v>
      </c>
      <c r="AH39" s="120">
        <v>0</v>
      </c>
      <c r="AI39" s="120">
        <v>0</v>
      </c>
      <c r="AJ39" s="120">
        <v>2.0755000000000137</v>
      </c>
      <c r="AK39" s="120">
        <v>-2.4251000000000014</v>
      </c>
      <c r="AL39" s="120">
        <v>0.41880000000001294</v>
      </c>
    </row>
    <row r="40" spans="1:38" ht="11.25" customHeight="1" x14ac:dyDescent="0.25">
      <c r="A40" s="253" t="s">
        <v>480</v>
      </c>
      <c r="B40" s="120">
        <v>1.7799999999999978</v>
      </c>
      <c r="C40" s="120">
        <v>0.74620000000000164</v>
      </c>
      <c r="D40" s="120">
        <v>11.047600000000008</v>
      </c>
      <c r="E40" s="120">
        <v>0.76819999999999156</v>
      </c>
      <c r="F40" s="120">
        <v>1.0200000000000078</v>
      </c>
      <c r="G40" s="120">
        <v>3.5299999999999816</v>
      </c>
      <c r="H40" s="120">
        <v>1.2604000000000111</v>
      </c>
      <c r="I40" s="120">
        <v>5.0299999999999967</v>
      </c>
      <c r="J40" s="120">
        <v>-0.48679999999999307</v>
      </c>
      <c r="K40" s="120">
        <v>2.0272999999999963</v>
      </c>
      <c r="L40" s="120">
        <v>3.4000000000000106</v>
      </c>
      <c r="M40" s="120">
        <v>1.643500000000004</v>
      </c>
      <c r="N40" s="120">
        <v>2.5557000000000092</v>
      </c>
      <c r="O40" s="120">
        <v>-1.0000000000003215E-2</v>
      </c>
      <c r="P40" s="120">
        <v>2.8448999999999973</v>
      </c>
      <c r="Q40" s="120">
        <v>0.72019999999998885</v>
      </c>
      <c r="R40" s="120">
        <v>6.230000000000004</v>
      </c>
      <c r="S40" s="120">
        <v>-0.11439999999999521</v>
      </c>
      <c r="T40" s="120">
        <v>0.57030000000000991</v>
      </c>
      <c r="U40" s="120">
        <v>-6.2455000000000043</v>
      </c>
      <c r="V40" s="120">
        <v>1.054599999999988</v>
      </c>
      <c r="W40" s="120">
        <v>0.72859999999999359</v>
      </c>
      <c r="X40" s="120">
        <v>-0.47080000000001071</v>
      </c>
      <c r="Y40" s="120">
        <v>-0.89650000000000107</v>
      </c>
      <c r="Z40" s="120">
        <v>0</v>
      </c>
      <c r="AA40" s="120">
        <v>0.79570000000000018</v>
      </c>
      <c r="AB40" s="120">
        <v>1.302699999999992</v>
      </c>
      <c r="AC40" s="120">
        <v>-0.12520000000000878</v>
      </c>
      <c r="AD40" s="120">
        <v>1.248999999999983</v>
      </c>
      <c r="AE40" s="120">
        <v>0.48039999999999933</v>
      </c>
      <c r="AF40" s="120">
        <v>0.72939999999998906</v>
      </c>
      <c r="AG40" s="120">
        <v>1.4908999999999999</v>
      </c>
      <c r="AH40" s="120">
        <v>29.873599999999989</v>
      </c>
      <c r="AI40" s="120">
        <v>5.0637999999999943</v>
      </c>
      <c r="AJ40" s="120">
        <v>0.31680000000000813</v>
      </c>
      <c r="AK40" s="120">
        <v>3.7061999999999906</v>
      </c>
      <c r="AL40" s="120">
        <v>0.81480000000001251</v>
      </c>
    </row>
    <row r="41" spans="1:38" ht="11.25" customHeight="1" x14ac:dyDescent="0.25">
      <c r="A41" s="253" t="s">
        <v>481</v>
      </c>
      <c r="B41" s="120">
        <v>1.5500000000000136</v>
      </c>
      <c r="C41" s="120">
        <v>3.5700999999999934</v>
      </c>
      <c r="D41" s="120">
        <v>0</v>
      </c>
      <c r="E41" s="120">
        <v>0.93920000000000614</v>
      </c>
      <c r="F41" s="120">
        <v>1.3100000000000041</v>
      </c>
      <c r="G41" s="120">
        <v>2.0799999999999907</v>
      </c>
      <c r="H41" s="120">
        <v>-0.80499999999999639</v>
      </c>
      <c r="I41" s="120">
        <v>0</v>
      </c>
      <c r="J41" s="120">
        <v>-3.4707999999999912</v>
      </c>
      <c r="K41" s="120">
        <v>2.3760000000000026</v>
      </c>
      <c r="L41" s="120">
        <v>0.80000000000000526</v>
      </c>
      <c r="M41" s="120">
        <v>-7.2899999999998119E-2</v>
      </c>
      <c r="N41" s="120">
        <v>0</v>
      </c>
      <c r="O41" s="120">
        <v>1.2199999999999918</v>
      </c>
      <c r="P41" s="120">
        <v>2.3689999999999998</v>
      </c>
      <c r="Q41" s="120">
        <v>0.39999999999999608</v>
      </c>
      <c r="R41" s="120">
        <v>2.8599999999999981</v>
      </c>
      <c r="S41" s="120">
        <v>2.7727999999999953</v>
      </c>
      <c r="T41" s="120">
        <v>0.75069999999999193</v>
      </c>
      <c r="U41" s="120">
        <v>0.48479999999999435</v>
      </c>
      <c r="V41" s="120">
        <v>0.98990000000001332</v>
      </c>
      <c r="W41" s="120">
        <v>-1.4743999999999975</v>
      </c>
      <c r="X41" s="120">
        <v>-5.5800000000001029E-2</v>
      </c>
      <c r="Y41" s="120">
        <v>0.32410000000000327</v>
      </c>
      <c r="Z41" s="120">
        <v>3.9999999999080859E-4</v>
      </c>
      <c r="AA41" s="120">
        <v>0.79119999999999535</v>
      </c>
      <c r="AB41" s="120">
        <v>0.58439999999999515</v>
      </c>
      <c r="AC41" s="120">
        <v>0.59080000000000543</v>
      </c>
      <c r="AD41" s="120">
        <v>1.7061999999999937</v>
      </c>
      <c r="AE41" s="120">
        <v>0.61640000000001605</v>
      </c>
      <c r="AF41" s="120">
        <v>0.24580000000000943</v>
      </c>
      <c r="AG41" s="120">
        <v>5.0694999999999997</v>
      </c>
      <c r="AH41" s="120">
        <v>0</v>
      </c>
      <c r="AI41" s="120">
        <v>0</v>
      </c>
      <c r="AJ41" s="120">
        <v>0.12000000000000664</v>
      </c>
      <c r="AK41" s="120">
        <v>0.52399999999998537</v>
      </c>
      <c r="AL41" s="120">
        <v>-0.37199999999999106</v>
      </c>
    </row>
    <row r="42" spans="1:38" ht="11.25" customHeight="1" x14ac:dyDescent="0.25">
      <c r="A42" s="253" t="s">
        <v>482</v>
      </c>
      <c r="B42" s="120">
        <v>4.0499999999999972</v>
      </c>
      <c r="C42" s="120">
        <v>-1.1100000000000032</v>
      </c>
      <c r="D42" s="120">
        <v>0</v>
      </c>
      <c r="E42" s="120">
        <v>0.67759999999999665</v>
      </c>
      <c r="F42" s="120">
        <v>1.3300000000000087</v>
      </c>
      <c r="G42" s="120">
        <v>1.7999999999999954</v>
      </c>
      <c r="H42" s="120">
        <v>-2.2999999999995996E-2</v>
      </c>
      <c r="I42" s="120">
        <v>0</v>
      </c>
      <c r="J42" s="120">
        <v>-1.5318999999999965</v>
      </c>
      <c r="K42" s="120">
        <v>-3.2668000000000101</v>
      </c>
      <c r="L42" s="120">
        <v>2.69999999999999</v>
      </c>
      <c r="M42" s="120">
        <v>0.34909999999998487</v>
      </c>
      <c r="N42" s="120">
        <v>0</v>
      </c>
      <c r="O42" s="120">
        <v>3.8100000000000049</v>
      </c>
      <c r="P42" s="120">
        <v>-1.0366000000000042</v>
      </c>
      <c r="Q42" s="120">
        <v>0.7999999999999915</v>
      </c>
      <c r="R42" s="120">
        <v>0.41000000000000403</v>
      </c>
      <c r="S42" s="120">
        <v>1.8999999999990552E-3</v>
      </c>
      <c r="T42" s="120">
        <v>0.26770000000000443</v>
      </c>
      <c r="U42" s="120">
        <v>0.48809999999999937</v>
      </c>
      <c r="V42" s="120">
        <v>0.8652999999999994</v>
      </c>
      <c r="W42" s="120">
        <v>2.0606999999999966</v>
      </c>
      <c r="X42" s="120">
        <v>0.39430000000001042</v>
      </c>
      <c r="Y42" s="120">
        <v>-7.5800000000002421E-2</v>
      </c>
      <c r="Z42" s="120">
        <v>2.3349999999999942</v>
      </c>
      <c r="AA42" s="120">
        <v>1.4192000000000002</v>
      </c>
      <c r="AB42" s="120">
        <v>-0.18629999999999847</v>
      </c>
      <c r="AC42" s="120">
        <v>1.8788000000000045</v>
      </c>
      <c r="AD42" s="120">
        <v>0.41450000000000559</v>
      </c>
      <c r="AE42" s="120">
        <v>0.42740000000001516</v>
      </c>
      <c r="AF42" s="120">
        <v>4.9935999999999918</v>
      </c>
      <c r="AG42" s="120">
        <v>2.2850000000000068</v>
      </c>
      <c r="AH42" s="120">
        <v>0</v>
      </c>
      <c r="AI42" s="120">
        <v>0</v>
      </c>
      <c r="AJ42" s="120">
        <v>-0.499999999999995</v>
      </c>
      <c r="AK42" s="120">
        <v>1.3649999999999971</v>
      </c>
      <c r="AL42" s="120">
        <v>0.95570000000000865</v>
      </c>
    </row>
    <row r="43" spans="1:38" ht="11.25" customHeight="1" x14ac:dyDescent="0.25">
      <c r="A43" s="253" t="s">
        <v>483</v>
      </c>
      <c r="B43" s="120">
        <v>3.0999999999999908</v>
      </c>
      <c r="C43" s="120">
        <v>-0.83049999999999446</v>
      </c>
      <c r="D43" s="120">
        <v>10.418499999999991</v>
      </c>
      <c r="E43" s="120">
        <v>0.98549999999999505</v>
      </c>
      <c r="F43" s="120">
        <v>1.0000000000000069</v>
      </c>
      <c r="G43" s="120">
        <v>7.6199999999999974</v>
      </c>
      <c r="H43" s="120">
        <v>1.7878000000000034</v>
      </c>
      <c r="I43" s="120">
        <v>1.0000000000000069</v>
      </c>
      <c r="J43" s="120">
        <v>-0.40270000000000733</v>
      </c>
      <c r="K43" s="120">
        <v>1.3401999999999858</v>
      </c>
      <c r="L43" s="120">
        <v>4.099999999999997</v>
      </c>
      <c r="M43" s="120">
        <v>1.171799999999988</v>
      </c>
      <c r="N43" s="120">
        <v>3.5633999999999966</v>
      </c>
      <c r="O43" s="120">
        <v>4.0699999999999941</v>
      </c>
      <c r="P43" s="120">
        <v>-2.9249000000000054</v>
      </c>
      <c r="Q43" s="120">
        <v>1.8686000000000054</v>
      </c>
      <c r="R43" s="120">
        <v>3.0200000000000071</v>
      </c>
      <c r="S43" s="120">
        <v>0.14799999999998451</v>
      </c>
      <c r="T43" s="120">
        <v>2.0864999999999858</v>
      </c>
      <c r="U43" s="120">
        <v>2.8588999999999958</v>
      </c>
      <c r="V43" s="120">
        <v>1.5031000000000059</v>
      </c>
      <c r="W43" s="120">
        <v>2.5467999999999957</v>
      </c>
      <c r="X43" s="120">
        <v>1.7633999999999979</v>
      </c>
      <c r="Y43" s="120">
        <v>-2.4329999999999932</v>
      </c>
      <c r="Z43" s="120">
        <v>0</v>
      </c>
      <c r="AA43" s="120">
        <v>1.1946999999999905</v>
      </c>
      <c r="AB43" s="120">
        <v>2.7654000000000116</v>
      </c>
      <c r="AC43" s="120">
        <v>-0.10300000000000439</v>
      </c>
      <c r="AD43" s="120">
        <v>0.29380000000001638</v>
      </c>
      <c r="AE43" s="120">
        <v>0.86280000000000379</v>
      </c>
      <c r="AF43" s="120">
        <v>3.4273999999999845</v>
      </c>
      <c r="AG43" s="120">
        <v>2.4804000000000088</v>
      </c>
      <c r="AH43" s="120">
        <v>8.2751999999999946</v>
      </c>
      <c r="AI43" s="120">
        <v>8.2751999999999999</v>
      </c>
      <c r="AJ43" s="120">
        <v>0.35000000000000264</v>
      </c>
      <c r="AK43" s="120">
        <v>1.7732000000000057</v>
      </c>
      <c r="AL43" s="120">
        <v>1.8664999999999936</v>
      </c>
    </row>
    <row r="44" spans="1:38" ht="11.25" customHeight="1" x14ac:dyDescent="0.25">
      <c r="A44" s="253" t="s">
        <v>484</v>
      </c>
      <c r="B44" s="120">
        <v>0.27999999999999686</v>
      </c>
      <c r="C44" s="120">
        <v>-4.7072000000000047</v>
      </c>
      <c r="D44" s="120">
        <v>0</v>
      </c>
      <c r="E44" s="120">
        <v>0.81310000000001681</v>
      </c>
      <c r="F44" s="120">
        <v>0.84999999999999731</v>
      </c>
      <c r="G44" s="120">
        <v>-0.68999999999999362</v>
      </c>
      <c r="H44" s="120">
        <v>1.1152000000000026</v>
      </c>
      <c r="I44" s="120">
        <v>0.84999999999999731</v>
      </c>
      <c r="J44" s="120">
        <v>-3.9413999999999989</v>
      </c>
      <c r="K44" s="120">
        <v>-1.1364000000000005</v>
      </c>
      <c r="L44" s="120">
        <v>4.1000000000000023</v>
      </c>
      <c r="M44" s="120">
        <v>1.4464000000000077</v>
      </c>
      <c r="N44" s="120">
        <v>0</v>
      </c>
      <c r="O44" s="120">
        <v>3.289999999999988</v>
      </c>
      <c r="P44" s="120">
        <v>0.22470000000000423</v>
      </c>
      <c r="Q44" s="120">
        <v>9.9999999999990749E-2</v>
      </c>
      <c r="R44" s="120">
        <v>1.5600000000000134</v>
      </c>
      <c r="S44" s="120">
        <v>1.5282999999999984</v>
      </c>
      <c r="T44" s="120">
        <v>1.2476000000000007</v>
      </c>
      <c r="U44" s="120">
        <v>0.31600000000000322</v>
      </c>
      <c r="V44" s="120">
        <v>1.1358999999999841</v>
      </c>
      <c r="W44" s="120">
        <v>1.2420000000000033</v>
      </c>
      <c r="X44" s="120">
        <v>4.0961999999999961</v>
      </c>
      <c r="Y44" s="120">
        <v>0.44909999999999733</v>
      </c>
      <c r="Z44" s="120">
        <v>3.3684000000000038</v>
      </c>
      <c r="AA44" s="120">
        <v>0.95179999999998544</v>
      </c>
      <c r="AB44" s="120">
        <v>1.385900000000011</v>
      </c>
      <c r="AC44" s="120">
        <v>1.6804000000000092</v>
      </c>
      <c r="AD44" s="120">
        <v>0.69639999999999069</v>
      </c>
      <c r="AE44" s="120">
        <v>0.40409999999999752</v>
      </c>
      <c r="AF44" s="120">
        <v>3.2729999999999899</v>
      </c>
      <c r="AG44" s="120">
        <v>0.63869999999999982</v>
      </c>
      <c r="AH44" s="120">
        <v>0</v>
      </c>
      <c r="AI44" s="120">
        <v>0</v>
      </c>
      <c r="AJ44" s="120">
        <v>-4.5199999999999969</v>
      </c>
      <c r="AK44" s="120">
        <v>1.6610999999999871</v>
      </c>
      <c r="AL44" s="120">
        <v>2.0699999999999941</v>
      </c>
    </row>
    <row r="45" spans="1:38" ht="11.25" customHeight="1" x14ac:dyDescent="0.25">
      <c r="A45" s="253" t="s">
        <v>485</v>
      </c>
      <c r="B45" s="120">
        <v>3.7400000000000126</v>
      </c>
      <c r="C45" s="120">
        <v>-3.4249999999999963</v>
      </c>
      <c r="D45" s="120">
        <v>0</v>
      </c>
      <c r="E45" s="120">
        <v>1.2599999999999989</v>
      </c>
      <c r="F45" s="120">
        <v>1.0399999999999927</v>
      </c>
      <c r="G45" s="120">
        <v>8.2199999999999989</v>
      </c>
      <c r="H45" s="120">
        <v>1.3976000000000011</v>
      </c>
      <c r="I45" s="120">
        <v>1.0399999999999927</v>
      </c>
      <c r="J45" s="120">
        <v>0.52820000000000089</v>
      </c>
      <c r="K45" s="120">
        <v>1.4628000000000039</v>
      </c>
      <c r="L45" s="120">
        <v>3.4000000000000066</v>
      </c>
      <c r="M45" s="120">
        <v>2.3443000000000036</v>
      </c>
      <c r="N45" s="120">
        <v>0</v>
      </c>
      <c r="O45" s="120">
        <v>3.7699999999999991</v>
      </c>
      <c r="P45" s="120">
        <v>2.9088999999999934</v>
      </c>
      <c r="Q45" s="120">
        <v>0.40000000000000024</v>
      </c>
      <c r="R45" s="120">
        <v>-0.12999999999999995</v>
      </c>
      <c r="S45" s="120">
        <v>9.4299999999995707E-2</v>
      </c>
      <c r="T45" s="120">
        <v>2.743999999999986</v>
      </c>
      <c r="U45" s="120">
        <v>0.384100000000002</v>
      </c>
      <c r="V45" s="120">
        <v>1.0445999999999951</v>
      </c>
      <c r="W45" s="120">
        <v>3.6037999999999943</v>
      </c>
      <c r="X45" s="120">
        <v>1.1181000000000194</v>
      </c>
      <c r="Y45" s="120">
        <v>4.2699999999999745E-2</v>
      </c>
      <c r="Z45" s="120">
        <v>0</v>
      </c>
      <c r="AA45" s="120">
        <v>1.9293000000000065</v>
      </c>
      <c r="AB45" s="120">
        <v>0.59789999999998955</v>
      </c>
      <c r="AC45" s="120">
        <v>-0.17930000000000143</v>
      </c>
      <c r="AD45" s="120">
        <v>1.2555000000000065</v>
      </c>
      <c r="AE45" s="120">
        <v>0.92710000000000081</v>
      </c>
      <c r="AF45" s="120">
        <v>4.046499999999992</v>
      </c>
      <c r="AG45" s="120">
        <v>4.9600000000006944E-2</v>
      </c>
      <c r="AH45" s="120">
        <v>0</v>
      </c>
      <c r="AI45" s="120">
        <v>0</v>
      </c>
      <c r="AJ45" s="120">
        <v>0.71000000000001529</v>
      </c>
      <c r="AK45" s="120">
        <v>-0.54590000000000083</v>
      </c>
      <c r="AL45" s="120">
        <v>1.5637999999999974</v>
      </c>
    </row>
    <row r="46" spans="1:38" ht="11.25" customHeight="1" x14ac:dyDescent="0.25">
      <c r="A46" s="253" t="s">
        <v>486</v>
      </c>
      <c r="B46" s="120">
        <v>-3.2699999999999991</v>
      </c>
      <c r="C46" s="120">
        <v>-2.5673999999999997</v>
      </c>
      <c r="D46" s="120">
        <v>-7.7806000000000015</v>
      </c>
      <c r="E46" s="120">
        <v>0.60000000000000719</v>
      </c>
      <c r="F46" s="120">
        <v>1.0899999999999901</v>
      </c>
      <c r="G46" s="120">
        <v>1.7200000000000073</v>
      </c>
      <c r="H46" s="120">
        <v>0</v>
      </c>
      <c r="I46" s="120">
        <v>1.0899999999999901</v>
      </c>
      <c r="J46" s="120">
        <v>0.93810000000001204</v>
      </c>
      <c r="K46" s="120">
        <v>2.9735999999999936</v>
      </c>
      <c r="L46" s="120">
        <v>2.600000000000001</v>
      </c>
      <c r="M46" s="120">
        <v>6.8399999999996144E-2</v>
      </c>
      <c r="N46" s="120">
        <v>-4.5854999999999997</v>
      </c>
      <c r="O46" s="120">
        <v>1.9400000000000146</v>
      </c>
      <c r="P46" s="120">
        <v>1.0499999999999914</v>
      </c>
      <c r="Q46" s="120">
        <v>0.99050000000001215</v>
      </c>
      <c r="R46" s="120">
        <v>0.86999999999998834</v>
      </c>
      <c r="S46" s="120">
        <v>1.6083999999999992</v>
      </c>
      <c r="T46" s="120">
        <v>-1.548700000000012</v>
      </c>
      <c r="U46" s="120">
        <v>12.0565</v>
      </c>
      <c r="V46" s="120">
        <v>0.65459999999999108</v>
      </c>
      <c r="W46" s="120">
        <v>-0.14999999999998787</v>
      </c>
      <c r="X46" s="120">
        <v>0.68819999999999804</v>
      </c>
      <c r="Y46" s="120">
        <v>-0.91790000000000693</v>
      </c>
      <c r="Z46" s="120">
        <v>0</v>
      </c>
      <c r="AA46" s="120">
        <v>1.5784999999999894</v>
      </c>
      <c r="AB46" s="120">
        <v>0.83999999999999886</v>
      </c>
      <c r="AC46" s="120">
        <v>-0.68759999999999466</v>
      </c>
      <c r="AD46" s="120">
        <v>1.3929000000000111</v>
      </c>
      <c r="AE46" s="120">
        <v>0.60279999999998968</v>
      </c>
      <c r="AF46" s="120">
        <v>-0.8069000000000035</v>
      </c>
      <c r="AG46" s="120">
        <v>3.654500000000005</v>
      </c>
      <c r="AH46" s="120">
        <v>0</v>
      </c>
      <c r="AI46" s="120">
        <v>5.8368999999999911</v>
      </c>
      <c r="AJ46" s="120">
        <v>3.2600000000000002</v>
      </c>
      <c r="AK46" s="120">
        <v>-1.3275000000000048</v>
      </c>
      <c r="AL46" s="120">
        <v>-0.15860000000000379</v>
      </c>
    </row>
    <row r="47" spans="1:38" ht="11.25" customHeight="1" x14ac:dyDescent="0.25">
      <c r="A47" s="253" t="s">
        <v>487</v>
      </c>
      <c r="B47" s="120">
        <v>5.9600000000000088</v>
      </c>
      <c r="C47" s="120">
        <v>1.5451999999999977</v>
      </c>
      <c r="D47" s="120">
        <v>0</v>
      </c>
      <c r="E47" s="120">
        <v>1.0300000000000069</v>
      </c>
      <c r="F47" s="120">
        <v>1.1300000000000148</v>
      </c>
      <c r="G47" s="120">
        <v>0.82000000000000661</v>
      </c>
      <c r="H47" s="120">
        <v>0</v>
      </c>
      <c r="I47" s="120">
        <v>1.1300000000000148</v>
      </c>
      <c r="J47" s="120">
        <v>-2.1709999999999985</v>
      </c>
      <c r="K47" s="120">
        <v>1.816299999999986</v>
      </c>
      <c r="L47" s="120">
        <v>1.8000000000000012</v>
      </c>
      <c r="M47" s="120">
        <v>0.29140000000000293</v>
      </c>
      <c r="N47" s="120">
        <v>0</v>
      </c>
      <c r="O47" s="120">
        <v>-0.69999999999999207</v>
      </c>
      <c r="P47" s="120">
        <v>1.1584999999999896</v>
      </c>
      <c r="Q47" s="120">
        <v>1.0999999999999803</v>
      </c>
      <c r="R47" s="120">
        <v>0.11000000000001205</v>
      </c>
      <c r="S47" s="120">
        <v>0.33510000000001156</v>
      </c>
      <c r="T47" s="120">
        <v>-0.15789999999999382</v>
      </c>
      <c r="U47" s="120">
        <v>0.45949999999999536</v>
      </c>
      <c r="V47" s="120">
        <v>0.47510000000000097</v>
      </c>
      <c r="W47" s="120">
        <v>1.9092999999999991</v>
      </c>
      <c r="X47" s="120">
        <v>-3.0131000000000028</v>
      </c>
      <c r="Y47" s="120">
        <v>0.97670000000000234</v>
      </c>
      <c r="Z47" s="120">
        <v>0</v>
      </c>
      <c r="AA47" s="120">
        <v>0.13369999999998711</v>
      </c>
      <c r="AB47" s="120">
        <v>1.4896999999999987</v>
      </c>
      <c r="AC47" s="120">
        <v>-0.844799999999993</v>
      </c>
      <c r="AD47" s="120">
        <v>2.5705000000000164</v>
      </c>
      <c r="AE47" s="120">
        <v>0.59709999999999541</v>
      </c>
      <c r="AF47" s="120">
        <v>-0.88310000000001077</v>
      </c>
      <c r="AG47" s="120">
        <v>4.5695999999999977</v>
      </c>
      <c r="AH47" s="120">
        <v>0</v>
      </c>
      <c r="AI47" s="120">
        <v>0</v>
      </c>
      <c r="AJ47" s="120">
        <v>3.0300000000000051</v>
      </c>
      <c r="AK47" s="120">
        <v>1.9949999999999846</v>
      </c>
      <c r="AL47" s="120">
        <v>1.0526999999999915</v>
      </c>
    </row>
    <row r="48" spans="1:38" ht="11.25" customHeight="1" x14ac:dyDescent="0.25">
      <c r="A48" s="253" t="s">
        <v>488</v>
      </c>
      <c r="B48" s="120">
        <v>2.6599999999999957</v>
      </c>
      <c r="C48" s="120">
        <v>3.9666999999999848</v>
      </c>
      <c r="D48" s="120">
        <v>0</v>
      </c>
      <c r="E48" s="120">
        <v>0.74000000000001331</v>
      </c>
      <c r="F48" s="120">
        <v>0.91000000000000303</v>
      </c>
      <c r="G48" s="120">
        <v>4.8999999999999977</v>
      </c>
      <c r="H48" s="120">
        <v>0</v>
      </c>
      <c r="I48" s="120">
        <v>0.91000000000000303</v>
      </c>
      <c r="J48" s="120">
        <v>2.4138999999999897</v>
      </c>
      <c r="K48" s="120">
        <v>-4.1500000000007135E-2</v>
      </c>
      <c r="L48" s="120">
        <v>2.2000000000000068</v>
      </c>
      <c r="M48" s="120">
        <v>0.60129999999999961</v>
      </c>
      <c r="N48" s="120">
        <v>0</v>
      </c>
      <c r="O48" s="120">
        <v>0.22999999999999596</v>
      </c>
      <c r="P48" s="120">
        <v>3.1776999999999882</v>
      </c>
      <c r="Q48" s="120">
        <v>0.29999999999999327</v>
      </c>
      <c r="R48" s="120">
        <v>-0.29000000000001003</v>
      </c>
      <c r="S48" s="120">
        <v>0.43000000000000033</v>
      </c>
      <c r="T48" s="120">
        <v>1.4696999999999869</v>
      </c>
      <c r="U48" s="120">
        <v>0.36810000000000009</v>
      </c>
      <c r="V48" s="120">
        <v>0.67579999999999962</v>
      </c>
      <c r="W48" s="120">
        <v>0.64439999999999853</v>
      </c>
      <c r="X48" s="120">
        <v>-0.68999999999999806</v>
      </c>
      <c r="Y48" s="120">
        <v>0.93859999999999288</v>
      </c>
      <c r="Z48" s="120">
        <v>4.4786999999999884</v>
      </c>
      <c r="AA48" s="120">
        <v>1.0356000000000065</v>
      </c>
      <c r="AB48" s="120">
        <v>-1.742599999999999</v>
      </c>
      <c r="AC48" s="120">
        <v>0.33440000000000192</v>
      </c>
      <c r="AD48" s="120">
        <v>1.7471999999999932</v>
      </c>
      <c r="AE48" s="120">
        <v>1.2558999999999931</v>
      </c>
      <c r="AF48" s="120">
        <v>3.1025999999999976</v>
      </c>
      <c r="AG48" s="120">
        <v>3.4540999999999924</v>
      </c>
      <c r="AH48" s="120">
        <v>0</v>
      </c>
      <c r="AI48" s="120">
        <v>0</v>
      </c>
      <c r="AJ48" s="120">
        <v>2.859999999999995</v>
      </c>
      <c r="AK48" s="120">
        <v>1.5500999999999965</v>
      </c>
      <c r="AL48" s="120">
        <v>-0.35610000000001096</v>
      </c>
    </row>
    <row r="49" spans="1:38" ht="11.25" customHeight="1" x14ac:dyDescent="0.25">
      <c r="A49" s="253" t="s">
        <v>489</v>
      </c>
      <c r="B49" s="120">
        <v>4.6899999999999986</v>
      </c>
      <c r="C49" s="120">
        <v>1.4135999999999902</v>
      </c>
      <c r="D49" s="120">
        <v>0</v>
      </c>
      <c r="E49" s="120">
        <v>0.59000000000001018</v>
      </c>
      <c r="F49" s="120">
        <v>1.0300000000000002</v>
      </c>
      <c r="G49" s="120">
        <v>1.0299999999999934</v>
      </c>
      <c r="H49" s="120">
        <v>1.4286999999999903</v>
      </c>
      <c r="I49" s="120">
        <v>1.0300000000000002</v>
      </c>
      <c r="J49" s="120">
        <v>1.7000000000004171E-2</v>
      </c>
      <c r="K49" s="120">
        <v>0.94149999999999978</v>
      </c>
      <c r="L49" s="120">
        <v>2.2999999999999932</v>
      </c>
      <c r="M49" s="120">
        <v>2.0597999999999965</v>
      </c>
      <c r="N49" s="120">
        <v>2.1077999999999881</v>
      </c>
      <c r="O49" s="120">
        <v>-0.22999999999999796</v>
      </c>
      <c r="P49" s="120">
        <v>-5.190000000001474E-2</v>
      </c>
      <c r="Q49" s="120">
        <v>0.58370000000001454</v>
      </c>
      <c r="R49" s="120">
        <v>-1.1900000000000037</v>
      </c>
      <c r="S49" s="120">
        <v>0.59020000000000705</v>
      </c>
      <c r="T49" s="120">
        <v>2.6382000000000008</v>
      </c>
      <c r="U49" s="120">
        <v>0.3460999999999837</v>
      </c>
      <c r="V49" s="120">
        <v>0.89649999999998087</v>
      </c>
      <c r="W49" s="120">
        <v>0.99340000000000384</v>
      </c>
      <c r="X49" s="120">
        <v>-0.10999999999998984</v>
      </c>
      <c r="Y49" s="120">
        <v>-1.8607999999999916</v>
      </c>
      <c r="Z49" s="120">
        <v>0</v>
      </c>
      <c r="AA49" s="120">
        <v>2.0531999999999968</v>
      </c>
      <c r="AB49" s="120">
        <v>-0.77859999999999185</v>
      </c>
      <c r="AC49" s="120">
        <v>10.102799999999991</v>
      </c>
      <c r="AD49" s="120">
        <v>-0.41369999999998969</v>
      </c>
      <c r="AE49" s="120">
        <v>0.67630000000000878</v>
      </c>
      <c r="AF49" s="120">
        <v>2.2070000000000025</v>
      </c>
      <c r="AG49" s="120">
        <v>0.68280000000000185</v>
      </c>
      <c r="AH49" s="120">
        <v>0.19999999999999765</v>
      </c>
      <c r="AI49" s="120">
        <v>-0.82910000000000572</v>
      </c>
      <c r="AJ49" s="120">
        <v>1.2199999999999953</v>
      </c>
      <c r="AK49" s="120">
        <v>2.6812999999999962</v>
      </c>
      <c r="AL49" s="120">
        <v>0.69650000000001278</v>
      </c>
    </row>
    <row r="50" spans="1:38" ht="11.25" customHeight="1" x14ac:dyDescent="0.25">
      <c r="A50" s="253" t="s">
        <v>490</v>
      </c>
      <c r="B50" s="120">
        <v>8.9999999999982483E-2</v>
      </c>
      <c r="C50" s="120">
        <v>1.5200000000000098</v>
      </c>
      <c r="D50" s="120">
        <v>0</v>
      </c>
      <c r="E50" s="120">
        <v>0.80999999999999162</v>
      </c>
      <c r="F50" s="120">
        <v>1.1400000000000101</v>
      </c>
      <c r="G50" s="120">
        <v>0.12000000000001747</v>
      </c>
      <c r="H50" s="120">
        <v>0.55019999999998903</v>
      </c>
      <c r="I50" s="120">
        <v>1.1400000000000101</v>
      </c>
      <c r="J50" s="120">
        <v>-1.0765000000000067</v>
      </c>
      <c r="K50" s="120">
        <v>1.4038999999999873</v>
      </c>
      <c r="L50" s="120">
        <v>3.4999999999999956</v>
      </c>
      <c r="M50" s="120">
        <v>1.3811999999999875</v>
      </c>
      <c r="N50" s="120">
        <v>0</v>
      </c>
      <c r="O50" s="120">
        <v>0.81999999999999229</v>
      </c>
      <c r="P50" s="120">
        <v>3.7784999999999855</v>
      </c>
      <c r="Q50" s="120">
        <v>0.49999999999998224</v>
      </c>
      <c r="R50" s="120">
        <v>0.77999999999999847</v>
      </c>
      <c r="S50" s="120">
        <v>1.3468999999999973</v>
      </c>
      <c r="T50" s="120">
        <v>2.4629999999999841</v>
      </c>
      <c r="U50" s="120">
        <v>0.45489999999998931</v>
      </c>
      <c r="V50" s="120">
        <v>1.0532000000000046</v>
      </c>
      <c r="W50" s="120">
        <v>1.1454999999999944</v>
      </c>
      <c r="X50" s="120">
        <v>-1.0499999999999947</v>
      </c>
      <c r="Y50" s="120">
        <v>-2.9999999999994528E-2</v>
      </c>
      <c r="Z50" s="120">
        <v>0</v>
      </c>
      <c r="AA50" s="120">
        <v>1.0793999999999946</v>
      </c>
      <c r="AB50" s="120">
        <v>-1.1558000000000017</v>
      </c>
      <c r="AC50" s="120">
        <v>2.2173999999999827</v>
      </c>
      <c r="AD50" s="120">
        <v>1.405400000000002</v>
      </c>
      <c r="AE50" s="120">
        <v>0.95419999999998972</v>
      </c>
      <c r="AF50" s="120">
        <v>1.8783000000000061</v>
      </c>
      <c r="AG50" s="120">
        <v>-2.1313000000000009</v>
      </c>
      <c r="AH50" s="120">
        <v>0.82000000000000717</v>
      </c>
      <c r="AI50" s="120">
        <v>0</v>
      </c>
      <c r="AJ50" s="120">
        <v>1.6100000000000063</v>
      </c>
      <c r="AK50" s="120">
        <v>-0.10509999999999724</v>
      </c>
      <c r="AL50" s="120">
        <v>1.5614999999999926</v>
      </c>
    </row>
    <row r="51" spans="1:38" ht="11.25" customHeight="1" x14ac:dyDescent="0.25">
      <c r="A51" s="253" t="s">
        <v>491</v>
      </c>
      <c r="B51" s="120">
        <v>0.21999999999999476</v>
      </c>
      <c r="C51" s="120">
        <v>1.0199999999999978</v>
      </c>
      <c r="D51" s="120">
        <v>0</v>
      </c>
      <c r="E51" s="120">
        <v>0.86000000000000087</v>
      </c>
      <c r="F51" s="120">
        <v>1.2000000000000106</v>
      </c>
      <c r="G51" s="120">
        <v>0.47999999999998999</v>
      </c>
      <c r="H51" s="120">
        <v>1.002299999999996</v>
      </c>
      <c r="I51" s="120">
        <v>1.2000000000000106</v>
      </c>
      <c r="J51" s="120">
        <v>1.9338000000000042</v>
      </c>
      <c r="K51" s="120">
        <v>1.3020999999999905</v>
      </c>
      <c r="L51" s="120">
        <v>0.29999999999999444</v>
      </c>
      <c r="M51" s="120">
        <v>0.89859999999998863</v>
      </c>
      <c r="N51" s="120">
        <v>0</v>
      </c>
      <c r="O51" s="120">
        <v>-0.33999999999999875</v>
      </c>
      <c r="P51" s="120">
        <v>-1.3321999999999972</v>
      </c>
      <c r="Q51" s="120">
        <v>0.99999999999999512</v>
      </c>
      <c r="R51" s="120">
        <v>-0.13999999999999635</v>
      </c>
      <c r="S51" s="120">
        <v>0.53520000000000256</v>
      </c>
      <c r="T51" s="120">
        <v>2.1126999999999887</v>
      </c>
      <c r="U51" s="120">
        <v>0.47539999999999993</v>
      </c>
      <c r="V51" s="120">
        <v>0.9522000000000076</v>
      </c>
      <c r="W51" s="120">
        <v>-0.23300000000001006</v>
      </c>
      <c r="X51" s="120">
        <v>0.19999999999999454</v>
      </c>
      <c r="Y51" s="120">
        <v>0.58000000000000218</v>
      </c>
      <c r="Z51" s="120">
        <v>-0.62959999999999727</v>
      </c>
      <c r="AA51" s="120">
        <v>1.4061999999999995</v>
      </c>
      <c r="AB51" s="120">
        <v>1.7854000000000068</v>
      </c>
      <c r="AC51" s="120">
        <v>1.5241999999999989</v>
      </c>
      <c r="AD51" s="120">
        <v>2.4094000000000118</v>
      </c>
      <c r="AE51" s="120">
        <v>-2.1000000000001059E-2</v>
      </c>
      <c r="AF51" s="120">
        <v>3.3006000000000104</v>
      </c>
      <c r="AG51" s="120">
        <v>3.9596</v>
      </c>
      <c r="AH51" s="120">
        <v>-0.1199999999999995</v>
      </c>
      <c r="AI51" s="120">
        <v>0</v>
      </c>
      <c r="AJ51" s="120">
        <v>1.9600000000000097</v>
      </c>
      <c r="AK51" s="120">
        <v>2.1050000000000053</v>
      </c>
      <c r="AL51" s="120">
        <v>-0.19160000000000257</v>
      </c>
    </row>
    <row r="52" spans="1:38" ht="11.25" customHeight="1" x14ac:dyDescent="0.25">
      <c r="A52" s="253" t="s">
        <v>492</v>
      </c>
      <c r="B52" s="120">
        <v>3.3300000000000072</v>
      </c>
      <c r="C52" s="120">
        <v>2.4999999999999964</v>
      </c>
      <c r="D52" s="120">
        <v>1.8300000000000058</v>
      </c>
      <c r="E52" s="120">
        <v>0.99999999999999933</v>
      </c>
      <c r="F52" s="120">
        <v>1.1300000000000177</v>
      </c>
      <c r="G52" s="120">
        <v>5.3099999999999934</v>
      </c>
      <c r="H52" s="120">
        <v>-1.7000000000001913E-2</v>
      </c>
      <c r="I52" s="120">
        <v>1.1300000000000177</v>
      </c>
      <c r="J52" s="120">
        <v>-4.3973000000000102</v>
      </c>
      <c r="K52" s="120">
        <v>0.39050000000000229</v>
      </c>
      <c r="L52" s="120">
        <v>3.2000000000000015</v>
      </c>
      <c r="M52" s="120">
        <v>1.8667000000000062</v>
      </c>
      <c r="N52" s="120">
        <v>5.2742000000000004</v>
      </c>
      <c r="O52" s="120">
        <v>-0.51000000000000512</v>
      </c>
      <c r="P52" s="120">
        <v>-0.50480000000000413</v>
      </c>
      <c r="Q52" s="120">
        <v>0.99789999999999468</v>
      </c>
      <c r="R52" s="120">
        <v>2.0000000000007481E-2</v>
      </c>
      <c r="S52" s="120">
        <v>1.2601999999999989</v>
      </c>
      <c r="T52" s="120">
        <v>0.54799999999999061</v>
      </c>
      <c r="U52" s="120">
        <v>12.996999999999984</v>
      </c>
      <c r="V52" s="120">
        <v>1.1734999999999975</v>
      </c>
      <c r="W52" s="120">
        <v>0.78620000000001222</v>
      </c>
      <c r="X52" s="120">
        <v>0</v>
      </c>
      <c r="Y52" s="120">
        <v>1.2999999999999889</v>
      </c>
      <c r="Z52" s="120">
        <v>0</v>
      </c>
      <c r="AA52" s="120">
        <v>0.71030000000000981</v>
      </c>
      <c r="AB52" s="120">
        <v>9.5299999999998178E-2</v>
      </c>
      <c r="AC52" s="120">
        <v>0.25690000000000091</v>
      </c>
      <c r="AD52" s="120">
        <v>3.0988000000000007</v>
      </c>
      <c r="AE52" s="120">
        <v>1.1174999999999948</v>
      </c>
      <c r="AF52" s="120">
        <v>4.5498000000000092</v>
      </c>
      <c r="AG52" s="120">
        <v>2.3109999999999942</v>
      </c>
      <c r="AH52" s="120">
        <v>0.52999999999999925</v>
      </c>
      <c r="AI52" s="120">
        <v>3.3541000000000043</v>
      </c>
      <c r="AJ52" s="120">
        <v>0.92000000000000348</v>
      </c>
      <c r="AK52" s="120">
        <v>2.8496000000000072</v>
      </c>
      <c r="AL52" s="120">
        <v>0.45700000000000118</v>
      </c>
    </row>
    <row r="53" spans="1:38" ht="11.25" customHeight="1" x14ac:dyDescent="0.25">
      <c r="A53" s="253" t="s">
        <v>493</v>
      </c>
      <c r="B53" s="120">
        <v>-1.3399999999999934</v>
      </c>
      <c r="C53" s="120">
        <v>-5.6999999999999993</v>
      </c>
      <c r="D53" s="120">
        <v>0</v>
      </c>
      <c r="E53" s="120">
        <v>1.0799999999999932</v>
      </c>
      <c r="F53" s="120">
        <v>1.0499999999999992</v>
      </c>
      <c r="G53" s="120">
        <v>-3.4799999999999951</v>
      </c>
      <c r="H53" s="120">
        <v>-0.46410000000000184</v>
      </c>
      <c r="I53" s="120">
        <v>1.0499999999999992</v>
      </c>
      <c r="J53" s="120">
        <v>-1.1642999999999932</v>
      </c>
      <c r="K53" s="120">
        <v>0.81519999999998793</v>
      </c>
      <c r="L53" s="120">
        <v>3.8999999999999924</v>
      </c>
      <c r="M53" s="120">
        <v>0.43020000000000619</v>
      </c>
      <c r="N53" s="120">
        <v>0</v>
      </c>
      <c r="O53" s="120">
        <v>0.14149999999999874</v>
      </c>
      <c r="P53" s="120">
        <v>-2.7600000000002428E-2</v>
      </c>
      <c r="Q53" s="120">
        <v>0.29999999999998528</v>
      </c>
      <c r="R53" s="120">
        <v>0.2599999999999919</v>
      </c>
      <c r="S53" s="120">
        <v>-0.15119999999999639</v>
      </c>
      <c r="T53" s="120">
        <v>-0.3845999999999935</v>
      </c>
      <c r="U53" s="120">
        <v>0.46209999999999846</v>
      </c>
      <c r="V53" s="120">
        <v>0.9518999999999963</v>
      </c>
      <c r="W53" s="120">
        <v>0.82739999999998926</v>
      </c>
      <c r="X53" s="120">
        <v>-6.1799999999999908</v>
      </c>
      <c r="Y53" s="120">
        <v>-0.94999999999999685</v>
      </c>
      <c r="Z53" s="120">
        <v>0</v>
      </c>
      <c r="AA53" s="120">
        <v>0.42279999999998352</v>
      </c>
      <c r="AB53" s="120">
        <v>-0.34140000000000792</v>
      </c>
      <c r="AC53" s="120">
        <v>3.0751000000000022</v>
      </c>
      <c r="AD53" s="120">
        <v>0.9157999999999944</v>
      </c>
      <c r="AE53" s="120">
        <v>0.85340000000000971</v>
      </c>
      <c r="AF53" s="120">
        <v>5.538500000000008</v>
      </c>
      <c r="AG53" s="120">
        <v>-5.6238000000000055</v>
      </c>
      <c r="AH53" s="120">
        <v>0.67999999999999228</v>
      </c>
      <c r="AI53" s="120">
        <v>0</v>
      </c>
      <c r="AJ53" s="120">
        <v>0.71000000000001695</v>
      </c>
      <c r="AK53" s="120">
        <v>-1.9637000000000058</v>
      </c>
      <c r="AL53" s="120">
        <v>0.14149999999999874</v>
      </c>
    </row>
    <row r="54" spans="1:38" ht="11.25" customHeight="1" x14ac:dyDescent="0.25">
      <c r="A54" s="253" t="s">
        <v>494</v>
      </c>
      <c r="B54" s="120">
        <v>-4.0399999999999974</v>
      </c>
      <c r="C54" s="120">
        <v>0.60000000000000153</v>
      </c>
      <c r="D54" s="120">
        <v>0</v>
      </c>
      <c r="E54" s="120">
        <v>0.79000000000000048</v>
      </c>
      <c r="F54" s="120">
        <v>1.0200000000000025</v>
      </c>
      <c r="G54" s="120">
        <v>-0.26000000000000301</v>
      </c>
      <c r="H54" s="120">
        <v>0.20579999999999002</v>
      </c>
      <c r="I54" s="120">
        <v>1.0200000000000025</v>
      </c>
      <c r="J54" s="120">
        <v>0.69189999999998342</v>
      </c>
      <c r="K54" s="120">
        <v>0.41920000000000002</v>
      </c>
      <c r="L54" s="120">
        <v>3.2000000000000028</v>
      </c>
      <c r="M54" s="120">
        <v>0.9887999999999848</v>
      </c>
      <c r="N54" s="120">
        <v>0</v>
      </c>
      <c r="O54" s="120">
        <v>0.23159999999999892</v>
      </c>
      <c r="P54" s="120">
        <v>1.8948000000000063</v>
      </c>
      <c r="Q54" s="120">
        <v>-0.20000000000000304</v>
      </c>
      <c r="R54" s="120">
        <v>-1.7500000000000047</v>
      </c>
      <c r="S54" s="120">
        <v>-0.64399999999999724</v>
      </c>
      <c r="T54" s="120">
        <v>-0.94970000000000754</v>
      </c>
      <c r="U54" s="120">
        <v>0.44630000000001629</v>
      </c>
      <c r="V54" s="120">
        <v>1.0818000000000076</v>
      </c>
      <c r="W54" s="120">
        <v>2.5393999999999899</v>
      </c>
      <c r="X54" s="120">
        <v>-9.0000000000007102E-2</v>
      </c>
      <c r="Y54" s="120">
        <v>1.7700000000000111</v>
      </c>
      <c r="Z54" s="120">
        <v>2.8426000000000009</v>
      </c>
      <c r="AA54" s="120">
        <v>0.62800000000000322</v>
      </c>
      <c r="AB54" s="120">
        <v>0.54000000000000414</v>
      </c>
      <c r="AC54" s="120">
        <v>-0.12830000000001021</v>
      </c>
      <c r="AD54" s="120">
        <v>2.2413999999999925</v>
      </c>
      <c r="AE54" s="120">
        <v>1.0744000000000076</v>
      </c>
      <c r="AF54" s="120">
        <v>1.0000000000002576E-2</v>
      </c>
      <c r="AG54" s="120">
        <v>-2.5398000000000112</v>
      </c>
      <c r="AH54" s="120">
        <v>1.1900000000000084</v>
      </c>
      <c r="AI54" s="120">
        <v>0</v>
      </c>
      <c r="AJ54" s="120">
        <v>1.9300000000000113</v>
      </c>
      <c r="AK54" s="120">
        <v>0.26750000000000235</v>
      </c>
      <c r="AL54" s="120">
        <v>0.23159999999999892</v>
      </c>
    </row>
    <row r="55" spans="1:38" ht="11.25" customHeight="1" x14ac:dyDescent="0.25">
      <c r="A55" s="253" t="s">
        <v>495</v>
      </c>
      <c r="B55" s="120">
        <v>4.4799999999999995</v>
      </c>
      <c r="C55" s="120">
        <v>-1.3000000000000038</v>
      </c>
      <c r="D55" s="120">
        <v>1.9300000000000082</v>
      </c>
      <c r="E55" s="120">
        <v>0.72000000000000586</v>
      </c>
      <c r="F55" s="120">
        <v>0.46999999999998954</v>
      </c>
      <c r="G55" s="120">
        <v>2.4999999999999813</v>
      </c>
      <c r="H55" s="120">
        <v>-0.36070000000000058</v>
      </c>
      <c r="I55" s="120">
        <v>0.46999999999998954</v>
      </c>
      <c r="J55" s="120">
        <v>2.0534000000000057</v>
      </c>
      <c r="K55" s="120">
        <v>1.0899000000000065</v>
      </c>
      <c r="L55" s="120">
        <v>3.0999999999999943</v>
      </c>
      <c r="M55" s="120">
        <v>-0.40980000000000472</v>
      </c>
      <c r="N55" s="120">
        <v>8.6743999999999932</v>
      </c>
      <c r="O55" s="120">
        <v>-1.0978999999999997</v>
      </c>
      <c r="P55" s="120">
        <v>2.0034000000000018</v>
      </c>
      <c r="Q55" s="120">
        <v>0.93339999999999967</v>
      </c>
      <c r="R55" s="120">
        <v>-2.5200000000000014</v>
      </c>
      <c r="S55" s="120">
        <v>-2.0673000000000044</v>
      </c>
      <c r="T55" s="120">
        <v>-1.8705999999999956</v>
      </c>
      <c r="U55" s="120">
        <v>0.63470000000001581</v>
      </c>
      <c r="V55" s="120">
        <v>1.0664999999999967</v>
      </c>
      <c r="W55" s="120">
        <v>-0.2014999999999969</v>
      </c>
      <c r="X55" s="120">
        <v>-1.370000000000013</v>
      </c>
      <c r="Y55" s="120">
        <v>-0.99999999999999512</v>
      </c>
      <c r="Z55" s="120">
        <v>0</v>
      </c>
      <c r="AA55" s="120">
        <v>-0.1823999999999992</v>
      </c>
      <c r="AB55" s="120">
        <v>2.0000000000000531E-2</v>
      </c>
      <c r="AC55" s="120">
        <v>-0.57310000000001005</v>
      </c>
      <c r="AD55" s="120">
        <v>1.0300000000000067</v>
      </c>
      <c r="AE55" s="120">
        <v>-0.56349999999999656</v>
      </c>
      <c r="AF55" s="120">
        <v>-14.801499999999997</v>
      </c>
      <c r="AG55" s="120">
        <v>-6.9710999999999999</v>
      </c>
      <c r="AH55" s="120">
        <v>-0.18000000000000252</v>
      </c>
      <c r="AI55" s="120">
        <v>3.7037000000000084</v>
      </c>
      <c r="AJ55" s="120">
        <v>2.6799999999999944</v>
      </c>
      <c r="AK55" s="120">
        <v>2.3300000000000094</v>
      </c>
      <c r="AL55" s="120">
        <v>-1.0978999999999997</v>
      </c>
    </row>
    <row r="56" spans="1:38" ht="11.25" customHeight="1" x14ac:dyDescent="0.25">
      <c r="A56" s="253" t="s">
        <v>496</v>
      </c>
      <c r="B56" s="120">
        <v>1.8699999999999939</v>
      </c>
      <c r="C56" s="120">
        <v>2.8000000000000065</v>
      </c>
      <c r="D56" s="120">
        <v>0</v>
      </c>
      <c r="E56" s="120">
        <v>0.65999999999999492</v>
      </c>
      <c r="F56" s="120">
        <v>0.66000000000000125</v>
      </c>
      <c r="G56" s="120">
        <v>-0.29000000000000248</v>
      </c>
      <c r="H56" s="120">
        <v>1.3913000000000049</v>
      </c>
      <c r="I56" s="120">
        <v>0.66000000000000125</v>
      </c>
      <c r="J56" s="120">
        <v>-3.7514999999999974</v>
      </c>
      <c r="K56" s="120">
        <v>6.7299999999995114E-2</v>
      </c>
      <c r="L56" s="120">
        <v>4.0999999999999988</v>
      </c>
      <c r="M56" s="120">
        <v>1.3123999999999867</v>
      </c>
      <c r="N56" s="120">
        <v>0</v>
      </c>
      <c r="O56" s="120">
        <v>1.4598999999999938</v>
      </c>
      <c r="P56" s="120">
        <v>0.24459999999998966</v>
      </c>
      <c r="Q56" s="120">
        <v>9.9999999999986752E-2</v>
      </c>
      <c r="R56" s="120">
        <v>-1.0000000000000073</v>
      </c>
      <c r="S56" s="120">
        <v>-0.19890000000000294</v>
      </c>
      <c r="T56" s="120">
        <v>1.4758999999999958</v>
      </c>
      <c r="U56" s="120">
        <v>0.28819999999999929</v>
      </c>
      <c r="V56" s="120">
        <v>1.1362000000000174</v>
      </c>
      <c r="W56" s="120">
        <v>1.2968000000000157</v>
      </c>
      <c r="X56" s="120">
        <v>0.2383000000000072</v>
      </c>
      <c r="Y56" s="120">
        <v>1.0413999999999957</v>
      </c>
      <c r="Z56" s="120">
        <v>0</v>
      </c>
      <c r="AA56" s="120">
        <v>0.98379999999999479</v>
      </c>
      <c r="AB56" s="120">
        <v>-1.2994999999999979</v>
      </c>
      <c r="AC56" s="120">
        <v>1.2239000000000149</v>
      </c>
      <c r="AD56" s="120">
        <v>3.027800000000012</v>
      </c>
      <c r="AE56" s="120">
        <v>0.75190000000000112</v>
      </c>
      <c r="AF56" s="120">
        <v>4.2221999999999902</v>
      </c>
      <c r="AG56" s="120">
        <v>8.4500000000001657E-2</v>
      </c>
      <c r="AH56" s="120">
        <v>1.0999999999999925</v>
      </c>
      <c r="AI56" s="120">
        <v>0</v>
      </c>
      <c r="AJ56" s="120">
        <v>2.7899999999999996</v>
      </c>
      <c r="AK56" s="120">
        <v>4.1803999999999908</v>
      </c>
      <c r="AL56" s="120">
        <v>1.4598999999999938</v>
      </c>
    </row>
    <row r="57" spans="1:38" ht="11.25" customHeight="1" x14ac:dyDescent="0.25">
      <c r="A57" s="253" t="s">
        <v>497</v>
      </c>
      <c r="B57" s="120">
        <v>-7.0699999999999932</v>
      </c>
      <c r="C57" s="120">
        <v>6.4999999999999991</v>
      </c>
      <c r="D57" s="120">
        <v>0</v>
      </c>
      <c r="E57" s="120">
        <v>1.0399999999999885</v>
      </c>
      <c r="F57" s="120">
        <v>1.150000000000007</v>
      </c>
      <c r="G57" s="120">
        <v>4.6899999999999897</v>
      </c>
      <c r="H57" s="120">
        <v>1.1975000000000149</v>
      </c>
      <c r="I57" s="120">
        <v>1.150000000000007</v>
      </c>
      <c r="J57" s="120">
        <v>0.36149999999999805</v>
      </c>
      <c r="K57" s="120">
        <v>3.5957000000000008</v>
      </c>
      <c r="L57" s="120">
        <v>-0.10000000000000614</v>
      </c>
      <c r="M57" s="120">
        <v>0.24450000000000535</v>
      </c>
      <c r="N57" s="120">
        <v>0</v>
      </c>
      <c r="O57" s="120">
        <v>0.57000000000000328</v>
      </c>
      <c r="P57" s="120">
        <v>1.2051999999999958</v>
      </c>
      <c r="Q57" s="120">
        <v>0.69999999999998974</v>
      </c>
      <c r="R57" s="120">
        <v>-1.6599999999999862</v>
      </c>
      <c r="S57" s="120">
        <v>0.16030000000000097</v>
      </c>
      <c r="T57" s="120">
        <v>0.37229999999999497</v>
      </c>
      <c r="U57" s="120">
        <v>0.49900000000000111</v>
      </c>
      <c r="V57" s="120">
        <v>1.0533999999999963</v>
      </c>
      <c r="W57" s="120">
        <v>0.41489999999999677</v>
      </c>
      <c r="X57" s="120">
        <v>1.6713999999999951</v>
      </c>
      <c r="Y57" s="120">
        <v>-6.7200000000007129E-2</v>
      </c>
      <c r="Z57" s="120">
        <v>-1.5429000000000002</v>
      </c>
      <c r="AA57" s="120">
        <v>2.7087000000000079</v>
      </c>
      <c r="AB57" s="120">
        <v>4.1800000000000059</v>
      </c>
      <c r="AC57" s="120">
        <v>-1.284500000000008</v>
      </c>
      <c r="AD57" s="120">
        <v>2.2999999999999861</v>
      </c>
      <c r="AE57" s="120">
        <v>0.562499999999997</v>
      </c>
      <c r="AF57" s="120">
        <v>1.5052000000000119</v>
      </c>
      <c r="AG57" s="120">
        <v>6.2963000000000084</v>
      </c>
      <c r="AH57" s="120">
        <v>0.56000000000000838</v>
      </c>
      <c r="AI57" s="120">
        <v>0</v>
      </c>
      <c r="AJ57" s="120">
        <v>2.6699999999999986</v>
      </c>
      <c r="AK57" s="120">
        <v>0.97999999999999943</v>
      </c>
      <c r="AL57" s="120">
        <v>0.57000000000000328</v>
      </c>
    </row>
    <row r="58" spans="1:38" ht="11.25" customHeight="1" x14ac:dyDescent="0.25">
      <c r="A58" s="253" t="s">
        <v>498</v>
      </c>
      <c r="B58" s="120">
        <v>1.5800000000000081</v>
      </c>
      <c r="C58" s="120">
        <v>-3.2000000000000055</v>
      </c>
      <c r="D58" s="120">
        <v>0</v>
      </c>
      <c r="E58" s="120">
        <v>0.67999999999998673</v>
      </c>
      <c r="F58" s="120">
        <v>0.55999999999999761</v>
      </c>
      <c r="G58" s="120">
        <v>1.1500000000000021</v>
      </c>
      <c r="H58" s="120">
        <v>1.6688999999999894</v>
      </c>
      <c r="I58" s="120">
        <v>0.55999999999999761</v>
      </c>
      <c r="J58" s="120">
        <v>-1.0308000000000004</v>
      </c>
      <c r="K58" s="120">
        <v>0.68880000000000741</v>
      </c>
      <c r="L58" s="120">
        <v>2.000000000000008</v>
      </c>
      <c r="M58" s="120">
        <v>0.80889999999999784</v>
      </c>
      <c r="N58" s="120">
        <v>-2.0668000000000064</v>
      </c>
      <c r="O58" s="120">
        <v>2.0000000000000058</v>
      </c>
      <c r="P58" s="120">
        <v>3.4891000000000045</v>
      </c>
      <c r="Q58" s="120">
        <v>1.0195000000000036</v>
      </c>
      <c r="R58" s="120">
        <v>5.2299999999999951</v>
      </c>
      <c r="S58" s="120">
        <v>0.50010000000000432</v>
      </c>
      <c r="T58" s="120">
        <v>-0.25039999999999785</v>
      </c>
      <c r="U58" s="120">
        <v>0.4961000000000047</v>
      </c>
      <c r="V58" s="120">
        <v>0.64750000000000629</v>
      </c>
      <c r="W58" s="120">
        <v>4.3100000000000014</v>
      </c>
      <c r="X58" s="120">
        <v>1.0308000000000039</v>
      </c>
      <c r="Y58" s="120">
        <v>2.545400000000011</v>
      </c>
      <c r="Z58" s="120">
        <v>0.26859999999999451</v>
      </c>
      <c r="AA58" s="120">
        <v>0.87120000000000042</v>
      </c>
      <c r="AB58" s="120">
        <v>1.7600000000000029</v>
      </c>
      <c r="AC58" s="120">
        <v>4.0181000000000084</v>
      </c>
      <c r="AD58" s="120">
        <v>3.6200000000000108</v>
      </c>
      <c r="AE58" s="120">
        <v>0.97050000000000403</v>
      </c>
      <c r="AF58" s="120">
        <v>3.4069999999999991</v>
      </c>
      <c r="AG58" s="120">
        <v>1.0688999999999984</v>
      </c>
      <c r="AH58" s="120">
        <v>0.53000000000000214</v>
      </c>
      <c r="AI58" s="120">
        <v>0.53650000000000886</v>
      </c>
      <c r="AJ58" s="120">
        <v>3.7700000000000076</v>
      </c>
      <c r="AK58" s="120">
        <v>0.99999999999999833</v>
      </c>
      <c r="AL58" s="120">
        <v>2.0000000000000058</v>
      </c>
    </row>
    <row r="59" spans="1:38" ht="11.25" customHeight="1" x14ac:dyDescent="0.25">
      <c r="A59" s="253" t="s">
        <v>499</v>
      </c>
      <c r="B59" s="120">
        <v>1.7300000000000089</v>
      </c>
      <c r="C59" s="120">
        <v>-2.1000000000000019</v>
      </c>
      <c r="D59" s="120">
        <v>0.49999999999999084</v>
      </c>
      <c r="E59" s="120">
        <v>0.69999999999999196</v>
      </c>
      <c r="F59" s="120">
        <v>0.85999999999999865</v>
      </c>
      <c r="G59" s="120">
        <v>2.8499999999999917</v>
      </c>
      <c r="H59" s="120">
        <v>0.7657999999999856</v>
      </c>
      <c r="I59" s="120">
        <v>0.85999999999999865</v>
      </c>
      <c r="J59" s="120">
        <v>-2.7466000000000008</v>
      </c>
      <c r="K59" s="120">
        <v>0.58790000000000586</v>
      </c>
      <c r="L59" s="120">
        <v>0.19999999999999318</v>
      </c>
      <c r="M59" s="120">
        <v>0.44059999999999533</v>
      </c>
      <c r="N59" s="120">
        <v>0</v>
      </c>
      <c r="O59" s="120">
        <v>-0.47000000000000625</v>
      </c>
      <c r="P59" s="120">
        <v>3.1646000000000103</v>
      </c>
      <c r="Q59" s="120">
        <v>-0.59999999999999631</v>
      </c>
      <c r="R59" s="120">
        <v>-1.1399999999999935</v>
      </c>
      <c r="S59" s="120">
        <v>0.17339999999998473</v>
      </c>
      <c r="T59" s="120">
        <v>-1.3389999999999953</v>
      </c>
      <c r="U59" s="120">
        <v>0.37110000000000132</v>
      </c>
      <c r="V59" s="120">
        <v>0.21119999999998193</v>
      </c>
      <c r="W59" s="120">
        <v>-6.0000000000010274E-2</v>
      </c>
      <c r="X59" s="120">
        <v>-0.96010000000000006</v>
      </c>
      <c r="Y59" s="120">
        <v>0.23910000000000076</v>
      </c>
      <c r="Z59" s="120">
        <v>2.1419000000000024</v>
      </c>
      <c r="AA59" s="120">
        <v>-1.1452999999999993</v>
      </c>
      <c r="AB59" s="120">
        <v>3.8699999999999921</v>
      </c>
      <c r="AC59" s="120">
        <v>1.0350999999999977</v>
      </c>
      <c r="AD59" s="120">
        <v>-0.86999999999999456</v>
      </c>
      <c r="AE59" s="120">
        <v>0.21409999999999216</v>
      </c>
      <c r="AF59" s="120">
        <v>0.74330000000000618</v>
      </c>
      <c r="AG59" s="120">
        <v>2.2453999999999965</v>
      </c>
      <c r="AH59" s="120">
        <v>1.3899999999999963</v>
      </c>
      <c r="AI59" s="120">
        <v>0</v>
      </c>
      <c r="AJ59" s="120">
        <v>1.909999999999985</v>
      </c>
      <c r="AK59" s="120">
        <v>5.5700000000000136</v>
      </c>
      <c r="AL59" s="120">
        <v>-0.47000000000000625</v>
      </c>
    </row>
    <row r="60" spans="1:38" ht="11.25" customHeight="1" x14ac:dyDescent="0.25">
      <c r="A60" s="253" t="s">
        <v>500</v>
      </c>
      <c r="B60" s="120">
        <v>3.7099999999999862</v>
      </c>
      <c r="C60" s="120">
        <v>-1.6000000000000045</v>
      </c>
      <c r="D60" s="120">
        <v>0.3500000000000088</v>
      </c>
      <c r="E60" s="120">
        <v>0.77999999999999448</v>
      </c>
      <c r="F60" s="120">
        <v>0.60000000000000742</v>
      </c>
      <c r="G60" s="120">
        <v>-1.2399999999999947</v>
      </c>
      <c r="H60" s="120">
        <v>1.8837000000000013</v>
      </c>
      <c r="I60" s="120">
        <v>0.60000000000000742</v>
      </c>
      <c r="J60" s="120">
        <v>-5.8622000000000005</v>
      </c>
      <c r="K60" s="120">
        <v>1.9777</v>
      </c>
      <c r="L60" s="120">
        <v>2.1999999999999948</v>
      </c>
      <c r="M60" s="120">
        <v>1.6380000000000055</v>
      </c>
      <c r="N60" s="120">
        <v>0</v>
      </c>
      <c r="O60" s="120">
        <v>-0.11999999999999546</v>
      </c>
      <c r="P60" s="120">
        <v>-2.3367999999999998</v>
      </c>
      <c r="Q60" s="120">
        <v>-0.90000000000000513</v>
      </c>
      <c r="R60" s="120">
        <v>-1.0199999999999929</v>
      </c>
      <c r="S60" s="120">
        <v>0.91369999999999085</v>
      </c>
      <c r="T60" s="120">
        <v>-2.1099999999995029E-2</v>
      </c>
      <c r="U60" s="120">
        <v>0.25800000000000289</v>
      </c>
      <c r="V60" s="120">
        <v>0.38479999999999764</v>
      </c>
      <c r="W60" s="120">
        <v>1.803599999999993</v>
      </c>
      <c r="X60" s="120">
        <v>1.3339999999999907</v>
      </c>
      <c r="Y60" s="120">
        <v>-8.3499999999996743E-2</v>
      </c>
      <c r="Z60" s="120">
        <v>-0.99610000000000076</v>
      </c>
      <c r="AA60" s="120">
        <v>-1.5429000000000022</v>
      </c>
      <c r="AB60" s="120">
        <v>0.97000000000001074</v>
      </c>
      <c r="AC60" s="120">
        <v>0.59710000000000485</v>
      </c>
      <c r="AD60" s="120">
        <v>4.0656000000000061</v>
      </c>
      <c r="AE60" s="120">
        <v>1.5044000000000053</v>
      </c>
      <c r="AF60" s="120">
        <v>4.7857000000000021</v>
      </c>
      <c r="AG60" s="120">
        <v>0.81020000000000081</v>
      </c>
      <c r="AH60" s="120">
        <v>-2.0500000000000043</v>
      </c>
      <c r="AI60" s="120">
        <v>0</v>
      </c>
      <c r="AJ60" s="120">
        <v>5.8799999999999981</v>
      </c>
      <c r="AK60" s="120">
        <v>-2.3200000000000016</v>
      </c>
      <c r="AL60" s="120">
        <v>-0.11999999999999546</v>
      </c>
    </row>
    <row r="61" spans="1:38" ht="11.25" customHeight="1" x14ac:dyDescent="0.25">
      <c r="A61" s="253" t="s">
        <v>501</v>
      </c>
      <c r="B61" s="120">
        <v>4.5299999999999878</v>
      </c>
      <c r="C61" s="120">
        <v>-3.0000000000000071</v>
      </c>
      <c r="D61" s="120">
        <v>1.9800000000000015</v>
      </c>
      <c r="E61" s="120">
        <v>0.39999999999999619</v>
      </c>
      <c r="F61" s="120">
        <v>-9.0000000000004091E-2</v>
      </c>
      <c r="G61" s="120">
        <v>-1.3700000000000072</v>
      </c>
      <c r="H61" s="120">
        <v>-0.4811000000000013</v>
      </c>
      <c r="I61" s="120">
        <v>-9.0000000000004091E-2</v>
      </c>
      <c r="J61" s="120">
        <v>2.3026000000000031</v>
      </c>
      <c r="K61" s="120">
        <v>1.9176000000000093</v>
      </c>
      <c r="L61" s="120">
        <v>0</v>
      </c>
      <c r="M61" s="120">
        <v>0.59530000000001582</v>
      </c>
      <c r="N61" s="120">
        <v>8.0538999999999898</v>
      </c>
      <c r="O61" s="120">
        <v>1.0400000000000054</v>
      </c>
      <c r="P61" s="120">
        <v>-0.69979999999999465</v>
      </c>
      <c r="Q61" s="120">
        <v>1.2369000000000157</v>
      </c>
      <c r="R61" s="120">
        <v>0.16999999999999488</v>
      </c>
      <c r="S61" s="120">
        <v>5.2100000000000396E-2</v>
      </c>
      <c r="T61" s="120">
        <v>3.5626999999999978</v>
      </c>
      <c r="U61" s="120">
        <v>0.14430000000000423</v>
      </c>
      <c r="V61" s="120">
        <v>1.2499999999988947E-2</v>
      </c>
      <c r="W61" s="120">
        <v>-0.87149999999999972</v>
      </c>
      <c r="X61" s="120">
        <v>-3.0095999999999989</v>
      </c>
      <c r="Y61" s="120">
        <v>-2.117999999999999</v>
      </c>
      <c r="Z61" s="120">
        <v>0.62330000000000019</v>
      </c>
      <c r="AA61" s="120">
        <v>0.26860000000000051</v>
      </c>
      <c r="AB61" s="120">
        <v>-1.3899999999999975</v>
      </c>
      <c r="AC61" s="120">
        <v>2.7686999999999919</v>
      </c>
      <c r="AD61" s="120">
        <v>-1.0271999999999912</v>
      </c>
      <c r="AE61" s="120">
        <v>6.900000000001158E-2</v>
      </c>
      <c r="AF61" s="120">
        <v>10.887500000000015</v>
      </c>
      <c r="AG61" s="120">
        <v>-9.9103999999999903</v>
      </c>
      <c r="AH61" s="120">
        <v>-0.62999999999999301</v>
      </c>
      <c r="AI61" s="120">
        <v>5.4351000000000003</v>
      </c>
      <c r="AJ61" s="120">
        <v>1.2199999999999966</v>
      </c>
      <c r="AK61" s="120">
        <v>1.2000000000000073</v>
      </c>
      <c r="AL61" s="120">
        <v>1.0400000000000054</v>
      </c>
    </row>
    <row r="62" spans="1:38" ht="11.25" customHeight="1" x14ac:dyDescent="0.25">
      <c r="A62" s="253" t="s">
        <v>502</v>
      </c>
      <c r="B62" s="120">
        <v>3.3999999999999959</v>
      </c>
      <c r="C62" s="120">
        <v>0.69999999999998763</v>
      </c>
      <c r="D62" s="120">
        <v>0.56999999999999795</v>
      </c>
      <c r="E62" s="120">
        <v>1.149999999999999</v>
      </c>
      <c r="F62" s="120">
        <v>1.1399999999999997</v>
      </c>
      <c r="G62" s="120">
        <v>1.8200000000000025</v>
      </c>
      <c r="H62" s="120">
        <v>1.057000000000005</v>
      </c>
      <c r="I62" s="120">
        <v>1.1399999999999997</v>
      </c>
      <c r="J62" s="120">
        <v>-2.4495999999999905</v>
      </c>
      <c r="K62" s="120">
        <v>2.9239000000000068</v>
      </c>
      <c r="L62" s="120">
        <v>1.6999999999999849</v>
      </c>
      <c r="M62" s="120">
        <v>1.536399999999988</v>
      </c>
      <c r="N62" s="120">
        <v>0</v>
      </c>
      <c r="O62" s="120">
        <v>3.1600000000000095</v>
      </c>
      <c r="P62" s="120">
        <v>-3.3199999999998432E-2</v>
      </c>
      <c r="Q62" s="120">
        <v>1.0000000000000029</v>
      </c>
      <c r="R62" s="120">
        <v>1.5700000000000145</v>
      </c>
      <c r="S62" s="120">
        <v>7.8200000000008499E-2</v>
      </c>
      <c r="T62" s="120">
        <v>3.3684999999999956</v>
      </c>
      <c r="U62" s="120">
        <v>0.48819999999999986</v>
      </c>
      <c r="V62" s="120">
        <v>0.83100000000001051</v>
      </c>
      <c r="W62" s="120">
        <v>-1.2699999999999969</v>
      </c>
      <c r="X62" s="120">
        <v>-0.12619999999999798</v>
      </c>
      <c r="Y62" s="120">
        <v>0.29809999999998876</v>
      </c>
      <c r="Z62" s="120">
        <v>-1.0357999999999945</v>
      </c>
      <c r="AA62" s="120">
        <v>2.1419000000000108</v>
      </c>
      <c r="AB62" s="120">
        <v>0.47999999999999449</v>
      </c>
      <c r="AC62" s="120">
        <v>3.2969999999999993</v>
      </c>
      <c r="AD62" s="120">
        <v>-2.1499999999999955</v>
      </c>
      <c r="AE62" s="120">
        <v>-0.82879999999999288</v>
      </c>
      <c r="AF62" s="120">
        <v>8.7113999999999852</v>
      </c>
      <c r="AG62" s="120">
        <v>4.4924000000000044</v>
      </c>
      <c r="AH62" s="120">
        <v>3.71999999999999</v>
      </c>
      <c r="AI62" s="120">
        <v>0</v>
      </c>
      <c r="AJ62" s="120">
        <v>4.2099999999999982</v>
      </c>
      <c r="AK62" s="120">
        <v>1.6100000000000054</v>
      </c>
      <c r="AL62" s="120">
        <v>3.1600000000000095</v>
      </c>
    </row>
    <row r="63" spans="1:38" ht="11.25" customHeight="1" x14ac:dyDescent="0.25">
      <c r="A63" s="253" t="s">
        <v>503</v>
      </c>
      <c r="B63" s="120">
        <v>2.6899999999999915</v>
      </c>
      <c r="C63" s="120">
        <v>-0.60000000000000531</v>
      </c>
      <c r="D63" s="120">
        <v>0.4399999999999859</v>
      </c>
      <c r="E63" s="120">
        <v>0.41999999999999194</v>
      </c>
      <c r="F63" s="120">
        <v>0.77000000000000735</v>
      </c>
      <c r="G63" s="120">
        <v>3.839999999999995</v>
      </c>
      <c r="H63" s="120">
        <v>0.28710000000000102</v>
      </c>
      <c r="I63" s="120">
        <v>0.77000000000000735</v>
      </c>
      <c r="J63" s="120">
        <v>3.1211000000000149</v>
      </c>
      <c r="K63" s="120">
        <v>1.678800000000011</v>
      </c>
      <c r="L63" s="120">
        <v>-1.9000000000000059</v>
      </c>
      <c r="M63" s="120">
        <v>1.4574000000000089</v>
      </c>
      <c r="N63" s="120">
        <v>0</v>
      </c>
      <c r="O63" s="120">
        <v>-0.59999999999999321</v>
      </c>
      <c r="P63" s="120">
        <v>0.19389999999998767</v>
      </c>
      <c r="Q63" s="120">
        <v>-1.0999999999999936</v>
      </c>
      <c r="R63" s="120">
        <v>1.7200000000000093</v>
      </c>
      <c r="S63" s="120">
        <v>0.1149999999999945</v>
      </c>
      <c r="T63" s="120">
        <v>0.13059999999999289</v>
      </c>
      <c r="U63" s="120">
        <v>0.32829999999998788</v>
      </c>
      <c r="V63" s="120">
        <v>0.70889999999998321</v>
      </c>
      <c r="W63" s="120">
        <v>-0.49000000000000404</v>
      </c>
      <c r="X63" s="120">
        <v>0.51519999999999611</v>
      </c>
      <c r="Y63" s="120">
        <v>-0.15420000000001063</v>
      </c>
      <c r="Z63" s="120">
        <v>2.4032999999999904</v>
      </c>
      <c r="AA63" s="120">
        <v>-0.99609999999999754</v>
      </c>
      <c r="AB63" s="120">
        <v>0.20999999999999328</v>
      </c>
      <c r="AC63" s="120">
        <v>-2.9369000000000001</v>
      </c>
      <c r="AD63" s="120">
        <v>0.74999999999999645</v>
      </c>
      <c r="AE63" s="120">
        <v>0.71380000000000821</v>
      </c>
      <c r="AF63" s="120">
        <v>1.3482999999999867</v>
      </c>
      <c r="AG63" s="120">
        <v>4.2241999999999864</v>
      </c>
      <c r="AH63" s="120">
        <v>0</v>
      </c>
      <c r="AI63" s="120">
        <v>0</v>
      </c>
      <c r="AJ63" s="120">
        <v>1.6200000000000012</v>
      </c>
      <c r="AK63" s="120">
        <v>0.71000000000001229</v>
      </c>
      <c r="AL63" s="120">
        <v>-0.59999999999999321</v>
      </c>
    </row>
    <row r="64" spans="1:38" ht="11.25" customHeight="1" x14ac:dyDescent="0.25">
      <c r="A64" s="253" t="s">
        <v>504</v>
      </c>
      <c r="B64" s="120">
        <v>0.74000000000000155</v>
      </c>
      <c r="C64" s="120">
        <v>-1.4000000000000037</v>
      </c>
      <c r="D64" s="120">
        <v>0.45999999999999591</v>
      </c>
      <c r="E64" s="120">
        <v>0.6299999999999879</v>
      </c>
      <c r="F64" s="120">
        <v>8.9999999999993086E-2</v>
      </c>
      <c r="G64" s="120">
        <v>1.0099999999999951</v>
      </c>
      <c r="H64" s="120">
        <v>1.2001999999999993</v>
      </c>
      <c r="I64" s="120">
        <v>8.9999999999993086E-2</v>
      </c>
      <c r="J64" s="120">
        <v>-0.84490000000000742</v>
      </c>
      <c r="K64" s="120">
        <v>1.3511999999999866</v>
      </c>
      <c r="L64" s="120">
        <v>2.2999999999999985</v>
      </c>
      <c r="M64" s="120">
        <v>2.7959000000000045</v>
      </c>
      <c r="N64" s="120">
        <v>7.6089000000000127</v>
      </c>
      <c r="O64" s="120">
        <v>0.20000000000000173</v>
      </c>
      <c r="P64" s="120">
        <v>-2.1769000000000065</v>
      </c>
      <c r="Q64" s="120">
        <v>-1.4939999999999958</v>
      </c>
      <c r="R64" s="120">
        <v>2.3300000000000045</v>
      </c>
      <c r="S64" s="120">
        <v>-0.117599999999997</v>
      </c>
      <c r="T64" s="120">
        <v>1.4130999999999883</v>
      </c>
      <c r="U64" s="120">
        <v>-2.2534999999999998</v>
      </c>
      <c r="V64" s="120">
        <v>1.5699999999988081E-2</v>
      </c>
      <c r="W64" s="120">
        <v>1.0999999999999888</v>
      </c>
      <c r="X64" s="120">
        <v>1.3529999999999998</v>
      </c>
      <c r="Y64" s="120">
        <v>1.0340999999999898</v>
      </c>
      <c r="Z64" s="120">
        <v>0.64449999999999907</v>
      </c>
      <c r="AA64" s="120">
        <v>0.62329999999999808</v>
      </c>
      <c r="AB64" s="120">
        <v>-1.2800000000000096</v>
      </c>
      <c r="AC64" s="120">
        <v>-2.7151999999999932</v>
      </c>
      <c r="AD64" s="120">
        <v>0.76000000000001178</v>
      </c>
      <c r="AE64" s="120">
        <v>0.44090000000000917</v>
      </c>
      <c r="AF64" s="120">
        <v>-3.7983000000000002</v>
      </c>
      <c r="AG64" s="120">
        <v>2.6240000000000085</v>
      </c>
      <c r="AH64" s="120">
        <v>-2.7800000000000136</v>
      </c>
      <c r="AI64" s="120">
        <v>-13.502700000000001</v>
      </c>
      <c r="AJ64" s="120">
        <v>3.2400000000000055</v>
      </c>
      <c r="AK64" s="120">
        <v>0.78000000000000236</v>
      </c>
      <c r="AL64" s="120">
        <v>0.20000000000000173</v>
      </c>
    </row>
    <row r="65" spans="1:38" ht="11.25" customHeight="1" x14ac:dyDescent="0.25">
      <c r="A65" s="253" t="s">
        <v>505</v>
      </c>
      <c r="B65" s="120">
        <v>9.9999999999985933E-2</v>
      </c>
      <c r="C65" s="120">
        <v>-0.29999999999999732</v>
      </c>
      <c r="D65" s="120">
        <v>0.57000000000000861</v>
      </c>
      <c r="E65" s="120">
        <v>0.73000000000000864</v>
      </c>
      <c r="F65" s="120">
        <v>-0.18999999999999834</v>
      </c>
      <c r="G65" s="120">
        <v>-1.4599999999999933</v>
      </c>
      <c r="H65" s="120">
        <v>0.88699999999999513</v>
      </c>
      <c r="I65" s="120">
        <v>-0.18999999999999834</v>
      </c>
      <c r="J65" s="120">
        <v>-4.2991000000000028</v>
      </c>
      <c r="K65" s="120">
        <v>-0.3634000000000005</v>
      </c>
      <c r="L65" s="120">
        <v>-0.90000000000000846</v>
      </c>
      <c r="M65" s="120">
        <v>0.81599999999999984</v>
      </c>
      <c r="N65" s="120">
        <v>0</v>
      </c>
      <c r="O65" s="120">
        <v>-2.2000000000000117</v>
      </c>
      <c r="P65" s="120">
        <v>-3.4778999999999964</v>
      </c>
      <c r="Q65" s="120">
        <v>0.19999999999999052</v>
      </c>
      <c r="R65" s="120">
        <v>0.27999999999998332</v>
      </c>
      <c r="S65" s="120">
        <v>-0.60030000000000394</v>
      </c>
      <c r="T65" s="120">
        <v>0.15430000000000998</v>
      </c>
      <c r="U65" s="120">
        <v>-7.9300000000007434E-2</v>
      </c>
      <c r="V65" s="120">
        <v>0.19240000000001356</v>
      </c>
      <c r="W65" s="120">
        <v>1.2799999999999885</v>
      </c>
      <c r="X65" s="120">
        <v>-18.675599999999999</v>
      </c>
      <c r="Y65" s="120">
        <v>2.1104999999999872</v>
      </c>
      <c r="Z65" s="120">
        <v>-0.10680000000000038</v>
      </c>
      <c r="AA65" s="120">
        <v>-1.0358000000000009</v>
      </c>
      <c r="AB65" s="120">
        <v>-0.36000000000001031</v>
      </c>
      <c r="AC65" s="120">
        <v>-0.52449999999998531</v>
      </c>
      <c r="AD65" s="120">
        <v>3.9800000000000022</v>
      </c>
      <c r="AE65" s="120">
        <v>1.8915000000000022</v>
      </c>
      <c r="AF65" s="120">
        <v>3.4721000000000015</v>
      </c>
      <c r="AG65" s="120">
        <v>-4.3471000000000002</v>
      </c>
      <c r="AH65" s="120">
        <v>-2.2100000000000048</v>
      </c>
      <c r="AI65" s="120">
        <v>0</v>
      </c>
      <c r="AJ65" s="120">
        <v>2.2899999999999983</v>
      </c>
      <c r="AK65" s="120">
        <v>0.58000000000000684</v>
      </c>
      <c r="AL65" s="120">
        <v>-2.2000000000000117</v>
      </c>
    </row>
    <row r="66" spans="1:38" ht="11.25" customHeight="1" x14ac:dyDescent="0.25">
      <c r="A66" s="253" t="s">
        <v>506</v>
      </c>
      <c r="B66" s="120">
        <v>0.85999999999999543</v>
      </c>
      <c r="C66" s="120">
        <v>-6.499999999999992</v>
      </c>
      <c r="D66" s="120">
        <v>0.53000000000000924</v>
      </c>
      <c r="E66" s="120">
        <v>1.3500000000000028</v>
      </c>
      <c r="F66" s="120">
        <v>0.82999999999999807</v>
      </c>
      <c r="G66" s="120">
        <v>1.1100000000000161</v>
      </c>
      <c r="H66" s="120">
        <v>1.9282999999999957</v>
      </c>
      <c r="I66" s="120">
        <v>0.82999999999999807</v>
      </c>
      <c r="J66" s="120">
        <v>9.8139000000000038</v>
      </c>
      <c r="K66" s="120">
        <v>2.4609999999999932</v>
      </c>
      <c r="L66" s="120">
        <v>-0.20000000000000626</v>
      </c>
      <c r="M66" s="120">
        <v>2.0767000000000024</v>
      </c>
      <c r="N66" s="120">
        <v>0</v>
      </c>
      <c r="O66" s="120">
        <v>1.4999999999999836</v>
      </c>
      <c r="P66" s="120">
        <v>-0.18830000000000141</v>
      </c>
      <c r="Q66" s="120">
        <v>0.89999999999999958</v>
      </c>
      <c r="R66" s="120">
        <v>2.7800000000000145</v>
      </c>
      <c r="S66" s="120">
        <v>1.7151999999999996</v>
      </c>
      <c r="T66" s="120">
        <v>3.4461000000000097</v>
      </c>
      <c r="U66" s="120">
        <v>0.34430000000001187</v>
      </c>
      <c r="V66" s="120">
        <v>0.39699999999999858</v>
      </c>
      <c r="W66" s="120">
        <v>0.7200000000000053</v>
      </c>
      <c r="X66" s="120">
        <v>0.66170000000000684</v>
      </c>
      <c r="Y66" s="120">
        <v>1.4381999999999879</v>
      </c>
      <c r="Z66" s="120">
        <v>1.7055000000000007</v>
      </c>
      <c r="AA66" s="120">
        <v>2.403300000000002</v>
      </c>
      <c r="AB66" s="120">
        <v>-1.0499999999999936</v>
      </c>
      <c r="AC66" s="120">
        <v>3.4346000000000014</v>
      </c>
      <c r="AD66" s="120">
        <v>3.2299999999999986</v>
      </c>
      <c r="AE66" s="120">
        <v>-0.34710000000000335</v>
      </c>
      <c r="AF66" s="120">
        <v>5.0021000000000093</v>
      </c>
      <c r="AG66" s="120">
        <v>-0.47000000000000003</v>
      </c>
      <c r="AH66" s="120">
        <v>1.0699999999999992</v>
      </c>
      <c r="AI66" s="120">
        <v>0</v>
      </c>
      <c r="AJ66" s="120">
        <v>3.8299999999999912</v>
      </c>
      <c r="AK66" s="120">
        <v>-0.48000000000000048</v>
      </c>
      <c r="AL66" s="120">
        <v>1.4999999999999836</v>
      </c>
    </row>
    <row r="67" spans="1:38" ht="11.25" customHeight="1" x14ac:dyDescent="0.25">
      <c r="A67" s="253" t="s">
        <v>507</v>
      </c>
      <c r="B67" s="120">
        <v>7.0200000000000093</v>
      </c>
      <c r="C67" s="120">
        <v>0</v>
      </c>
      <c r="D67" s="120">
        <v>0.58999999999999309</v>
      </c>
      <c r="E67" s="120">
        <v>1.5400000000000049</v>
      </c>
      <c r="F67" s="120">
        <v>0.64999999999999414</v>
      </c>
      <c r="G67" s="120">
        <v>2.4599999999999955</v>
      </c>
      <c r="H67" s="120">
        <v>4.1967000000000008</v>
      </c>
      <c r="I67" s="120">
        <v>0.64999999999999414</v>
      </c>
      <c r="J67" s="120">
        <v>9.3714999999999922</v>
      </c>
      <c r="K67" s="120">
        <v>4.0498000000000012</v>
      </c>
      <c r="L67" s="120">
        <v>-2.0000000000000075</v>
      </c>
      <c r="M67" s="120">
        <v>5.3055999999999957</v>
      </c>
      <c r="N67" s="120">
        <v>4.0050999999999988</v>
      </c>
      <c r="O67" s="120">
        <v>0.89999999999998592</v>
      </c>
      <c r="P67" s="120">
        <v>1.2470000000000032</v>
      </c>
      <c r="Q67" s="120">
        <v>1.5241000000000062</v>
      </c>
      <c r="R67" s="120">
        <v>1.8299999999999994</v>
      </c>
      <c r="S67" s="120">
        <v>1.6272999999999969</v>
      </c>
      <c r="T67" s="120">
        <v>3.6763000000000048</v>
      </c>
      <c r="U67" s="120">
        <v>6.9439000000000073</v>
      </c>
      <c r="V67" s="120">
        <v>0.53339999999998611</v>
      </c>
      <c r="W67" s="120">
        <v>-0.96000000000000374</v>
      </c>
      <c r="X67" s="120">
        <v>-0.51359999999999795</v>
      </c>
      <c r="Y67" s="120">
        <v>2.1382999999999934</v>
      </c>
      <c r="Z67" s="120">
        <v>-0.22309999999999922</v>
      </c>
      <c r="AA67" s="120">
        <v>0.64450000000000029</v>
      </c>
      <c r="AB67" s="120">
        <v>3.9400000000000048</v>
      </c>
      <c r="AC67" s="120">
        <v>0.10989999999998577</v>
      </c>
      <c r="AD67" s="120">
        <v>-2.0599999999999903</v>
      </c>
      <c r="AE67" s="120">
        <v>0.91920000000000301</v>
      </c>
      <c r="AF67" s="120">
        <v>2.2051999999999956</v>
      </c>
      <c r="AG67" s="120">
        <v>2.8382999999999994</v>
      </c>
      <c r="AH67" s="120">
        <v>3.45</v>
      </c>
      <c r="AI67" s="120">
        <v>4.0875999999999815</v>
      </c>
      <c r="AJ67" s="120">
        <v>3.6899999999999968</v>
      </c>
      <c r="AK67" s="120">
        <v>2.1900000000000071</v>
      </c>
      <c r="AL67" s="120">
        <v>0.89999999999998592</v>
      </c>
    </row>
    <row r="68" spans="1:38" ht="11.25" customHeight="1" x14ac:dyDescent="0.25">
      <c r="A68" s="253" t="s">
        <v>508</v>
      </c>
      <c r="B68" s="120">
        <v>1.5900000000000012</v>
      </c>
      <c r="C68" s="120">
        <v>-6.4000000000000075</v>
      </c>
      <c r="D68" s="120">
        <v>0.49999999999998035</v>
      </c>
      <c r="E68" s="120">
        <v>1.310000000000014</v>
      </c>
      <c r="F68" s="120">
        <v>0.46999999999999637</v>
      </c>
      <c r="G68" s="120">
        <v>0.43999999999999023</v>
      </c>
      <c r="H68" s="120">
        <v>1.0308999999999866</v>
      </c>
      <c r="I68" s="120">
        <v>0.46999999999999637</v>
      </c>
      <c r="J68" s="120">
        <v>1.9894000000000065</v>
      </c>
      <c r="K68" s="120">
        <v>1.3608999999999993</v>
      </c>
      <c r="L68" s="120">
        <v>5.0999999999999854</v>
      </c>
      <c r="M68" s="120">
        <v>2.3316999999999988</v>
      </c>
      <c r="N68" s="120">
        <v>0</v>
      </c>
      <c r="O68" s="120">
        <v>0</v>
      </c>
      <c r="P68" s="120">
        <v>0.25100000000000022</v>
      </c>
      <c r="Q68" s="120">
        <v>1.0000000000000004</v>
      </c>
      <c r="R68" s="120">
        <v>3.6600000000000006</v>
      </c>
      <c r="S68" s="120">
        <v>0.37160000000000271</v>
      </c>
      <c r="T68" s="120">
        <v>2.4721000000000033</v>
      </c>
      <c r="U68" s="120">
        <v>0.20659999999999182</v>
      </c>
      <c r="V68" s="120">
        <v>0.38650000000001017</v>
      </c>
      <c r="W68" s="120">
        <v>-0.74999999999999678</v>
      </c>
      <c r="X68" s="120">
        <v>1.4407000000000048</v>
      </c>
      <c r="Y68" s="120">
        <v>-0.17479999999999457</v>
      </c>
      <c r="Z68" s="120">
        <v>0.47489999999998411</v>
      </c>
      <c r="AA68" s="120">
        <v>-0.10680000000000126</v>
      </c>
      <c r="AB68" s="120">
        <v>2.17</v>
      </c>
      <c r="AC68" s="120">
        <v>0.31799999999999556</v>
      </c>
      <c r="AD68" s="120">
        <v>-1.4599999999999962</v>
      </c>
      <c r="AE68" s="120">
        <v>0.53030000000000754</v>
      </c>
      <c r="AF68" s="120">
        <v>3.1101000000000036</v>
      </c>
      <c r="AG68" s="120">
        <v>2.7052999999999932</v>
      </c>
      <c r="AH68" s="120">
        <v>0.76999999999999558</v>
      </c>
      <c r="AI68" s="120">
        <v>0</v>
      </c>
      <c r="AJ68" s="120">
        <v>2.5400000000000023</v>
      </c>
      <c r="AK68" s="120">
        <v>-0.65999999999999903</v>
      </c>
      <c r="AL68" s="120">
        <v>0</v>
      </c>
    </row>
    <row r="69" spans="1:38" ht="11.25" customHeight="1" x14ac:dyDescent="0.25">
      <c r="A69" s="253" t="s">
        <v>509</v>
      </c>
      <c r="B69" s="120">
        <v>4.9999999999988956E-2</v>
      </c>
      <c r="C69" s="120">
        <v>-4.4999999999999973</v>
      </c>
      <c r="D69" s="120">
        <v>0.56000000000000383</v>
      </c>
      <c r="E69" s="120">
        <v>0.97000000000001008</v>
      </c>
      <c r="F69" s="120">
        <v>0.65999999999999281</v>
      </c>
      <c r="G69" s="120">
        <v>-1.2099999999999949</v>
      </c>
      <c r="H69" s="120">
        <v>2.0262999999999973</v>
      </c>
      <c r="I69" s="120">
        <v>0.65999999999999281</v>
      </c>
      <c r="J69" s="120">
        <v>0.9851999999999923</v>
      </c>
      <c r="K69" s="120">
        <v>1.5330999999999955</v>
      </c>
      <c r="L69" s="120">
        <v>-3.100000000000005</v>
      </c>
      <c r="M69" s="120">
        <v>3.1433999999999962</v>
      </c>
      <c r="N69" s="120">
        <v>0</v>
      </c>
      <c r="O69" s="120">
        <v>0.2999999999999805</v>
      </c>
      <c r="P69" s="120">
        <v>-6.4200000000001076E-2</v>
      </c>
      <c r="Q69" s="120">
        <v>2.4000000000000012</v>
      </c>
      <c r="R69" s="120">
        <v>-2.4399999999999942</v>
      </c>
      <c r="S69" s="120">
        <v>0.37240000000000623</v>
      </c>
      <c r="T69" s="120">
        <v>3.0971999999999982</v>
      </c>
      <c r="U69" s="120">
        <v>0.28909999999999725</v>
      </c>
      <c r="V69" s="120">
        <v>0.12799999999999978</v>
      </c>
      <c r="W69" s="120">
        <v>1.1999999999999968</v>
      </c>
      <c r="X69" s="120">
        <v>-0.48550000000000448</v>
      </c>
      <c r="Y69" s="120">
        <v>-0.12520000000000556</v>
      </c>
      <c r="Z69" s="120">
        <v>0.82219999999999294</v>
      </c>
      <c r="AA69" s="120">
        <v>1.7055000000000022</v>
      </c>
      <c r="AB69" s="120">
        <v>0.18999999999999528</v>
      </c>
      <c r="AC69" s="120">
        <v>3.5168000000000097</v>
      </c>
      <c r="AD69" s="120">
        <v>-3.2699999999999925</v>
      </c>
      <c r="AE69" s="120">
        <v>-1.3387999999999982</v>
      </c>
      <c r="AF69" s="120">
        <v>1.9506999999999992</v>
      </c>
      <c r="AG69" s="120">
        <v>0.48820000000000574</v>
      </c>
      <c r="AH69" s="120">
        <v>3.0000000000005304E-2</v>
      </c>
      <c r="AI69" s="120">
        <v>0</v>
      </c>
      <c r="AJ69" s="120">
        <v>3.8799999999999955</v>
      </c>
      <c r="AK69" s="120">
        <v>-1.3299999999999996</v>
      </c>
      <c r="AL69" s="120">
        <v>0.2999999999999805</v>
      </c>
    </row>
    <row r="70" spans="1:38" ht="11.25" customHeight="1" x14ac:dyDescent="0.25">
      <c r="A70" s="253" t="s">
        <v>510</v>
      </c>
      <c r="B70" s="120">
        <v>6.2999999999999963</v>
      </c>
      <c r="C70" s="120">
        <v>-3.1000000000000081</v>
      </c>
      <c r="D70" s="120">
        <v>0.56000000000000016</v>
      </c>
      <c r="E70" s="120">
        <v>0.91000000000001169</v>
      </c>
      <c r="F70" s="120">
        <v>0.61999999999999567</v>
      </c>
      <c r="G70" s="120">
        <v>1.1999999999999997</v>
      </c>
      <c r="H70" s="120">
        <v>2.1768000000000107</v>
      </c>
      <c r="I70" s="120">
        <v>0.61999999999999567</v>
      </c>
      <c r="J70" s="120">
        <v>-3.864199999999999</v>
      </c>
      <c r="K70" s="120">
        <v>1.4982000000000035</v>
      </c>
      <c r="L70" s="120">
        <v>-2.7000000000000086</v>
      </c>
      <c r="M70" s="120">
        <v>0.28980000000000994</v>
      </c>
      <c r="N70" s="120">
        <v>-4.1373000000000033</v>
      </c>
      <c r="O70" s="120">
        <v>0.60000000000000198</v>
      </c>
      <c r="P70" s="120">
        <v>1.435300000000006</v>
      </c>
      <c r="Q70" s="120">
        <v>1.9091000000000025</v>
      </c>
      <c r="R70" s="120">
        <v>-0.70999999999999897</v>
      </c>
      <c r="S70" s="120">
        <v>0.90900000000000958</v>
      </c>
      <c r="T70" s="120">
        <v>0.53920000000001078</v>
      </c>
      <c r="U70" s="120">
        <v>0.42189999999999928</v>
      </c>
      <c r="V70" s="120">
        <v>-8.02000000000027E-2</v>
      </c>
      <c r="W70" s="120">
        <v>1.8499999999999885</v>
      </c>
      <c r="X70" s="120">
        <v>-1.739500000000008</v>
      </c>
      <c r="Y70" s="120">
        <v>2.0664000000000025</v>
      </c>
      <c r="Z70" s="120">
        <v>0.50959999999999472</v>
      </c>
      <c r="AA70" s="120">
        <v>-0.22309999999999675</v>
      </c>
      <c r="AB70" s="120">
        <v>1.1600000000000033</v>
      </c>
      <c r="AC70" s="120">
        <v>-0.1001000000000019</v>
      </c>
      <c r="AD70" s="120">
        <v>2.2900000000000027</v>
      </c>
      <c r="AE70" s="120">
        <v>0.2807999999999915</v>
      </c>
      <c r="AF70" s="120">
        <v>-0.7588000000000048</v>
      </c>
      <c r="AG70" s="120">
        <v>-3.0116000000000054</v>
      </c>
      <c r="AH70" s="120">
        <v>0.13000000000001072</v>
      </c>
      <c r="AI70" s="120">
        <v>0.64249999999999141</v>
      </c>
      <c r="AJ70" s="120">
        <v>3.0900000000000034</v>
      </c>
      <c r="AK70" s="120">
        <v>1.8000000000000071</v>
      </c>
      <c r="AL70" s="120">
        <v>0.60000000000000198</v>
      </c>
    </row>
    <row r="71" spans="1:38" ht="11.25" customHeight="1" x14ac:dyDescent="0.25">
      <c r="A71" s="253" t="s">
        <v>511</v>
      </c>
      <c r="B71" s="120">
        <v>3.0599999999999952</v>
      </c>
      <c r="C71" s="120">
        <v>-3.2000000000000099</v>
      </c>
      <c r="D71" s="120">
        <v>0.55000000000000171</v>
      </c>
      <c r="E71" s="120">
        <v>0.98999999999999644</v>
      </c>
      <c r="F71" s="120">
        <v>1.0099999999999953</v>
      </c>
      <c r="G71" s="120">
        <v>2.6799999999999922</v>
      </c>
      <c r="H71" s="120">
        <v>0.9322000000000028</v>
      </c>
      <c r="I71" s="120">
        <v>1.0099999999999953</v>
      </c>
      <c r="J71" s="120">
        <v>-2.7633000000000041</v>
      </c>
      <c r="K71" s="120">
        <v>1.4316999999999895</v>
      </c>
      <c r="L71" s="120">
        <v>1.4000000000000046</v>
      </c>
      <c r="M71" s="120">
        <v>1.8735000000000033</v>
      </c>
      <c r="N71" s="120">
        <v>0</v>
      </c>
      <c r="O71" s="120">
        <v>0.20000000000000875</v>
      </c>
      <c r="P71" s="120">
        <v>-2.242800000000003</v>
      </c>
      <c r="Q71" s="120">
        <v>1.799999999999996</v>
      </c>
      <c r="R71" s="120">
        <v>-1.6300000000000019</v>
      </c>
      <c r="S71" s="120">
        <v>-1.2100000000000046</v>
      </c>
      <c r="T71" s="120">
        <v>-1.6805999999999977</v>
      </c>
      <c r="U71" s="120">
        <v>0.43899999999998335</v>
      </c>
      <c r="V71" s="120">
        <v>1.054099999999996</v>
      </c>
      <c r="W71" s="120">
        <v>0.2099999999999993</v>
      </c>
      <c r="X71" s="120">
        <v>3.2805000000000035</v>
      </c>
      <c r="Y71" s="120">
        <v>0.57419999999998661</v>
      </c>
      <c r="Z71" s="120">
        <v>0.41839999999999145</v>
      </c>
      <c r="AA71" s="120">
        <v>0.47489999999998811</v>
      </c>
      <c r="AB71" s="120">
        <v>-1.3000000000000054</v>
      </c>
      <c r="AC71" s="120">
        <v>3.6769000000000003</v>
      </c>
      <c r="AD71" s="120">
        <v>2.4299999999999935</v>
      </c>
      <c r="AE71" s="120">
        <v>-0.30419999999999736</v>
      </c>
      <c r="AF71" s="120">
        <v>1.4332999999999967</v>
      </c>
      <c r="AG71" s="120">
        <v>4.6300000000010555E-2</v>
      </c>
      <c r="AH71" s="120">
        <v>-1.089999999999999</v>
      </c>
      <c r="AI71" s="120">
        <v>0</v>
      </c>
      <c r="AJ71" s="120">
        <v>1.1300000000000088</v>
      </c>
      <c r="AK71" s="120">
        <v>2.699999999999994</v>
      </c>
      <c r="AL71" s="120">
        <v>0.20000000000000875</v>
      </c>
    </row>
    <row r="72" spans="1:38" ht="11.25" customHeight="1" x14ac:dyDescent="0.25">
      <c r="A72" s="253" t="s">
        <v>512</v>
      </c>
      <c r="B72" s="120">
        <v>-1.2200000000000013</v>
      </c>
      <c r="C72" s="120">
        <v>-4.5999999999999961</v>
      </c>
      <c r="D72" s="120">
        <v>0.56000000000000105</v>
      </c>
      <c r="E72" s="120">
        <v>1.5099999999999874</v>
      </c>
      <c r="F72" s="120">
        <v>0.65999999999999059</v>
      </c>
      <c r="G72" s="120">
        <v>7.9999999999988608E-2</v>
      </c>
      <c r="H72" s="120">
        <v>0.23940000000000627</v>
      </c>
      <c r="I72" s="120">
        <v>0.65999999999999059</v>
      </c>
      <c r="J72" s="120">
        <v>-18.714400000000001</v>
      </c>
      <c r="K72" s="120">
        <v>-1.2933999999999992</v>
      </c>
      <c r="L72" s="120">
        <v>2.4000000000000075</v>
      </c>
      <c r="M72" s="120">
        <v>2.6272999999999951</v>
      </c>
      <c r="N72" s="120">
        <v>0</v>
      </c>
      <c r="O72" s="120">
        <v>1.0000000000000004</v>
      </c>
      <c r="P72" s="120">
        <v>-0.45030000000000792</v>
      </c>
      <c r="Q72" s="120">
        <v>0.60000000000000597</v>
      </c>
      <c r="R72" s="120">
        <v>-1.0499999999999892</v>
      </c>
      <c r="S72" s="120">
        <v>-2.2499999999999964</v>
      </c>
      <c r="T72" s="120">
        <v>1.291500000000007</v>
      </c>
      <c r="U72" s="120">
        <v>0.2857999999999965</v>
      </c>
      <c r="V72" s="120">
        <v>0.94150000000000156</v>
      </c>
      <c r="W72" s="120">
        <v>-1.4299999999999968</v>
      </c>
      <c r="X72" s="120">
        <v>-0.6075000000000097</v>
      </c>
      <c r="Y72" s="120">
        <v>0.22439999999998797</v>
      </c>
      <c r="Z72" s="120">
        <v>0.80690000000001749</v>
      </c>
      <c r="AA72" s="120">
        <v>0.82219999999999982</v>
      </c>
      <c r="AB72" s="120">
        <v>1.9999999999994196E-2</v>
      </c>
      <c r="AC72" s="120">
        <v>-0.19879999999999942</v>
      </c>
      <c r="AD72" s="120">
        <v>2.909999999999993</v>
      </c>
      <c r="AE72" s="120">
        <v>-0.43999999999999306</v>
      </c>
      <c r="AF72" s="120">
        <v>-18.714400000000001</v>
      </c>
      <c r="AG72" s="120">
        <v>1.1740999999999946</v>
      </c>
      <c r="AH72" s="120">
        <v>1.639999999999991</v>
      </c>
      <c r="AI72" s="120">
        <v>0</v>
      </c>
      <c r="AJ72" s="120">
        <v>-3.5300000000000007</v>
      </c>
      <c r="AK72" s="120">
        <v>-0.70000000000000595</v>
      </c>
      <c r="AL72" s="120">
        <v>1.0000000000000004</v>
      </c>
    </row>
    <row r="73" spans="1:38" ht="11.25" customHeight="1" x14ac:dyDescent="0.25">
      <c r="A73" s="253" t="s">
        <v>513</v>
      </c>
      <c r="B73" s="120">
        <v>-0.89000000000000068</v>
      </c>
      <c r="C73" s="120">
        <v>-5.0000000000000062</v>
      </c>
      <c r="D73" s="120">
        <v>0.71000000000000996</v>
      </c>
      <c r="E73" s="120">
        <v>1.409999999999999</v>
      </c>
      <c r="F73" s="120">
        <v>0.57000000000000006</v>
      </c>
      <c r="G73" s="120">
        <v>-1.5700000000000034</v>
      </c>
      <c r="H73" s="120">
        <v>2.0330999999999997</v>
      </c>
      <c r="I73" s="120">
        <v>0.57000000000000006</v>
      </c>
      <c r="J73" s="120">
        <v>-3.974899999999995</v>
      </c>
      <c r="K73" s="120">
        <v>0.48829999999999735</v>
      </c>
      <c r="L73" s="120">
        <v>4.2000000000000082</v>
      </c>
      <c r="M73" s="120">
        <v>1.581699999999987</v>
      </c>
      <c r="N73" s="120">
        <v>17.108300000000014</v>
      </c>
      <c r="O73" s="120">
        <v>2.8000000000000123</v>
      </c>
      <c r="P73" s="120">
        <v>-0.70559999999999745</v>
      </c>
      <c r="Q73" s="120">
        <v>1.1157999999999995</v>
      </c>
      <c r="R73" s="120">
        <v>-0.3599999999999981</v>
      </c>
      <c r="S73" s="120">
        <v>-2.6299999999999937</v>
      </c>
      <c r="T73" s="120">
        <v>3.0971999999999977</v>
      </c>
      <c r="U73" s="120">
        <v>0.81829999999999958</v>
      </c>
      <c r="V73" s="120">
        <v>1.3171000000000106</v>
      </c>
      <c r="W73" s="120">
        <v>2.4800000000000031</v>
      </c>
      <c r="X73" s="120">
        <v>-0.52849999999999864</v>
      </c>
      <c r="Y73" s="120">
        <v>0.18119999999999778</v>
      </c>
      <c r="Z73" s="120">
        <v>1.0052000000000001</v>
      </c>
      <c r="AA73" s="120">
        <v>0.50959999999999739</v>
      </c>
      <c r="AB73" s="120">
        <v>-0.54999999999999549</v>
      </c>
      <c r="AC73" s="120">
        <v>3.7544999999999993</v>
      </c>
      <c r="AD73" s="120">
        <v>9.9999999999988334E-2</v>
      </c>
      <c r="AE73" s="120">
        <v>1.3800000000000039</v>
      </c>
      <c r="AF73" s="120">
        <v>-3.974899999999995</v>
      </c>
      <c r="AG73" s="120">
        <v>2.079800000000005</v>
      </c>
      <c r="AH73" s="120">
        <v>2.160000000000009</v>
      </c>
      <c r="AI73" s="120">
        <v>4.3605999999999963</v>
      </c>
      <c r="AJ73" s="120">
        <v>0.86999999999998723</v>
      </c>
      <c r="AK73" s="120">
        <v>1.3999999999999988</v>
      </c>
      <c r="AL73" s="120">
        <v>2.8000000000000123</v>
      </c>
    </row>
    <row r="74" spans="1:38" ht="11.25" customHeight="1" x14ac:dyDescent="0.25">
      <c r="A74" s="253" t="s">
        <v>514</v>
      </c>
      <c r="B74" s="120">
        <v>-0.39000000000000257</v>
      </c>
      <c r="C74" s="120">
        <v>-7.8000000000000043</v>
      </c>
      <c r="D74" s="120">
        <v>0.55000000000000848</v>
      </c>
      <c r="E74" s="120">
        <v>0.89999999999999025</v>
      </c>
      <c r="F74" s="120">
        <v>1.0999999999999848</v>
      </c>
      <c r="G74" s="120">
        <v>-1.9599999999999969</v>
      </c>
      <c r="H74" s="120">
        <v>0.72460000000001157</v>
      </c>
      <c r="I74" s="120">
        <v>1.0999999999999848</v>
      </c>
      <c r="J74" s="120">
        <v>-2.0503000000000138</v>
      </c>
      <c r="K74" s="120">
        <v>0.65500000000000891</v>
      </c>
      <c r="L74" s="120">
        <v>0.49999999999999628</v>
      </c>
      <c r="M74" s="120">
        <v>0.91650000000001142</v>
      </c>
      <c r="N74" s="120">
        <v>0</v>
      </c>
      <c r="O74" s="120">
        <v>-0.30000000000000276</v>
      </c>
      <c r="P74" s="120">
        <v>1.4858000000000058</v>
      </c>
      <c r="Q74" s="120">
        <v>1.0999999999999854</v>
      </c>
      <c r="R74" s="120">
        <v>2.2399999999999967</v>
      </c>
      <c r="S74" s="120">
        <v>1.2599999999999991</v>
      </c>
      <c r="T74" s="120">
        <v>1.1325000000000014</v>
      </c>
      <c r="U74" s="120">
        <v>0.60640000000000127</v>
      </c>
      <c r="V74" s="120">
        <v>-0.34700000000000497</v>
      </c>
      <c r="W74" s="120">
        <v>1.5699999999999998</v>
      </c>
      <c r="X74" s="120">
        <v>-9.421999999999997</v>
      </c>
      <c r="Y74" s="120">
        <v>-0.12680000000000388</v>
      </c>
      <c r="Z74" s="120">
        <v>1.2159000000000004</v>
      </c>
      <c r="AA74" s="120">
        <v>0.41839999999999039</v>
      </c>
      <c r="AB74" s="120">
        <v>0.85999999999999466</v>
      </c>
      <c r="AC74" s="120">
        <v>0.26420000000000832</v>
      </c>
      <c r="AD74" s="120">
        <v>3.2100000000000004</v>
      </c>
      <c r="AE74" s="120">
        <v>0.29999999999998378</v>
      </c>
      <c r="AF74" s="120">
        <v>-2.0503000000000138</v>
      </c>
      <c r="AG74" s="120">
        <v>-0.15050000000000063</v>
      </c>
      <c r="AH74" s="120">
        <v>0.83999999999999608</v>
      </c>
      <c r="AI74" s="120">
        <v>0.99999999999999623</v>
      </c>
      <c r="AJ74" s="120">
        <v>1.2799999999999943</v>
      </c>
      <c r="AK74" s="120">
        <v>0.69999999999999485</v>
      </c>
      <c r="AL74" s="120">
        <v>-0.30000000000000276</v>
      </c>
    </row>
    <row r="75" spans="1:38" ht="11.25" customHeight="1" x14ac:dyDescent="0.25">
      <c r="A75" s="253" t="s">
        <v>515</v>
      </c>
      <c r="B75" s="120">
        <v>1.1899999999999991</v>
      </c>
      <c r="C75" s="120">
        <v>-6.8999999999999977</v>
      </c>
      <c r="D75" s="120">
        <v>0.5400000000000077</v>
      </c>
      <c r="E75" s="120">
        <v>0.68999999999999195</v>
      </c>
      <c r="F75" s="120">
        <v>0.56999999999999995</v>
      </c>
      <c r="G75" s="120">
        <v>-0.79000000000000514</v>
      </c>
      <c r="H75" s="120">
        <v>0.64999999999999558</v>
      </c>
      <c r="I75" s="120">
        <v>0.56999999999999995</v>
      </c>
      <c r="J75" s="120">
        <v>-3.7814000000000076</v>
      </c>
      <c r="K75" s="120">
        <v>-1.980000000000006</v>
      </c>
      <c r="L75" s="120">
        <v>2.0999999999999859</v>
      </c>
      <c r="M75" s="120">
        <v>2.0334000000000119</v>
      </c>
      <c r="N75" s="120">
        <v>0</v>
      </c>
      <c r="O75" s="120">
        <v>-0.99999999999999512</v>
      </c>
      <c r="P75" s="120">
        <v>1.6269999999999956</v>
      </c>
      <c r="Q75" s="120">
        <v>9.9999999999984823E-2</v>
      </c>
      <c r="R75" s="120">
        <v>-1.8800000000000057</v>
      </c>
      <c r="S75" s="120">
        <v>-0.67999999999999827</v>
      </c>
      <c r="T75" s="120">
        <v>-3.6058000000000083</v>
      </c>
      <c r="U75" s="120">
        <v>0.36959999999999293</v>
      </c>
      <c r="V75" s="120">
        <v>-0.75969999999999893</v>
      </c>
      <c r="W75" s="120">
        <v>3.0599999999999907</v>
      </c>
      <c r="X75" s="120">
        <v>-1.2665999999999951</v>
      </c>
      <c r="Y75" s="120">
        <v>-0.58759999999999901</v>
      </c>
      <c r="Z75" s="120">
        <v>1.0005000000000028</v>
      </c>
      <c r="AA75" s="120">
        <v>0.80690000000001338</v>
      </c>
      <c r="AB75" s="120">
        <v>-0.89270000000000838</v>
      </c>
      <c r="AC75" s="120">
        <v>-0.21939999999999962</v>
      </c>
      <c r="AD75" s="120">
        <v>-1.0000000000000069</v>
      </c>
      <c r="AE75" s="120">
        <v>1.0499999999999967</v>
      </c>
      <c r="AF75" s="120">
        <v>-3.7814000000000076</v>
      </c>
      <c r="AG75" s="120">
        <v>-1.5354000000000025</v>
      </c>
      <c r="AH75" s="120">
        <v>0.80999999999999783</v>
      </c>
      <c r="AI75" s="120">
        <v>0.95000000000001195</v>
      </c>
      <c r="AJ75" s="120">
        <v>-0.78000000000000014</v>
      </c>
      <c r="AK75" s="120">
        <v>0.6999999999999863</v>
      </c>
      <c r="AL75" s="120">
        <v>-0.99999999999999512</v>
      </c>
    </row>
    <row r="76" spans="1:38" ht="11.25" customHeight="1" x14ac:dyDescent="0.25">
      <c r="A76" s="253" t="s">
        <v>516</v>
      </c>
      <c r="B76" s="120">
        <v>0.28999999999999099</v>
      </c>
      <c r="C76" s="120">
        <v>-4.9000000000000039</v>
      </c>
      <c r="D76" s="120">
        <v>1.0599999999999994</v>
      </c>
      <c r="E76" s="120">
        <v>1.1200000000000148</v>
      </c>
      <c r="F76" s="120">
        <v>0.57000000000000883</v>
      </c>
      <c r="G76" s="120">
        <v>9.9999999999986322E-2</v>
      </c>
      <c r="H76" s="120">
        <v>0.95400000000001595</v>
      </c>
      <c r="I76" s="120">
        <v>0.57000000000000883</v>
      </c>
      <c r="J76" s="120">
        <v>-4.3535000000000021</v>
      </c>
      <c r="K76" s="120">
        <v>-1.9700000000000071</v>
      </c>
      <c r="L76" s="120">
        <v>-0.69999999999999873</v>
      </c>
      <c r="M76" s="120">
        <v>0.10569999999999831</v>
      </c>
      <c r="N76" s="120">
        <v>16.974299999999999</v>
      </c>
      <c r="O76" s="120">
        <v>0</v>
      </c>
      <c r="P76" s="120">
        <v>-0.28030000000000166</v>
      </c>
      <c r="Q76" s="120">
        <v>0.38530000000000503</v>
      </c>
      <c r="R76" s="120">
        <v>1.930000000000015</v>
      </c>
      <c r="S76" s="120">
        <v>0.9200000000000057</v>
      </c>
      <c r="T76" s="120">
        <v>-2.0489000000000011</v>
      </c>
      <c r="U76" s="120">
        <v>13.29160000000001</v>
      </c>
      <c r="V76" s="120">
        <v>2.0161000000000175</v>
      </c>
      <c r="W76" s="120">
        <v>-1.4199999999999944</v>
      </c>
      <c r="X76" s="120">
        <v>2.9247999999999958</v>
      </c>
      <c r="Y76" s="120">
        <v>2.2115000000000178</v>
      </c>
      <c r="Z76" s="120">
        <v>-0.25740000000000374</v>
      </c>
      <c r="AA76" s="120">
        <v>1.0051999999999899</v>
      </c>
      <c r="AB76" s="120">
        <v>-2.5378000000000034</v>
      </c>
      <c r="AC76" s="120">
        <v>1.8742000000000056</v>
      </c>
      <c r="AD76" s="120">
        <v>2.8200000000000012</v>
      </c>
      <c r="AE76" s="120">
        <v>7.9999999999984583E-2</v>
      </c>
      <c r="AF76" s="120">
        <v>-4.3535000000000021</v>
      </c>
      <c r="AG76" s="120">
        <v>3.4777999999999984</v>
      </c>
      <c r="AH76" s="120">
        <v>3.3600000000000123</v>
      </c>
      <c r="AI76" s="120">
        <v>13.240699999999988</v>
      </c>
      <c r="AJ76" s="120">
        <v>0.48999999999998489</v>
      </c>
      <c r="AK76" s="120">
        <v>2.0999999999999841</v>
      </c>
      <c r="AL76" s="120">
        <v>0</v>
      </c>
    </row>
    <row r="77" spans="1:38" ht="11.25" customHeight="1" x14ac:dyDescent="0.25">
      <c r="A77" s="253" t="s">
        <v>517</v>
      </c>
      <c r="B77" s="120">
        <v>-9.9999999999996314E-2</v>
      </c>
      <c r="C77" s="120">
        <v>-9.0000000000000018</v>
      </c>
      <c r="D77" s="120">
        <v>0.62999999999999823</v>
      </c>
      <c r="E77" s="120">
        <v>0.489999999999986</v>
      </c>
      <c r="F77" s="120">
        <v>0.99000000000000754</v>
      </c>
      <c r="G77" s="120">
        <v>-1.1899999999999971</v>
      </c>
      <c r="H77" s="120">
        <v>0.54460000000000641</v>
      </c>
      <c r="I77" s="120">
        <v>0.99000000000000754</v>
      </c>
      <c r="J77" s="120">
        <v>1.0153999999999921</v>
      </c>
      <c r="K77" s="120">
        <v>-0.26000000000000917</v>
      </c>
      <c r="L77" s="120">
        <v>0.4999999999999884</v>
      </c>
      <c r="M77" s="120">
        <v>1.219199999999993</v>
      </c>
      <c r="N77" s="120">
        <v>0</v>
      </c>
      <c r="O77" s="120">
        <v>0.69999999999998652</v>
      </c>
      <c r="P77" s="120">
        <v>-1.0217999999999914</v>
      </c>
      <c r="Q77" s="120">
        <v>0.8000000000000026</v>
      </c>
      <c r="R77" s="120">
        <v>1.72000000000001</v>
      </c>
      <c r="S77" s="120">
        <v>1.0699999999999901</v>
      </c>
      <c r="T77" s="120">
        <v>1.2445999999999908</v>
      </c>
      <c r="U77" s="120">
        <v>0.47839999999998373</v>
      </c>
      <c r="V77" s="120">
        <v>0.41979999999999995</v>
      </c>
      <c r="W77" s="120">
        <v>0.4599999999999948</v>
      </c>
      <c r="X77" s="120">
        <v>4.6893000000000029</v>
      </c>
      <c r="Y77" s="120">
        <v>0.86109999999999742</v>
      </c>
      <c r="Z77" s="120">
        <v>1.1135999999999988</v>
      </c>
      <c r="AA77" s="120">
        <v>1.2158999999999955</v>
      </c>
      <c r="AB77" s="120">
        <v>1.4146000000000027</v>
      </c>
      <c r="AC77" s="120">
        <v>-0.42189999999999372</v>
      </c>
      <c r="AD77" s="120">
        <v>1.7200000000000049</v>
      </c>
      <c r="AE77" s="120">
        <v>1.0200000000000005</v>
      </c>
      <c r="AF77" s="120">
        <v>1.0153999999999921</v>
      </c>
      <c r="AG77" s="120">
        <v>2.7624999999999962</v>
      </c>
      <c r="AH77" s="120">
        <v>2.3700000000000117</v>
      </c>
      <c r="AI77" s="120">
        <v>0</v>
      </c>
      <c r="AJ77" s="120">
        <v>-0.95000000000000262</v>
      </c>
      <c r="AK77" s="120">
        <v>-0.39999999999999958</v>
      </c>
      <c r="AL77" s="120">
        <v>0.69999999999998652</v>
      </c>
    </row>
    <row r="78" spans="1:38" ht="11.25" customHeight="1" x14ac:dyDescent="0.25">
      <c r="A78" s="253" t="s">
        <v>518</v>
      </c>
      <c r="B78" s="120">
        <v>2.2400000000000011</v>
      </c>
      <c r="C78" s="120">
        <v>2.2599999999999896</v>
      </c>
      <c r="D78" s="120">
        <v>0.61000000000000221</v>
      </c>
      <c r="E78" s="120">
        <v>0.82999999999999774</v>
      </c>
      <c r="F78" s="120">
        <v>1.0399999999999991</v>
      </c>
      <c r="G78" s="120">
        <v>1.6000000000000063</v>
      </c>
      <c r="H78" s="120">
        <v>2.3320999999999898</v>
      </c>
      <c r="I78" s="120">
        <v>1.0399999999999991</v>
      </c>
      <c r="J78" s="120">
        <v>-6.5699999999999134E-2</v>
      </c>
      <c r="K78" s="120">
        <v>1.0100000000000018</v>
      </c>
      <c r="L78" s="120">
        <v>1.8000000000000012</v>
      </c>
      <c r="M78" s="120">
        <v>2.3187000000000122</v>
      </c>
      <c r="N78" s="120">
        <v>0</v>
      </c>
      <c r="O78" s="120">
        <v>1.599999999999999</v>
      </c>
      <c r="P78" s="120">
        <v>2.1463000000000032</v>
      </c>
      <c r="Q78" s="120">
        <v>0.69999999999998497</v>
      </c>
      <c r="R78" s="120">
        <v>4.4399999999999986</v>
      </c>
      <c r="S78" s="120">
        <v>3.4999999999999898</v>
      </c>
      <c r="T78" s="120">
        <v>0.52460000000000417</v>
      </c>
      <c r="U78" s="120">
        <v>0.49989999999999385</v>
      </c>
      <c r="V78" s="120">
        <v>0.6221000000000062</v>
      </c>
      <c r="W78" s="120">
        <v>1.4999999999999902</v>
      </c>
      <c r="X78" s="120">
        <v>-2.7675000000000005</v>
      </c>
      <c r="Y78" s="120">
        <v>-4.9480999999999948</v>
      </c>
      <c r="Z78" s="120">
        <v>3.3646000000000043</v>
      </c>
      <c r="AA78" s="120">
        <v>1.0005000000000037</v>
      </c>
      <c r="AB78" s="120">
        <v>1.2937999999999918</v>
      </c>
      <c r="AC78" s="120">
        <v>0.60759999999999648</v>
      </c>
      <c r="AD78" s="120">
        <v>-0.81999999999999884</v>
      </c>
      <c r="AE78" s="120">
        <v>1.8799999999999923</v>
      </c>
      <c r="AF78" s="120">
        <v>-6.5699999999999134E-2</v>
      </c>
      <c r="AG78" s="120">
        <v>0.53719999999998713</v>
      </c>
      <c r="AH78" s="120">
        <v>2.2599999999999962</v>
      </c>
      <c r="AI78" s="120">
        <v>0</v>
      </c>
      <c r="AJ78" s="120">
        <v>0.77999999999999636</v>
      </c>
      <c r="AK78" s="120">
        <v>2.2999999999999887</v>
      </c>
      <c r="AL78" s="120">
        <v>1.599999999999999</v>
      </c>
    </row>
    <row r="79" spans="1:38" ht="11.25" customHeight="1" x14ac:dyDescent="0.25">
      <c r="A79" s="253" t="s">
        <v>519</v>
      </c>
      <c r="B79" s="120">
        <v>4.7199999999999926</v>
      </c>
      <c r="C79" s="120">
        <v>4.0999999999999863</v>
      </c>
      <c r="D79" s="120">
        <v>1.7800000000000038</v>
      </c>
      <c r="E79" s="120">
        <v>0.55000000000000826</v>
      </c>
      <c r="F79" s="120">
        <v>0.859999999999988</v>
      </c>
      <c r="G79" s="120">
        <v>-1.5700000000000065</v>
      </c>
      <c r="H79" s="120">
        <v>2.4742999999999959</v>
      </c>
      <c r="I79" s="120">
        <v>0.859999999999988</v>
      </c>
      <c r="J79" s="120">
        <v>5.5646000000000164</v>
      </c>
      <c r="K79" s="120">
        <v>0.31000000000000633</v>
      </c>
      <c r="L79" s="120">
        <v>-3.1000000000000085</v>
      </c>
      <c r="M79" s="120">
        <v>1.5209999999999888</v>
      </c>
      <c r="N79" s="120">
        <v>7.0967000000000056</v>
      </c>
      <c r="O79" s="120">
        <v>-0.99999999999999534</v>
      </c>
      <c r="P79" s="120">
        <v>-1.2300999999999995</v>
      </c>
      <c r="Q79" s="120">
        <v>1.1123000000000027</v>
      </c>
      <c r="R79" s="120">
        <v>-1.7099999999999973</v>
      </c>
      <c r="S79" s="120">
        <v>-1.7400000000000027</v>
      </c>
      <c r="T79" s="120">
        <v>2.254300000000002</v>
      </c>
      <c r="U79" s="120">
        <v>2.2599000000000098</v>
      </c>
      <c r="V79" s="120">
        <v>0.17769999999999186</v>
      </c>
      <c r="W79" s="120">
        <v>-6.6399999999999988</v>
      </c>
      <c r="X79" s="120">
        <v>-0.24880000000000727</v>
      </c>
      <c r="Y79" s="120">
        <v>2.0402000000000093</v>
      </c>
      <c r="Z79" s="120">
        <v>1.6369000000000138</v>
      </c>
      <c r="AA79" s="120">
        <v>-0.25739999999999486</v>
      </c>
      <c r="AB79" s="120">
        <v>-2.7742000000000067</v>
      </c>
      <c r="AC79" s="120">
        <v>0.430400000000011</v>
      </c>
      <c r="AD79" s="120">
        <v>6.9999999999991666E-2</v>
      </c>
      <c r="AE79" s="120">
        <v>-2.9000000000000039</v>
      </c>
      <c r="AF79" s="120">
        <v>5.5646000000000164</v>
      </c>
      <c r="AG79" s="120">
        <v>4.2359000000000018</v>
      </c>
      <c r="AH79" s="120">
        <v>2.2499999999999933</v>
      </c>
      <c r="AI79" s="120">
        <v>14.925199999999986</v>
      </c>
      <c r="AJ79" s="120">
        <v>1.6000000000000063</v>
      </c>
      <c r="AK79" s="120">
        <v>2.0999999999999974</v>
      </c>
      <c r="AL79" s="120">
        <v>-0.99999999999999534</v>
      </c>
    </row>
    <row r="80" spans="1:38" ht="11.25" customHeight="1" x14ac:dyDescent="0.25">
      <c r="A80" s="253" t="s">
        <v>520</v>
      </c>
      <c r="B80" s="120">
        <v>0.58999999999999886</v>
      </c>
      <c r="C80" s="120">
        <v>2.4999999999999956</v>
      </c>
      <c r="D80" s="120">
        <v>0.55000000000001092</v>
      </c>
      <c r="E80" s="120">
        <v>1.0799999999999865</v>
      </c>
      <c r="F80" s="120">
        <v>0.7700000000000029</v>
      </c>
      <c r="G80" s="120">
        <v>1.0199999999999976</v>
      </c>
      <c r="H80" s="120">
        <v>1.3393999999999855</v>
      </c>
      <c r="I80" s="120">
        <v>0.7700000000000029</v>
      </c>
      <c r="J80" s="120">
        <v>-2.7452000000000121</v>
      </c>
      <c r="K80" s="120">
        <v>-0.18000000000000768</v>
      </c>
      <c r="L80" s="120">
        <v>6.400000000000011</v>
      </c>
      <c r="M80" s="120">
        <v>2.6977999999999924</v>
      </c>
      <c r="N80" s="120">
        <v>0</v>
      </c>
      <c r="O80" s="120">
        <v>5.6999999999999833</v>
      </c>
      <c r="P80" s="120">
        <v>4.8955999999999982</v>
      </c>
      <c r="Q80" s="120">
        <v>1.599999999999997</v>
      </c>
      <c r="R80" s="120">
        <v>-0.74999999999999334</v>
      </c>
      <c r="S80" s="120">
        <v>0.53000000000001013</v>
      </c>
      <c r="T80" s="120">
        <v>4.9557999999999991</v>
      </c>
      <c r="U80" s="120">
        <v>0.37379999999999752</v>
      </c>
      <c r="V80" s="120">
        <v>4.3654000000000135</v>
      </c>
      <c r="W80" s="120">
        <v>8.4999999999999876</v>
      </c>
      <c r="X80" s="120">
        <v>-6.2366999999999893</v>
      </c>
      <c r="Y80" s="120">
        <v>-0.12660000000000407</v>
      </c>
      <c r="Z80" s="120">
        <v>2.552800000000004</v>
      </c>
      <c r="AA80" s="120">
        <v>1.1135999999999979</v>
      </c>
      <c r="AB80" s="120">
        <v>-2.8689000000000009</v>
      </c>
      <c r="AC80" s="120">
        <v>3.1593000000000018</v>
      </c>
      <c r="AD80" s="120">
        <v>2.3300000000000112</v>
      </c>
      <c r="AE80" s="120">
        <v>0.96000000000000318</v>
      </c>
      <c r="AF80" s="120">
        <v>-2.7452000000000121</v>
      </c>
      <c r="AG80" s="120">
        <v>2.5360999999999914</v>
      </c>
      <c r="AH80" s="120">
        <v>3.2699999999999987</v>
      </c>
      <c r="AI80" s="120">
        <v>0</v>
      </c>
      <c r="AJ80" s="120">
        <v>-1.0099999999999953</v>
      </c>
      <c r="AK80" s="120">
        <v>-0.40000000000000657</v>
      </c>
      <c r="AL80" s="120">
        <v>5.6999999999999833</v>
      </c>
    </row>
    <row r="81" spans="1:38" ht="11.25" customHeight="1" x14ac:dyDescent="0.25">
      <c r="A81" s="253" t="s">
        <v>521</v>
      </c>
      <c r="B81" s="120">
        <v>1.2399999999999984</v>
      </c>
      <c r="C81" s="120">
        <v>2.5400000000000107</v>
      </c>
      <c r="D81" s="120">
        <v>0.59000000000000674</v>
      </c>
      <c r="E81" s="120">
        <v>0.85999999999999754</v>
      </c>
      <c r="F81" s="120">
        <v>1.1700000000000084</v>
      </c>
      <c r="G81" s="120">
        <v>1.5800000000000072</v>
      </c>
      <c r="H81" s="120">
        <v>0.34810000000000751</v>
      </c>
      <c r="I81" s="120">
        <v>1.1700000000000084</v>
      </c>
      <c r="J81" s="120">
        <v>1.014100000000002</v>
      </c>
      <c r="K81" s="120">
        <v>1.4699999999999986</v>
      </c>
      <c r="L81" s="120">
        <v>2.0999999999999859</v>
      </c>
      <c r="M81" s="120">
        <v>1.0928999999999967</v>
      </c>
      <c r="N81" s="120">
        <v>0</v>
      </c>
      <c r="O81" s="120">
        <v>4.2999999999999963</v>
      </c>
      <c r="P81" s="120">
        <v>-1.4583000000000017</v>
      </c>
      <c r="Q81" s="120">
        <v>0.79999999999999816</v>
      </c>
      <c r="R81" s="120">
        <v>2.4200000000000048</v>
      </c>
      <c r="S81" s="120">
        <v>0.79000000000000437</v>
      </c>
      <c r="T81" s="120">
        <v>-0.15280000000000338</v>
      </c>
      <c r="U81" s="120">
        <v>0.56460000000000821</v>
      </c>
      <c r="V81" s="120">
        <v>5.3309000000000086</v>
      </c>
      <c r="W81" s="120">
        <v>-4.7799999999999967</v>
      </c>
      <c r="X81" s="120">
        <v>0.84599999999998754</v>
      </c>
      <c r="Y81" s="120">
        <v>-0.13480000000000056</v>
      </c>
      <c r="Z81" s="120">
        <v>0.98649999999999882</v>
      </c>
      <c r="AA81" s="120">
        <v>3.3645999999999994</v>
      </c>
      <c r="AB81" s="120">
        <v>-1.7985999999999922</v>
      </c>
      <c r="AC81" s="120">
        <v>3.6648000000000023</v>
      </c>
      <c r="AD81" s="120">
        <v>0.33000000000001112</v>
      </c>
      <c r="AE81" s="120">
        <v>-0.17999999999999652</v>
      </c>
      <c r="AF81" s="120">
        <v>1.014100000000002</v>
      </c>
      <c r="AG81" s="120">
        <v>6.5884999999999945</v>
      </c>
      <c r="AH81" s="120">
        <v>3.180000000000005</v>
      </c>
      <c r="AI81" s="120">
        <v>0</v>
      </c>
      <c r="AJ81" s="120">
        <v>2.9099999999999846</v>
      </c>
      <c r="AK81" s="120">
        <v>-0.8000000000000026</v>
      </c>
      <c r="AL81" s="120">
        <v>4.2999999999999963</v>
      </c>
    </row>
    <row r="82" spans="1:38" ht="11.25" customHeight="1" x14ac:dyDescent="0.25">
      <c r="A82" s="253" t="s">
        <v>522</v>
      </c>
      <c r="B82" s="120">
        <v>-4.999999999998854E-2</v>
      </c>
      <c r="C82" s="120">
        <v>2.4100000000000072</v>
      </c>
      <c r="D82" s="120">
        <v>1.8100000000000029</v>
      </c>
      <c r="E82" s="120">
        <v>0.67999999999999272</v>
      </c>
      <c r="F82" s="120">
        <v>0.78000000000000069</v>
      </c>
      <c r="G82" s="120">
        <v>3.2799999999999905</v>
      </c>
      <c r="H82" s="120">
        <v>1.5419999999999987</v>
      </c>
      <c r="I82" s="120">
        <v>0.78000000000000069</v>
      </c>
      <c r="J82" s="120">
        <v>2.9368999999999907</v>
      </c>
      <c r="K82" s="120">
        <v>2.8399999999999945</v>
      </c>
      <c r="L82" s="120">
        <v>4.9999999999999964</v>
      </c>
      <c r="M82" s="120">
        <v>2.038899999999995</v>
      </c>
      <c r="N82" s="120">
        <v>12.919700000000004</v>
      </c>
      <c r="O82" s="120">
        <v>9.8000000000000025</v>
      </c>
      <c r="P82" s="120">
        <v>1.8772999999999946</v>
      </c>
      <c r="Q82" s="120">
        <v>3.0502000000000056</v>
      </c>
      <c r="R82" s="120">
        <v>0.40000000000000391</v>
      </c>
      <c r="S82" s="120">
        <v>1.0100000000000047</v>
      </c>
      <c r="T82" s="120">
        <v>3.6307000000000049</v>
      </c>
      <c r="U82" s="120">
        <v>4.1101999999999954</v>
      </c>
      <c r="V82" s="120">
        <v>4.536699999999998</v>
      </c>
      <c r="W82" s="120">
        <v>2.6399999999999952</v>
      </c>
      <c r="X82" s="120">
        <v>3.4704000000000121</v>
      </c>
      <c r="Y82" s="120">
        <v>-0.44560000000000294</v>
      </c>
      <c r="Z82" s="120">
        <v>1.4835</v>
      </c>
      <c r="AA82" s="120">
        <v>1.6369000000000051</v>
      </c>
      <c r="AB82" s="120">
        <v>3.9950999999999999</v>
      </c>
      <c r="AC82" s="120">
        <v>2.317499999999995</v>
      </c>
      <c r="AD82" s="120">
        <v>0.47999999999999743</v>
      </c>
      <c r="AE82" s="120">
        <v>0.12000000000001061</v>
      </c>
      <c r="AF82" s="120">
        <v>2.9368999999999907</v>
      </c>
      <c r="AG82" s="120">
        <v>1.4099000000000064</v>
      </c>
      <c r="AH82" s="120">
        <v>3.380000000000003</v>
      </c>
      <c r="AI82" s="120">
        <v>16.715799999999998</v>
      </c>
      <c r="AJ82" s="120">
        <v>1.0999999999999948</v>
      </c>
      <c r="AK82" s="120">
        <v>2.2999999999999843</v>
      </c>
      <c r="AL82" s="120">
        <v>9.8000000000000025</v>
      </c>
    </row>
    <row r="83" spans="1:38" ht="11.25" customHeight="1" x14ac:dyDescent="0.25">
      <c r="A83" s="253" t="s">
        <v>523</v>
      </c>
      <c r="B83" s="120">
        <v>-2.3399999999999932</v>
      </c>
      <c r="C83" s="120">
        <v>-3.3100000000000009</v>
      </c>
      <c r="D83" s="120">
        <v>0.82999999999999652</v>
      </c>
      <c r="E83" s="120">
        <v>0.15000000000001079</v>
      </c>
      <c r="F83" s="120">
        <v>1.9500000000000077</v>
      </c>
      <c r="G83" s="120">
        <v>-1.7899999999999983</v>
      </c>
      <c r="H83" s="120">
        <v>0.6348000000000078</v>
      </c>
      <c r="I83" s="120">
        <v>1.9500000000000077</v>
      </c>
      <c r="J83" s="120">
        <v>3.1595999999999873</v>
      </c>
      <c r="K83" s="120">
        <v>2.9999999999992512E-2</v>
      </c>
      <c r="L83" s="120">
        <v>0.49999999999998179</v>
      </c>
      <c r="M83" s="120">
        <v>2.054700000000012</v>
      </c>
      <c r="N83" s="120">
        <v>0</v>
      </c>
      <c r="O83" s="120">
        <v>4.6000000000000014</v>
      </c>
      <c r="P83" s="120">
        <v>-1.0232999999999999</v>
      </c>
      <c r="Q83" s="120">
        <v>0.40000000000000252</v>
      </c>
      <c r="R83" s="120">
        <v>-0.17999999999999727</v>
      </c>
      <c r="S83" s="120">
        <v>0.61999999999999522</v>
      </c>
      <c r="T83" s="120">
        <v>0.46630000000000621</v>
      </c>
      <c r="U83" s="120">
        <v>0.96259999999999402</v>
      </c>
      <c r="V83" s="120">
        <v>3.6643999999999846</v>
      </c>
      <c r="W83" s="120">
        <v>0.34000000000000952</v>
      </c>
      <c r="X83" s="120">
        <v>1.8748999999999891</v>
      </c>
      <c r="Y83" s="120">
        <v>-0.24399999999999467</v>
      </c>
      <c r="Z83" s="120">
        <v>1.1444000000000001</v>
      </c>
      <c r="AA83" s="120">
        <v>2.5528000000000057</v>
      </c>
      <c r="AB83" s="120">
        <v>3.630099999999997</v>
      </c>
      <c r="AC83" s="120">
        <v>2.6291999999999995</v>
      </c>
      <c r="AD83" s="120">
        <v>2.4699999999999984</v>
      </c>
      <c r="AE83" s="120">
        <v>1.360999999999984</v>
      </c>
      <c r="AF83" s="120">
        <v>3.1595999999999873</v>
      </c>
      <c r="AG83" s="120">
        <v>11.60669999999998</v>
      </c>
      <c r="AH83" s="120">
        <v>6.0000000000000044</v>
      </c>
      <c r="AI83" s="120">
        <v>0</v>
      </c>
      <c r="AJ83" s="120">
        <v>1.6199999999999999</v>
      </c>
      <c r="AK83" s="120">
        <v>0.8999999999999907</v>
      </c>
      <c r="AL83" s="120">
        <v>4.6000000000000014</v>
      </c>
    </row>
    <row r="84" spans="1:38" ht="11.25" customHeight="1" x14ac:dyDescent="0.25">
      <c r="A84" s="253" t="s">
        <v>524</v>
      </c>
      <c r="B84" s="120">
        <v>0.58999999999999575</v>
      </c>
      <c r="C84" s="120">
        <v>-1.3100000000000018</v>
      </c>
      <c r="D84" s="120">
        <v>0.56999999999999773</v>
      </c>
      <c r="E84" s="120">
        <v>0.47999999999999066</v>
      </c>
      <c r="F84" s="120">
        <v>0.57999999999999918</v>
      </c>
      <c r="G84" s="120">
        <v>0.49999999999998984</v>
      </c>
      <c r="H84" s="120">
        <v>1.500000000009152E-3</v>
      </c>
      <c r="I84" s="120">
        <v>0.57999999999999918</v>
      </c>
      <c r="J84" s="120">
        <v>1.1723000000000026</v>
      </c>
      <c r="K84" s="120">
        <v>0.87999999999999134</v>
      </c>
      <c r="L84" s="120">
        <v>5.8000000000000007</v>
      </c>
      <c r="M84" s="120">
        <v>0.49530000000000257</v>
      </c>
      <c r="N84" s="120">
        <v>0</v>
      </c>
      <c r="O84" s="120">
        <v>1.1999999999999944</v>
      </c>
      <c r="P84" s="120">
        <v>1.2934999999999939</v>
      </c>
      <c r="Q84" s="120">
        <v>0.20000000000000573</v>
      </c>
      <c r="R84" s="120">
        <v>-7.0000000000003351E-2</v>
      </c>
      <c r="S84" s="120">
        <v>-0.26000000000000684</v>
      </c>
      <c r="T84" s="120">
        <v>-0.15279999999999624</v>
      </c>
      <c r="U84" s="120">
        <v>0.28549999999999787</v>
      </c>
      <c r="V84" s="120">
        <v>-0.73700000000000199</v>
      </c>
      <c r="W84" s="120">
        <v>3.0099999999999993</v>
      </c>
      <c r="X84" s="120">
        <v>-0.42199999999999416</v>
      </c>
      <c r="Y84" s="120">
        <v>-7.5000000000008046E-2</v>
      </c>
      <c r="Z84" s="120">
        <v>-0.76639999999999198</v>
      </c>
      <c r="AA84" s="120">
        <v>0.98650000000000893</v>
      </c>
      <c r="AB84" s="120">
        <v>1.3895000000000024</v>
      </c>
      <c r="AC84" s="120">
        <v>-0.83859999999999424</v>
      </c>
      <c r="AD84" s="120">
        <v>1.0999999999999925</v>
      </c>
      <c r="AE84" s="120">
        <v>1.1069999999999922</v>
      </c>
      <c r="AF84" s="120">
        <v>1.1723000000000026</v>
      </c>
      <c r="AG84" s="120">
        <v>-0.7677999999999997</v>
      </c>
      <c r="AH84" s="120">
        <v>0.42000000000000282</v>
      </c>
      <c r="AI84" s="120">
        <v>0</v>
      </c>
      <c r="AJ84" s="120">
        <v>0.77000000000000257</v>
      </c>
      <c r="AK84" s="120">
        <v>-0.59999999999999687</v>
      </c>
      <c r="AL84" s="120">
        <v>1.1999999999999944</v>
      </c>
    </row>
    <row r="85" spans="1:38" ht="11.25" customHeight="1" x14ac:dyDescent="0.25">
      <c r="A85" s="253" t="s">
        <v>525</v>
      </c>
      <c r="B85" s="120">
        <v>-0.48000000000000603</v>
      </c>
      <c r="C85" s="120">
        <v>0.51000000000000512</v>
      </c>
      <c r="D85" s="120">
        <v>5.3099999999999978</v>
      </c>
      <c r="E85" s="120">
        <v>0.46999999999999542</v>
      </c>
      <c r="F85" s="120">
        <v>0.78000000000000047</v>
      </c>
      <c r="G85" s="120">
        <v>-2.6900000000000048</v>
      </c>
      <c r="H85" s="120">
        <v>0.15279999999999172</v>
      </c>
      <c r="I85" s="120">
        <v>0.78000000000000047</v>
      </c>
      <c r="J85" s="120">
        <v>-2.5197000000000083</v>
      </c>
      <c r="K85" s="120">
        <v>1.5300000000000054</v>
      </c>
      <c r="L85" s="120">
        <v>3.9000000000000012</v>
      </c>
      <c r="M85" s="120">
        <v>1.2918999999999847</v>
      </c>
      <c r="N85" s="120">
        <v>3.874000000000001</v>
      </c>
      <c r="O85" s="120">
        <v>2.2999999999999892</v>
      </c>
      <c r="P85" s="120">
        <v>0.9671999999999924</v>
      </c>
      <c r="Q85" s="120">
        <v>0.90339999999999798</v>
      </c>
      <c r="R85" s="120">
        <v>1.5200000000000136</v>
      </c>
      <c r="S85" s="120">
        <v>1.2899999999999929</v>
      </c>
      <c r="T85" s="120">
        <v>0.80629999999998969</v>
      </c>
      <c r="U85" s="120">
        <v>1.5667000000000078</v>
      </c>
      <c r="V85" s="120">
        <v>2.4032000000000093</v>
      </c>
      <c r="W85" s="120">
        <v>3.699999999999986</v>
      </c>
      <c r="X85" s="120">
        <v>-0.21999999999999603</v>
      </c>
      <c r="Y85" s="120">
        <v>-0.51240000000000152</v>
      </c>
      <c r="Z85" s="120">
        <v>3.2483000000000088</v>
      </c>
      <c r="AA85" s="120">
        <v>1.4834999999999998</v>
      </c>
      <c r="AB85" s="120">
        <v>-1.3691000000000029</v>
      </c>
      <c r="AC85" s="120">
        <v>1.2865999999999982</v>
      </c>
      <c r="AD85" s="120">
        <v>-8.0000000000000127E-2</v>
      </c>
      <c r="AE85" s="120">
        <v>-1.2030000000000021</v>
      </c>
      <c r="AF85" s="120">
        <v>-2.5197000000000083</v>
      </c>
      <c r="AG85" s="120">
        <v>0.81460000000000332</v>
      </c>
      <c r="AH85" s="120">
        <v>0.95999999999999908</v>
      </c>
      <c r="AI85" s="120">
        <v>7.5526999999999882</v>
      </c>
      <c r="AJ85" s="120">
        <v>0.82999999999999308</v>
      </c>
      <c r="AK85" s="120">
        <v>-1.6000000000000019</v>
      </c>
      <c r="AL85" s="120">
        <v>2.2999999999999892</v>
      </c>
    </row>
    <row r="86" spans="1:38" ht="11.25" customHeight="1" x14ac:dyDescent="0.25">
      <c r="A86" s="253" t="s">
        <v>526</v>
      </c>
      <c r="B86" s="120">
        <v>-0.1299999999999919</v>
      </c>
      <c r="C86" s="120">
        <v>-0.46999999999999925</v>
      </c>
      <c r="D86" s="120">
        <v>0.67999999999999405</v>
      </c>
      <c r="E86" s="120">
        <v>1.0999999999999943</v>
      </c>
      <c r="F86" s="120">
        <v>1.25999999999999</v>
      </c>
      <c r="G86" s="120">
        <v>3.2100000000000031</v>
      </c>
      <c r="H86" s="120">
        <v>0.57279999999999975</v>
      </c>
      <c r="I86" s="120">
        <v>1.25999999999999</v>
      </c>
      <c r="J86" s="120">
        <v>8.4820000000000011</v>
      </c>
      <c r="K86" s="120">
        <v>1.2599999999999956</v>
      </c>
      <c r="L86" s="120">
        <v>6.2999999999999972</v>
      </c>
      <c r="M86" s="120">
        <v>1.4637000000000031</v>
      </c>
      <c r="N86" s="120">
        <v>0</v>
      </c>
      <c r="O86" s="120">
        <v>0.99999999999999434</v>
      </c>
      <c r="P86" s="120">
        <v>3.3838000000000088</v>
      </c>
      <c r="Q86" s="120">
        <v>0.80000000000000016</v>
      </c>
      <c r="R86" s="120">
        <v>1.6499999999999964</v>
      </c>
      <c r="S86" s="120">
        <v>1.5900000000000032</v>
      </c>
      <c r="T86" s="120">
        <v>1.8860000000000112</v>
      </c>
      <c r="U86" s="120">
        <v>0.62109999999998855</v>
      </c>
      <c r="V86" s="120">
        <v>2.0534999999999952</v>
      </c>
      <c r="W86" s="120">
        <v>1.5200000000000076</v>
      </c>
      <c r="X86" s="120">
        <v>0.5117999999999967</v>
      </c>
      <c r="Y86" s="120">
        <v>2.1184000000000083</v>
      </c>
      <c r="Z86" s="120">
        <v>5.0905999999999834</v>
      </c>
      <c r="AA86" s="120">
        <v>1.1444000000000025</v>
      </c>
      <c r="AB86" s="120">
        <v>1.2293000000000176</v>
      </c>
      <c r="AC86" s="120">
        <v>1.538200000000006</v>
      </c>
      <c r="AD86" s="120">
        <v>1.2699999999999878</v>
      </c>
      <c r="AE86" s="120">
        <v>3.2750000000000048</v>
      </c>
      <c r="AF86" s="120">
        <v>8.4820000000000011</v>
      </c>
      <c r="AG86" s="120">
        <v>2.0940000000000016</v>
      </c>
      <c r="AH86" s="120">
        <v>3.0899999999999905</v>
      </c>
      <c r="AI86" s="120">
        <v>0</v>
      </c>
      <c r="AJ86" s="120">
        <v>1.1400000000000121</v>
      </c>
      <c r="AK86" s="120">
        <v>2.0999999999999837</v>
      </c>
      <c r="AL86" s="120">
        <v>0.99999999999999434</v>
      </c>
    </row>
    <row r="87" spans="1:38" ht="11.25" customHeight="1" x14ac:dyDescent="0.25">
      <c r="A87" s="253" t="s">
        <v>527</v>
      </c>
      <c r="B87" s="120">
        <v>1.6100000000000034</v>
      </c>
      <c r="C87" s="120">
        <v>3.7700000000000076</v>
      </c>
      <c r="D87" s="120">
        <v>0.57000000000000073</v>
      </c>
      <c r="E87" s="120">
        <v>0.92000000000000415</v>
      </c>
      <c r="F87" s="120">
        <v>0.77999999999999758</v>
      </c>
      <c r="G87" s="120">
        <v>1.4400000000000028</v>
      </c>
      <c r="H87" s="120">
        <v>0.92019999999999358</v>
      </c>
      <c r="I87" s="120">
        <v>0.77999999999999758</v>
      </c>
      <c r="J87" s="120">
        <v>-1.8200000000000032</v>
      </c>
      <c r="K87" s="120">
        <v>0.42</v>
      </c>
      <c r="L87" s="120">
        <v>5.0999999999999979</v>
      </c>
      <c r="M87" s="120">
        <v>1.2059999999999984</v>
      </c>
      <c r="N87" s="120">
        <v>0</v>
      </c>
      <c r="O87" s="120">
        <v>0.20000000000000343</v>
      </c>
      <c r="P87" s="120">
        <v>-0.96479999999999921</v>
      </c>
      <c r="Q87" s="120">
        <v>1.499999999999986</v>
      </c>
      <c r="R87" s="120">
        <v>1.7400000000000027</v>
      </c>
      <c r="S87" s="120">
        <v>1.4300000000000024</v>
      </c>
      <c r="T87" s="120">
        <v>4.0146000000000006</v>
      </c>
      <c r="U87" s="120">
        <v>0.38290000000000657</v>
      </c>
      <c r="V87" s="120">
        <v>0.22979999999998588</v>
      </c>
      <c r="W87" s="120">
        <v>1.2100000000000022</v>
      </c>
      <c r="X87" s="120">
        <v>2.2597999999999883</v>
      </c>
      <c r="Y87" s="120">
        <v>-0.3915000000000019</v>
      </c>
      <c r="Z87" s="120">
        <v>-3.5299999999999914</v>
      </c>
      <c r="AA87" s="120">
        <v>-0.76640000000000219</v>
      </c>
      <c r="AB87" s="120">
        <v>2.2424999999999922</v>
      </c>
      <c r="AC87" s="120">
        <v>-1.8449999999999935</v>
      </c>
      <c r="AD87" s="120">
        <v>2.2499999999999969</v>
      </c>
      <c r="AE87" s="120">
        <v>1.9169999999999958</v>
      </c>
      <c r="AF87" s="120">
        <v>-1.8200000000000032</v>
      </c>
      <c r="AG87" s="120">
        <v>1.5667000000000066</v>
      </c>
      <c r="AH87" s="120">
        <v>0.58999999999999864</v>
      </c>
      <c r="AI87" s="120">
        <v>0</v>
      </c>
      <c r="AJ87" s="120">
        <v>2.1200000000000068</v>
      </c>
      <c r="AK87" s="120">
        <v>-0.99999999999999989</v>
      </c>
      <c r="AL87" s="120">
        <v>0.20000000000000343</v>
      </c>
    </row>
    <row r="88" spans="1:38" ht="11.25" customHeight="1" x14ac:dyDescent="0.25">
      <c r="A88" s="253" t="s">
        <v>528</v>
      </c>
      <c r="B88" s="120">
        <v>1.6299999999999937</v>
      </c>
      <c r="C88" s="120">
        <v>1.2499999999999958</v>
      </c>
      <c r="D88" s="120">
        <v>2.4799999999999893</v>
      </c>
      <c r="E88" s="120">
        <v>1.390000000000009</v>
      </c>
      <c r="F88" s="120">
        <v>1.0899999999999872</v>
      </c>
      <c r="G88" s="120">
        <v>1.7099999999999889</v>
      </c>
      <c r="H88" s="120">
        <v>1.8091999999999948</v>
      </c>
      <c r="I88" s="120">
        <v>1.0899999999999872</v>
      </c>
      <c r="J88" s="120">
        <v>1.2399999999999927</v>
      </c>
      <c r="K88" s="120">
        <v>-2.1100000000000065</v>
      </c>
      <c r="L88" s="120">
        <v>6.0000000000000107</v>
      </c>
      <c r="M88" s="120">
        <v>2.9002999999999877</v>
      </c>
      <c r="N88" s="120">
        <v>5.3302000000000005</v>
      </c>
      <c r="O88" s="120">
        <v>2.6999999999999891</v>
      </c>
      <c r="P88" s="120">
        <v>1.6775000000000033</v>
      </c>
      <c r="Q88" s="120">
        <v>1.6386999999999996</v>
      </c>
      <c r="R88" s="120">
        <v>1.8499999999999901</v>
      </c>
      <c r="S88" s="120">
        <v>2.1700000000000084</v>
      </c>
      <c r="T88" s="120">
        <v>1.2960999999999989</v>
      </c>
      <c r="U88" s="120">
        <v>1.9902000000000148</v>
      </c>
      <c r="V88" s="120">
        <v>4.1058999999999939</v>
      </c>
      <c r="W88" s="120">
        <v>-0.67000000000000703</v>
      </c>
      <c r="X88" s="120">
        <v>6.919999999998791E-2</v>
      </c>
      <c r="Y88" s="120">
        <v>2.8813999999999824</v>
      </c>
      <c r="Z88" s="120">
        <v>-24.38</v>
      </c>
      <c r="AA88" s="120">
        <v>3.2483000000000013</v>
      </c>
      <c r="AB88" s="120">
        <v>0.63040000000001306</v>
      </c>
      <c r="AC88" s="120">
        <v>3.9163000000000032</v>
      </c>
      <c r="AD88" s="120">
        <v>1.3999999999999981</v>
      </c>
      <c r="AE88" s="120">
        <v>-0.73000000000000242</v>
      </c>
      <c r="AF88" s="120">
        <v>1.2399999999999927</v>
      </c>
      <c r="AG88" s="120">
        <v>2.9431999999999858</v>
      </c>
      <c r="AH88" s="120">
        <v>3.3300000000000143</v>
      </c>
      <c r="AI88" s="120">
        <v>13.111800000000006</v>
      </c>
      <c r="AJ88" s="120">
        <v>1.4599999999999933</v>
      </c>
      <c r="AK88" s="120">
        <v>2.8999999999999955</v>
      </c>
      <c r="AL88" s="120">
        <v>2.6999999999999891</v>
      </c>
    </row>
    <row r="89" spans="1:38" ht="11.25" customHeight="1" x14ac:dyDescent="0.25">
      <c r="A89" s="253" t="s">
        <v>529</v>
      </c>
      <c r="B89" s="120">
        <v>-0.87000000000001088</v>
      </c>
      <c r="C89" s="120">
        <v>1.0599999999999954</v>
      </c>
      <c r="D89" s="120">
        <v>0.62999999999999712</v>
      </c>
      <c r="E89" s="120">
        <v>1.3600000000000028</v>
      </c>
      <c r="F89" s="120">
        <v>1.8899999999999857</v>
      </c>
      <c r="G89" s="120">
        <v>2.9099999999999961</v>
      </c>
      <c r="H89" s="120">
        <v>1.1223000000000021</v>
      </c>
      <c r="I89" s="120">
        <v>1.8899999999999857</v>
      </c>
      <c r="J89" s="120">
        <v>0.72000000000001352</v>
      </c>
      <c r="K89" s="120">
        <v>-0.69000000000000239</v>
      </c>
      <c r="L89" s="120">
        <v>9.8999999999999968</v>
      </c>
      <c r="M89" s="120">
        <v>1.319899999999995</v>
      </c>
      <c r="N89" s="120">
        <v>0</v>
      </c>
      <c r="O89" s="120">
        <v>2.0000000000000027</v>
      </c>
      <c r="P89" s="120">
        <v>1.1624000000000043</v>
      </c>
      <c r="Q89" s="120">
        <v>0.80000000000000193</v>
      </c>
      <c r="R89" s="120">
        <v>1.7200000000000117</v>
      </c>
      <c r="S89" s="120">
        <v>2.1899999999999991</v>
      </c>
      <c r="T89" s="120">
        <v>3.1414000000000089</v>
      </c>
      <c r="U89" s="120">
        <v>0.92740000000000267</v>
      </c>
      <c r="V89" s="120">
        <v>2.7732000000000032</v>
      </c>
      <c r="W89" s="120">
        <v>0.79000000000000425</v>
      </c>
      <c r="X89" s="120">
        <v>-0.3318999999999942</v>
      </c>
      <c r="Y89" s="120">
        <v>2.3700999999999994</v>
      </c>
      <c r="Z89" s="120">
        <v>0.16000000000000819</v>
      </c>
      <c r="AA89" s="120">
        <v>5.0905999999999914</v>
      </c>
      <c r="AB89" s="120">
        <v>2.8300999999999981</v>
      </c>
      <c r="AC89" s="120">
        <v>2.7039999999999877</v>
      </c>
      <c r="AD89" s="120">
        <v>5.5700000000000101</v>
      </c>
      <c r="AE89" s="120">
        <v>-0.54999999999999039</v>
      </c>
      <c r="AF89" s="120">
        <v>0.72000000000001352</v>
      </c>
      <c r="AG89" s="120">
        <v>6.2607000000000053</v>
      </c>
      <c r="AH89" s="120">
        <v>3.3199999999999856</v>
      </c>
      <c r="AI89" s="120">
        <v>0</v>
      </c>
      <c r="AJ89" s="120">
        <v>1.3100000000000132</v>
      </c>
      <c r="AK89" s="120">
        <v>-1.6000000000000025</v>
      </c>
      <c r="AL89" s="120">
        <v>2.0000000000000027</v>
      </c>
    </row>
    <row r="90" spans="1:38" ht="11.25" customHeight="1" x14ac:dyDescent="0.25">
      <c r="A90" s="253" t="s">
        <v>530</v>
      </c>
      <c r="B90" s="120">
        <v>6.219999999999998</v>
      </c>
      <c r="C90" s="120">
        <v>4.9199999999999973</v>
      </c>
      <c r="D90" s="120">
        <v>0.60000000000000653</v>
      </c>
      <c r="E90" s="120">
        <v>1.9200000000000126</v>
      </c>
      <c r="F90" s="120">
        <v>0.89999999999998448</v>
      </c>
      <c r="G90" s="120">
        <v>7.079999999999993</v>
      </c>
      <c r="H90" s="120">
        <v>4.2588999999999926</v>
      </c>
      <c r="I90" s="120">
        <v>0.89999999999998448</v>
      </c>
      <c r="J90" s="120">
        <v>2.530000000000006</v>
      </c>
      <c r="K90" s="120">
        <v>1.860000000000001</v>
      </c>
      <c r="L90" s="120">
        <v>-1.4000000000000048</v>
      </c>
      <c r="M90" s="120">
        <v>3.5261999999999953</v>
      </c>
      <c r="N90" s="120">
        <v>0</v>
      </c>
      <c r="O90" s="120">
        <v>1.0000000000000004</v>
      </c>
      <c r="P90" s="120">
        <v>0.71810000000000618</v>
      </c>
      <c r="Q90" s="120">
        <v>1.099999999999991</v>
      </c>
      <c r="R90" s="120">
        <v>2.1099999999999834</v>
      </c>
      <c r="S90" s="120">
        <v>1.6899999999999959</v>
      </c>
      <c r="T90" s="120">
        <v>2.3217000000000123</v>
      </c>
      <c r="U90" s="120">
        <v>0.43960000000001193</v>
      </c>
      <c r="V90" s="120">
        <v>1.907600000000008</v>
      </c>
      <c r="W90" s="120">
        <v>0.78000000000000391</v>
      </c>
      <c r="X90" s="120">
        <v>0.57210000000001093</v>
      </c>
      <c r="Y90" s="120">
        <v>3.9490000000000078</v>
      </c>
      <c r="Z90" s="120">
        <v>2.220000000000002</v>
      </c>
      <c r="AA90" s="120">
        <v>-3.5299999999999985</v>
      </c>
      <c r="AB90" s="120">
        <v>4.3064999999999971</v>
      </c>
      <c r="AC90" s="120">
        <v>-2.9802000000000062</v>
      </c>
      <c r="AD90" s="120">
        <v>10.660000000000004</v>
      </c>
      <c r="AE90" s="120">
        <v>0.73110000000000264</v>
      </c>
      <c r="AF90" s="120">
        <v>2.530000000000006</v>
      </c>
      <c r="AG90" s="120">
        <v>5.9714000000000027</v>
      </c>
      <c r="AH90" s="120">
        <v>4.9999999999993189E-2</v>
      </c>
      <c r="AI90" s="120">
        <v>0</v>
      </c>
      <c r="AJ90" s="120">
        <v>4.3400000000000061</v>
      </c>
      <c r="AK90" s="120">
        <v>1.0000000000000033</v>
      </c>
      <c r="AL90" s="120">
        <v>1.0000000000000004</v>
      </c>
    </row>
    <row r="91" spans="1:38" ht="11.25" customHeight="1" x14ac:dyDescent="0.25">
      <c r="A91" s="253" t="s">
        <v>531</v>
      </c>
      <c r="B91" s="120">
        <v>2.2200000000000006</v>
      </c>
      <c r="C91" s="120">
        <v>-1.9099999999999961</v>
      </c>
      <c r="D91" s="120">
        <v>-2.4299999999999993</v>
      </c>
      <c r="E91" s="120">
        <v>-6.0599999999999969</v>
      </c>
      <c r="F91" s="120">
        <v>-2.1500000000000021</v>
      </c>
      <c r="G91" s="120">
        <v>-1.0000000000000053</v>
      </c>
      <c r="H91" s="120">
        <v>1.2135999999999878</v>
      </c>
      <c r="I91" s="120">
        <v>-2.1500000000000021</v>
      </c>
      <c r="J91" s="120">
        <v>14.619999999999992</v>
      </c>
      <c r="K91" s="120">
        <v>5.889999999999997</v>
      </c>
      <c r="L91" s="120">
        <v>-6.8999999999999924</v>
      </c>
      <c r="M91" s="120">
        <v>-0.12439999999999565</v>
      </c>
      <c r="N91" s="120">
        <v>3.4350000000000129</v>
      </c>
      <c r="O91" s="120">
        <v>-7.0000000000000018</v>
      </c>
      <c r="P91" s="120">
        <v>1.0999999999999857</v>
      </c>
      <c r="Q91" s="120">
        <v>-0.59999999999999665</v>
      </c>
      <c r="R91" s="120">
        <v>-2.5500000000000012</v>
      </c>
      <c r="S91" s="120">
        <v>-2.8699999999999961</v>
      </c>
      <c r="T91" s="120">
        <v>-11.949999999999989</v>
      </c>
      <c r="U91" s="120">
        <v>-8.8696000000000073</v>
      </c>
      <c r="V91" s="120">
        <v>-8.3640000000000096</v>
      </c>
      <c r="W91" s="120">
        <v>2.9700000000000086</v>
      </c>
      <c r="X91" s="120">
        <v>-0.16979999999999712</v>
      </c>
      <c r="Y91" s="120">
        <v>-9.4099999999999966</v>
      </c>
      <c r="Z91" s="120">
        <v>1.279999999999998</v>
      </c>
      <c r="AA91" s="120">
        <v>-24.380000000000006</v>
      </c>
      <c r="AB91" s="120">
        <v>-10.790600000000005</v>
      </c>
      <c r="AC91" s="120">
        <v>2.9700000000000122</v>
      </c>
      <c r="AD91" s="120">
        <v>-13.020000000000003</v>
      </c>
      <c r="AE91" s="120">
        <v>0.3794999999999969</v>
      </c>
      <c r="AF91" s="120">
        <v>14.619999999999992</v>
      </c>
      <c r="AG91" s="120">
        <v>-11.643999999999995</v>
      </c>
      <c r="AH91" s="120">
        <v>-9.5099999999999962</v>
      </c>
      <c r="AI91" s="120">
        <v>-36.369800000000012</v>
      </c>
      <c r="AJ91" s="120">
        <v>1.9700000000000082</v>
      </c>
      <c r="AK91" s="120">
        <v>-5.3000000000000114</v>
      </c>
      <c r="AL91" s="120">
        <v>-7.0000000000000018</v>
      </c>
    </row>
    <row r="92" spans="1:38" ht="11.25" customHeight="1" x14ac:dyDescent="0.25">
      <c r="A92" s="253" t="s">
        <v>532</v>
      </c>
      <c r="B92" s="120">
        <v>1.5500000000000131</v>
      </c>
      <c r="C92" s="120">
        <v>-1.7900000000000096</v>
      </c>
      <c r="D92" s="120">
        <v>0.64999999999999536</v>
      </c>
      <c r="E92" s="120">
        <v>0.85000000000000131</v>
      </c>
      <c r="F92" s="120">
        <v>9.9999999999993677E-2</v>
      </c>
      <c r="G92" s="120">
        <v>-1.1600000000000124</v>
      </c>
      <c r="H92" s="120">
        <v>-0.33339999999999387</v>
      </c>
      <c r="I92" s="120">
        <v>9.9999999999993677E-2</v>
      </c>
      <c r="J92" s="120">
        <v>3.2699999999999929</v>
      </c>
      <c r="K92" s="120">
        <v>3.4799999999999951</v>
      </c>
      <c r="L92" s="120">
        <v>2.6000000000000063</v>
      </c>
      <c r="M92" s="120">
        <v>0.7224999999999987</v>
      </c>
      <c r="N92" s="120">
        <v>0</v>
      </c>
      <c r="O92" s="120">
        <v>9.9999999999987321E-2</v>
      </c>
      <c r="P92" s="120">
        <v>3.399999999999999</v>
      </c>
      <c r="Q92" s="120">
        <v>1.8000000000000047</v>
      </c>
      <c r="R92" s="120">
        <v>-1.9399999999999959</v>
      </c>
      <c r="S92" s="120">
        <v>-1.9399999999999984</v>
      </c>
      <c r="T92" s="120">
        <v>-3.6199999999999948</v>
      </c>
      <c r="U92" s="120">
        <v>4.5399999999999496E-2</v>
      </c>
      <c r="V92" s="120">
        <v>0.1681999999999928</v>
      </c>
      <c r="W92" s="120">
        <v>1.4000000000000021</v>
      </c>
      <c r="X92" s="120">
        <v>0.49989999999999879</v>
      </c>
      <c r="Y92" s="120">
        <v>-2.6599999999999913</v>
      </c>
      <c r="Z92" s="120">
        <v>0.20000000000000659</v>
      </c>
      <c r="AA92" s="120">
        <v>0.16000000000000095</v>
      </c>
      <c r="AB92" s="120">
        <v>1.2151999999999963</v>
      </c>
      <c r="AC92" s="120">
        <v>1.7500000000000053</v>
      </c>
      <c r="AD92" s="120">
        <v>-1.4299999999999928</v>
      </c>
      <c r="AE92" s="120">
        <v>-1.0544000000000053</v>
      </c>
      <c r="AF92" s="120">
        <v>3.2699999999999929</v>
      </c>
      <c r="AG92" s="120">
        <v>-0.74549999999999494</v>
      </c>
      <c r="AH92" s="120">
        <v>0.35000000000000242</v>
      </c>
      <c r="AI92" s="120">
        <v>0.35000000000000242</v>
      </c>
      <c r="AJ92" s="120">
        <v>-0.43000000000000294</v>
      </c>
      <c r="AK92" s="120">
        <v>-1.1000000000000059</v>
      </c>
      <c r="AL92" s="120">
        <v>9.9999999999987321E-2</v>
      </c>
    </row>
    <row r="93" spans="1:38" ht="11.25" customHeight="1" x14ac:dyDescent="0.25">
      <c r="A93" s="253" t="s">
        <v>533</v>
      </c>
      <c r="B93" s="120">
        <v>-5.4099999999999993</v>
      </c>
      <c r="C93" s="120">
        <v>3.0300000000000002</v>
      </c>
      <c r="D93" s="120">
        <v>0.63000000000000278</v>
      </c>
      <c r="E93" s="120">
        <v>0.87999999999999157</v>
      </c>
      <c r="F93" s="120">
        <v>0.48999999999998756</v>
      </c>
      <c r="G93" s="120">
        <v>2.98</v>
      </c>
      <c r="H93" s="120">
        <v>1.2115000000000153</v>
      </c>
      <c r="I93" s="120">
        <v>0.48999999999998756</v>
      </c>
      <c r="J93" s="120">
        <v>2.1800000000000042</v>
      </c>
      <c r="K93" s="120">
        <v>0.630000000000003</v>
      </c>
      <c r="L93" s="120">
        <v>1.8000000000000047</v>
      </c>
      <c r="M93" s="120">
        <v>1.5173000000000125</v>
      </c>
      <c r="N93" s="120">
        <v>0</v>
      </c>
      <c r="O93" s="120">
        <v>0.99999999999999445</v>
      </c>
      <c r="P93" s="120">
        <v>1.4000000000000072</v>
      </c>
      <c r="Q93" s="120">
        <v>0.29999999999998489</v>
      </c>
      <c r="R93" s="120">
        <v>2.1300000000000128</v>
      </c>
      <c r="S93" s="120">
        <v>-0.56999999999999929</v>
      </c>
      <c r="T93" s="120">
        <v>-0.11999999999999439</v>
      </c>
      <c r="U93" s="120">
        <v>0.22210000000000091</v>
      </c>
      <c r="V93" s="120">
        <v>1.0780999999999907</v>
      </c>
      <c r="W93" s="120">
        <v>0.18000000000000579</v>
      </c>
      <c r="X93" s="120">
        <v>2.5599999999998829E-2</v>
      </c>
      <c r="Y93" s="120">
        <v>0.58000000000000929</v>
      </c>
      <c r="Z93" s="120">
        <v>-2.9999999999990631E-2</v>
      </c>
      <c r="AA93" s="120">
        <v>2.2200000000000033</v>
      </c>
      <c r="AB93" s="120">
        <v>3.0998999999999968</v>
      </c>
      <c r="AC93" s="120">
        <v>-0.89000000000000212</v>
      </c>
      <c r="AD93" s="120">
        <v>-0.30000000000000154</v>
      </c>
      <c r="AE93" s="120">
        <v>0.14639999999999415</v>
      </c>
      <c r="AF93" s="120">
        <v>2.1800000000000042</v>
      </c>
      <c r="AG93" s="120">
        <v>3.6672999999999893</v>
      </c>
      <c r="AH93" s="120">
        <v>2.1200000000000054</v>
      </c>
      <c r="AI93" s="120">
        <v>2.1200000000000054</v>
      </c>
      <c r="AJ93" s="120">
        <v>0.29999999999999288</v>
      </c>
      <c r="AK93" s="120">
        <v>-0.49999999999999845</v>
      </c>
      <c r="AL93" s="120">
        <v>0.99999999999999445</v>
      </c>
    </row>
    <row r="94" spans="1:38" ht="11.25" customHeight="1" x14ac:dyDescent="0.25">
      <c r="A94" s="253" t="s">
        <v>534</v>
      </c>
      <c r="B94" s="120">
        <v>-2.8000000000000038</v>
      </c>
      <c r="C94" s="120">
        <v>-1.97000000000001</v>
      </c>
      <c r="D94" s="120">
        <v>0.85000000000000009</v>
      </c>
      <c r="E94" s="120">
        <v>0.41000000000000469</v>
      </c>
      <c r="F94" s="120">
        <v>0.71000000000000374</v>
      </c>
      <c r="G94" s="120">
        <v>-2.2599999999999993</v>
      </c>
      <c r="H94" s="120">
        <v>0.97780000000000344</v>
      </c>
      <c r="I94" s="120">
        <v>0.71000000000000374</v>
      </c>
      <c r="J94" s="120">
        <v>1.1799999999999973</v>
      </c>
      <c r="K94" s="120">
        <v>1.3500000000000008</v>
      </c>
      <c r="L94" s="120">
        <v>-0.40000000000000602</v>
      </c>
      <c r="M94" s="120">
        <v>-0.27549999999999547</v>
      </c>
      <c r="N94" s="120">
        <v>-2.3140999999999905</v>
      </c>
      <c r="O94" s="120">
        <v>1.6000000000000045</v>
      </c>
      <c r="P94" s="120">
        <v>2.0999999999999965</v>
      </c>
      <c r="Q94" s="120">
        <v>1.5999999999999976</v>
      </c>
      <c r="R94" s="120">
        <v>4.7900000000000063</v>
      </c>
      <c r="S94" s="120">
        <v>3.0399999999999991</v>
      </c>
      <c r="T94" s="120">
        <v>1.439999999999992</v>
      </c>
      <c r="U94" s="120">
        <v>6.2351999999999999</v>
      </c>
      <c r="V94" s="120">
        <v>0.61709999999999277</v>
      </c>
      <c r="W94" s="120">
        <v>0.75000000000000799</v>
      </c>
      <c r="X94" s="120">
        <v>-0.37059999999999887</v>
      </c>
      <c r="Y94" s="120">
        <v>1.4299999999999968</v>
      </c>
      <c r="Z94" s="120">
        <v>0.34000000000001179</v>
      </c>
      <c r="AA94" s="120">
        <v>1.2799999999999923</v>
      </c>
      <c r="AB94" s="120">
        <v>1.1015999999999881</v>
      </c>
      <c r="AC94" s="120">
        <v>2.3700000000000028</v>
      </c>
      <c r="AD94" s="120">
        <v>0.9800000000000012</v>
      </c>
      <c r="AE94" s="120">
        <v>0.54959999999998865</v>
      </c>
      <c r="AF94" s="120">
        <v>1.1799999999999973</v>
      </c>
      <c r="AG94" s="120">
        <v>3.9870000000000019</v>
      </c>
      <c r="AH94" s="120">
        <v>2.0699999999999892</v>
      </c>
      <c r="AI94" s="120">
        <v>2.0699999999999892</v>
      </c>
      <c r="AJ94" s="120">
        <v>2.010000000000006</v>
      </c>
      <c r="AK94" s="120">
        <v>-1.3000000000000047</v>
      </c>
      <c r="AL94" s="120">
        <v>1.6000000000000045</v>
      </c>
    </row>
    <row r="95" spans="1:38" ht="11.25" customHeight="1" x14ac:dyDescent="0.25">
      <c r="A95" s="253" t="s">
        <v>535</v>
      </c>
      <c r="B95" s="120">
        <v>0.72000000000000419</v>
      </c>
      <c r="C95" s="120">
        <v>-0.81999999999999473</v>
      </c>
      <c r="D95" s="120">
        <v>0.78000000000000158</v>
      </c>
      <c r="E95" s="120">
        <v>0.91000000000000902</v>
      </c>
      <c r="F95" s="120">
        <v>0.99999999999999434</v>
      </c>
      <c r="G95" s="120">
        <v>3.9299999999999931</v>
      </c>
      <c r="H95" s="120">
        <v>0.40910000000001312</v>
      </c>
      <c r="I95" s="120">
        <v>0.99999999999999434</v>
      </c>
      <c r="J95" s="120">
        <v>1.8399999999999999</v>
      </c>
      <c r="K95" s="120">
        <v>1.0599999999999907</v>
      </c>
      <c r="L95" s="120">
        <v>2.5999999999999992</v>
      </c>
      <c r="M95" s="120">
        <v>1.2662000000000013</v>
      </c>
      <c r="N95" s="120">
        <v>0</v>
      </c>
      <c r="O95" s="120">
        <v>-1.7000000000000053</v>
      </c>
      <c r="P95" s="120">
        <v>0.49999999999998623</v>
      </c>
      <c r="Q95" s="120">
        <v>-0.20000000000000526</v>
      </c>
      <c r="R95" s="120">
        <v>-0.23000000000000212</v>
      </c>
      <c r="S95" s="120">
        <v>-0.46000000000000774</v>
      </c>
      <c r="T95" s="120">
        <v>-0.33000000000000018</v>
      </c>
      <c r="U95" s="120">
        <v>0.47580000000000627</v>
      </c>
      <c r="V95" s="120">
        <v>0.41100000000000952</v>
      </c>
      <c r="W95" s="120">
        <v>-0.67000000000001048</v>
      </c>
      <c r="X95" s="120">
        <v>0.71769999999999912</v>
      </c>
      <c r="Y95" s="120">
        <v>-0.43999999999999917</v>
      </c>
      <c r="Z95" s="120">
        <v>-1.9999999999994324E-2</v>
      </c>
      <c r="AA95" s="120">
        <v>0.20000000000000281</v>
      </c>
      <c r="AB95" s="120">
        <v>-0.24180000000000382</v>
      </c>
      <c r="AC95" s="120">
        <v>-1.380000000000001</v>
      </c>
      <c r="AD95" s="120">
        <v>2.1700000000000044</v>
      </c>
      <c r="AE95" s="120">
        <v>0.47779999999999256</v>
      </c>
      <c r="AF95" s="120">
        <v>1.8399999999999999</v>
      </c>
      <c r="AG95" s="120">
        <v>0.551399999999999</v>
      </c>
      <c r="AH95" s="120">
        <v>1.1799999999999993</v>
      </c>
      <c r="AI95" s="120">
        <v>1.1799999999999993</v>
      </c>
      <c r="AJ95" s="120">
        <v>1.9099999999999921</v>
      </c>
      <c r="AK95" s="120">
        <v>1.0999999999999863</v>
      </c>
      <c r="AL95" s="120">
        <v>-1.7000000000000053</v>
      </c>
    </row>
    <row r="96" spans="1:38" ht="11.25" customHeight="1" x14ac:dyDescent="0.25">
      <c r="A96" s="253" t="s">
        <v>536</v>
      </c>
      <c r="B96" s="120">
        <v>0.97999999999999854</v>
      </c>
      <c r="C96" s="120">
        <v>-2.9800000000000089</v>
      </c>
      <c r="D96" s="120">
        <v>0.63999999999999158</v>
      </c>
      <c r="E96" s="120">
        <v>1.2199999999999922</v>
      </c>
      <c r="F96" s="120">
        <v>9.9999999999986933E-2</v>
      </c>
      <c r="G96" s="120">
        <v>-3.8699999999999992</v>
      </c>
      <c r="H96" s="120">
        <v>-0.29259999999999176</v>
      </c>
      <c r="I96" s="120">
        <v>9.9999999999986933E-2</v>
      </c>
      <c r="J96" s="120">
        <v>0.42999999999999583</v>
      </c>
      <c r="K96" s="120">
        <v>-0.63000000000000411</v>
      </c>
      <c r="L96" s="120">
        <v>-0.80000000000000071</v>
      </c>
      <c r="M96" s="120">
        <v>-0.20749999999999957</v>
      </c>
      <c r="N96" s="120">
        <v>0</v>
      </c>
      <c r="O96" s="120">
        <v>1.0999999999999965</v>
      </c>
      <c r="P96" s="120">
        <v>-0.20000000000000132</v>
      </c>
      <c r="Q96" s="120">
        <v>-0.10000000000000353</v>
      </c>
      <c r="R96" s="120">
        <v>2.3500000000000099</v>
      </c>
      <c r="S96" s="120">
        <v>2.0299999999999954</v>
      </c>
      <c r="T96" s="120">
        <v>1.3300000000000076</v>
      </c>
      <c r="U96" s="120">
        <v>4.7500000000005309E-2</v>
      </c>
      <c r="V96" s="120">
        <v>0.34700000000000536</v>
      </c>
      <c r="W96" s="120">
        <v>2.5800000000000027</v>
      </c>
      <c r="X96" s="120">
        <v>3.5400000000000695E-2</v>
      </c>
      <c r="Y96" s="120">
        <v>0.31000000000000349</v>
      </c>
      <c r="Z96" s="120">
        <v>1.0699999999999998</v>
      </c>
      <c r="AA96" s="120">
        <v>-2.9999999999991572E-2</v>
      </c>
      <c r="AB96" s="120">
        <v>0.47719999999999596</v>
      </c>
      <c r="AC96" s="120">
        <v>-1.7399999999999967</v>
      </c>
      <c r="AD96" s="120">
        <v>1.4999999999999956</v>
      </c>
      <c r="AE96" s="120">
        <v>0.21079999999999988</v>
      </c>
      <c r="AF96" s="120">
        <v>0.42999999999999583</v>
      </c>
      <c r="AG96" s="120">
        <v>2.5319000000000069</v>
      </c>
      <c r="AH96" s="120">
        <v>-0.74999999999999545</v>
      </c>
      <c r="AI96" s="120">
        <v>-0.74999999999999545</v>
      </c>
      <c r="AJ96" s="120">
        <v>1.0799999999999899</v>
      </c>
      <c r="AK96" s="120">
        <v>-1.1999999999999962</v>
      </c>
      <c r="AL96" s="120">
        <v>1.0999999999999965</v>
      </c>
    </row>
    <row r="97" spans="1:38" ht="11.25" customHeight="1" x14ac:dyDescent="0.25">
      <c r="A97" s="253" t="s">
        <v>537</v>
      </c>
      <c r="B97" s="120">
        <v>-0.37999999999999545</v>
      </c>
      <c r="C97" s="120">
        <v>0.61999999999999778</v>
      </c>
      <c r="D97" s="120">
        <v>0.97000000000000597</v>
      </c>
      <c r="E97" s="120">
        <v>-8.0000000000003887E-2</v>
      </c>
      <c r="F97" s="120">
        <v>0.49999999999999228</v>
      </c>
      <c r="G97" s="120">
        <v>3.0399999999999952</v>
      </c>
      <c r="H97" s="120">
        <v>-0.2325000000000037</v>
      </c>
      <c r="I97" s="120">
        <v>0.49999999999999228</v>
      </c>
      <c r="J97" s="120">
        <v>-1.1700000000000066</v>
      </c>
      <c r="K97" s="120">
        <v>7.9999999999996518E-2</v>
      </c>
      <c r="L97" s="120">
        <v>-2.4999999999999978</v>
      </c>
      <c r="M97" s="120">
        <v>1.9730999999999912</v>
      </c>
      <c r="N97" s="120">
        <v>-0.16190000000000282</v>
      </c>
      <c r="O97" s="120">
        <v>-0.90000000000000602</v>
      </c>
      <c r="P97" s="120">
        <v>-1.0000000000000058</v>
      </c>
      <c r="Q97" s="120">
        <v>0.80000000000000759</v>
      </c>
      <c r="R97" s="120">
        <v>2.9600000000000044</v>
      </c>
      <c r="S97" s="120">
        <v>2.4100000000000064</v>
      </c>
      <c r="T97" s="120">
        <v>-1.3799999999999994</v>
      </c>
      <c r="U97" s="120">
        <v>-17.624400000000009</v>
      </c>
      <c r="V97" s="120">
        <v>0.22570000000000065</v>
      </c>
      <c r="W97" s="120">
        <v>-0.17999999999999669</v>
      </c>
      <c r="X97" s="120">
        <v>2.4145000000000061</v>
      </c>
      <c r="Y97" s="120">
        <v>-0.53999999999999893</v>
      </c>
      <c r="Z97" s="120">
        <v>9.9999999999992803E-2</v>
      </c>
      <c r="AA97" s="120">
        <v>0.34000000000000452</v>
      </c>
      <c r="AB97" s="120">
        <v>0.24640000000000356</v>
      </c>
      <c r="AC97" s="120">
        <v>-2.9499999999999922</v>
      </c>
      <c r="AD97" s="120">
        <v>-2.2800000000000109</v>
      </c>
      <c r="AE97" s="120">
        <v>-2.5100000000000199E-2</v>
      </c>
      <c r="AF97" s="120">
        <v>-1.1700000000000066</v>
      </c>
      <c r="AG97" s="120">
        <v>4.6202999999999941</v>
      </c>
      <c r="AH97" s="120">
        <v>0.37999999999999984</v>
      </c>
      <c r="AI97" s="120">
        <v>0.37999999999999984</v>
      </c>
      <c r="AJ97" s="120">
        <v>0.64999999999999303</v>
      </c>
      <c r="AK97" s="120">
        <v>-9.999999999999401E-2</v>
      </c>
      <c r="AL97" s="120">
        <v>-0.90000000000000602</v>
      </c>
    </row>
    <row r="98" spans="1:38" ht="11.25" customHeight="1" x14ac:dyDescent="0.25">
      <c r="A98" s="253" t="s">
        <v>538</v>
      </c>
      <c r="B98" s="120">
        <v>0</v>
      </c>
      <c r="C98" s="120">
        <v>-5.6200000000000045</v>
      </c>
      <c r="D98" s="120">
        <v>0.75</v>
      </c>
      <c r="E98" s="120">
        <v>0.94000000000001205</v>
      </c>
      <c r="F98" s="120">
        <v>0.20999999999999375</v>
      </c>
      <c r="G98" s="120">
        <v>-1.2599999999999909</v>
      </c>
      <c r="H98" s="120">
        <v>0.78780000000000427</v>
      </c>
      <c r="I98" s="120">
        <v>0.20999999999999375</v>
      </c>
      <c r="J98" s="120">
        <v>-0.64000000000000057</v>
      </c>
      <c r="K98" s="120">
        <v>0.81000000000000216</v>
      </c>
      <c r="L98" s="120">
        <v>2.6000000000000085</v>
      </c>
      <c r="M98" s="120">
        <v>0.91550000000000864</v>
      </c>
      <c r="N98" s="120">
        <v>0</v>
      </c>
      <c r="O98" s="120">
        <v>1</v>
      </c>
      <c r="P98" s="120">
        <v>2.4999999999999858</v>
      </c>
      <c r="Q98" s="120">
        <v>0.20000000000000281</v>
      </c>
      <c r="R98" s="120">
        <v>0.81999999999999318</v>
      </c>
      <c r="S98" s="120">
        <v>1.2399999999999949</v>
      </c>
      <c r="T98" s="120">
        <v>2.3900000000000006</v>
      </c>
      <c r="U98" s="120">
        <v>8.1700000000012096E-2</v>
      </c>
      <c r="V98" s="120">
        <v>-0.18359999999999843</v>
      </c>
      <c r="W98" s="120">
        <v>2.3600000000000136</v>
      </c>
      <c r="X98" s="120">
        <v>1.5878000000000014</v>
      </c>
      <c r="Y98" s="120">
        <v>-1.1700000000000017</v>
      </c>
      <c r="Z98" s="120">
        <v>0.98000000000000398</v>
      </c>
      <c r="AA98" s="120">
        <v>-1.9999999999996021E-2</v>
      </c>
      <c r="AB98" s="120">
        <v>-4.4834999999999923</v>
      </c>
      <c r="AC98" s="120">
        <v>-3.5600000000000023</v>
      </c>
      <c r="AD98" s="120">
        <v>-0.90000000000000568</v>
      </c>
      <c r="AE98" s="120">
        <v>-0.60840000000000316</v>
      </c>
      <c r="AF98" s="120">
        <v>-0.64000000000000057</v>
      </c>
      <c r="AG98" s="120">
        <v>-4.2336999999999989</v>
      </c>
      <c r="AH98" s="120">
        <v>-2.480000000000004</v>
      </c>
      <c r="AI98" s="120">
        <v>-2.480000000000004</v>
      </c>
      <c r="AJ98" s="120">
        <v>0.28999999999999204</v>
      </c>
      <c r="AK98" s="120">
        <v>-0.18000000000000682</v>
      </c>
      <c r="AL98" s="120">
        <v>1</v>
      </c>
    </row>
    <row r="99" spans="1:38" ht="11.25" customHeight="1" x14ac:dyDescent="0.25"/>
    <row r="100" spans="1:38" ht="11.25" customHeight="1" x14ac:dyDescent="0.25"/>
    <row r="101" spans="1:38" ht="11.25" customHeight="1" x14ac:dyDescent="0.25"/>
    <row r="102" spans="1:38" ht="11.25" customHeight="1" x14ac:dyDescent="0.25"/>
    <row r="103" spans="1:38" ht="11.25" customHeight="1" x14ac:dyDescent="0.25"/>
    <row r="104" spans="1:38" ht="11.25" customHeight="1" x14ac:dyDescent="0.25"/>
    <row r="105" spans="1:38" ht="11.25" customHeight="1" x14ac:dyDescent="0.25"/>
    <row r="106" spans="1:38" ht="11.25" customHeight="1" x14ac:dyDescent="0.25"/>
    <row r="107" spans="1:38" ht="11.25" customHeight="1" x14ac:dyDescent="0.25"/>
    <row r="108" spans="1:38" ht="11.25" customHeight="1" x14ac:dyDescent="0.25"/>
    <row r="109" spans="1:38" ht="11.25" customHeight="1" x14ac:dyDescent="0.25"/>
    <row r="110" spans="1:38" ht="11.25" customHeight="1" x14ac:dyDescent="0.25"/>
    <row r="111" spans="1:38" ht="11.25" customHeight="1" x14ac:dyDescent="0.25"/>
    <row r="112" spans="1:38"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row r="135" ht="11.25" customHeight="1" x14ac:dyDescent="0.25"/>
    <row r="136" ht="11.25" customHeight="1" x14ac:dyDescent="0.25"/>
    <row r="137" ht="11.25" customHeight="1" x14ac:dyDescent="0.25"/>
    <row r="138" ht="11.25" customHeight="1" x14ac:dyDescent="0.25"/>
    <row r="139" ht="11.25" customHeight="1" x14ac:dyDescent="0.25"/>
    <row r="140" ht="11.25" customHeight="1" x14ac:dyDescent="0.25"/>
    <row r="141" ht="11.25" customHeight="1" x14ac:dyDescent="0.25"/>
    <row r="142" ht="11.25" customHeight="1" x14ac:dyDescent="0.25"/>
    <row r="143" ht="11.25" customHeight="1" x14ac:dyDescent="0.25"/>
    <row r="144" ht="11.25" customHeight="1" x14ac:dyDescent="0.25"/>
    <row r="145" ht="11.25" customHeight="1" x14ac:dyDescent="0.25"/>
    <row r="146" ht="11.25" customHeight="1" x14ac:dyDescent="0.25"/>
    <row r="147" ht="11.25" customHeight="1" x14ac:dyDescent="0.25"/>
    <row r="148" ht="11.25" customHeight="1" x14ac:dyDescent="0.25"/>
    <row r="149" ht="11.25" customHeight="1" x14ac:dyDescent="0.25"/>
    <row r="150" ht="11.25" customHeight="1" x14ac:dyDescent="0.25"/>
    <row r="151" ht="11.25" customHeight="1" x14ac:dyDescent="0.25"/>
    <row r="152" ht="11.25" customHeight="1" x14ac:dyDescent="0.25"/>
    <row r="153" ht="11.25" customHeight="1" x14ac:dyDescent="0.25"/>
    <row r="154" ht="11.25" customHeight="1" x14ac:dyDescent="0.25"/>
    <row r="155" ht="11.25" customHeight="1" x14ac:dyDescent="0.25"/>
    <row r="156" ht="11.25" customHeight="1" x14ac:dyDescent="0.25"/>
    <row r="157" ht="11.25" customHeight="1" x14ac:dyDescent="0.25"/>
    <row r="158" ht="11.25" customHeight="1" x14ac:dyDescent="0.25"/>
    <row r="159" ht="11.25" customHeight="1" x14ac:dyDescent="0.25"/>
    <row r="160" ht="11.25" customHeight="1" x14ac:dyDescent="0.25"/>
    <row r="161" ht="11.25" customHeight="1" x14ac:dyDescent="0.25"/>
    <row r="162" ht="11.25" customHeight="1" x14ac:dyDescent="0.25"/>
    <row r="163" ht="11.25" customHeight="1" x14ac:dyDescent="0.25"/>
    <row r="164" ht="11.25" customHeight="1" x14ac:dyDescent="0.25"/>
    <row r="165" ht="11.25" customHeight="1" x14ac:dyDescent="0.25"/>
    <row r="166" ht="11.25" customHeight="1" x14ac:dyDescent="0.25"/>
    <row r="167" ht="11.25" customHeight="1" x14ac:dyDescent="0.25"/>
    <row r="168" ht="11.25" customHeight="1" x14ac:dyDescent="0.25"/>
    <row r="169" ht="11.25" customHeight="1" x14ac:dyDescent="0.25"/>
    <row r="170" ht="11.25" customHeight="1" x14ac:dyDescent="0.25"/>
    <row r="171" ht="11.25" customHeight="1" x14ac:dyDescent="0.25"/>
    <row r="172" ht="11.25" customHeight="1" x14ac:dyDescent="0.25"/>
    <row r="173" ht="11.25" customHeight="1" x14ac:dyDescent="0.25"/>
    <row r="174" ht="11.25" customHeight="1" x14ac:dyDescent="0.25"/>
    <row r="175" ht="11.25" customHeight="1" x14ac:dyDescent="0.25"/>
    <row r="176" ht="11.25" customHeight="1" x14ac:dyDescent="0.25"/>
    <row r="177" ht="11.25" customHeight="1" x14ac:dyDescent="0.25"/>
    <row r="178" ht="11.25" customHeight="1" x14ac:dyDescent="0.25"/>
    <row r="179" ht="11.25" customHeight="1" x14ac:dyDescent="0.25"/>
    <row r="180" ht="11.25" customHeight="1" x14ac:dyDescent="0.25"/>
    <row r="181" ht="11.25" customHeight="1" x14ac:dyDescent="0.25"/>
    <row r="182" ht="11.25" customHeight="1" x14ac:dyDescent="0.25"/>
    <row r="183" ht="11.25" customHeight="1" x14ac:dyDescent="0.25"/>
    <row r="184" ht="11.25" customHeight="1" x14ac:dyDescent="0.25"/>
    <row r="185" ht="11.25" customHeight="1" x14ac:dyDescent="0.25"/>
    <row r="186" ht="11.25" customHeight="1" x14ac:dyDescent="0.25"/>
    <row r="187" ht="11.25" customHeight="1" x14ac:dyDescent="0.25"/>
    <row r="188" ht="11.25" customHeight="1" x14ac:dyDescent="0.25"/>
    <row r="189" ht="11.25" customHeight="1" x14ac:dyDescent="0.25"/>
    <row r="190" ht="11.25" customHeight="1" x14ac:dyDescent="0.25"/>
    <row r="191" ht="11.25" customHeight="1" x14ac:dyDescent="0.25"/>
    <row r="192" ht="11.25" customHeight="1" x14ac:dyDescent="0.25"/>
    <row r="193" ht="11.25" customHeight="1" x14ac:dyDescent="0.25"/>
    <row r="194" ht="11.25" customHeight="1" x14ac:dyDescent="0.25"/>
    <row r="195" ht="11.25" customHeight="1" x14ac:dyDescent="0.25"/>
    <row r="196" ht="11.25" customHeight="1" x14ac:dyDescent="0.25"/>
    <row r="197" ht="11.25" customHeight="1" x14ac:dyDescent="0.25"/>
    <row r="198" ht="11.25" customHeight="1" x14ac:dyDescent="0.25"/>
    <row r="199" ht="11.25" customHeight="1" x14ac:dyDescent="0.25"/>
    <row r="200" ht="11.25" customHeight="1" x14ac:dyDescent="0.25"/>
    <row r="201" ht="11.25" customHeight="1" x14ac:dyDescent="0.25"/>
    <row r="202" ht="11.25" customHeight="1" x14ac:dyDescent="0.25"/>
    <row r="203" ht="11.25" customHeight="1" x14ac:dyDescent="0.25"/>
    <row r="204" ht="11.25" customHeight="1" x14ac:dyDescent="0.25"/>
    <row r="205" ht="11.25" customHeight="1" x14ac:dyDescent="0.25"/>
    <row r="206" ht="11.25" customHeight="1" x14ac:dyDescent="0.25"/>
    <row r="207" ht="11.25" customHeight="1" x14ac:dyDescent="0.25"/>
    <row r="208" ht="11.25" customHeight="1" x14ac:dyDescent="0.25"/>
    <row r="209" ht="11.25" customHeight="1" x14ac:dyDescent="0.25"/>
    <row r="210" ht="11.25" customHeight="1" x14ac:dyDescent="0.25"/>
    <row r="211" ht="11.25" customHeight="1" x14ac:dyDescent="0.25"/>
    <row r="212" ht="11.25" customHeight="1" x14ac:dyDescent="0.25"/>
    <row r="213" ht="11.25" customHeight="1" x14ac:dyDescent="0.25"/>
    <row r="214" ht="11.25" customHeight="1" x14ac:dyDescent="0.25"/>
    <row r="215" ht="11.25" customHeight="1" x14ac:dyDescent="0.25"/>
    <row r="216" ht="11.25" customHeight="1" x14ac:dyDescent="0.25"/>
    <row r="217" ht="11.25" customHeight="1" x14ac:dyDescent="0.25"/>
    <row r="218" ht="11.25" customHeight="1" x14ac:dyDescent="0.25"/>
    <row r="219" ht="11.25" customHeight="1" x14ac:dyDescent="0.25"/>
    <row r="220" ht="11.25" customHeight="1" x14ac:dyDescent="0.25"/>
    <row r="221" ht="11.25" customHeight="1" x14ac:dyDescent="0.25"/>
    <row r="222" ht="11.25" customHeight="1" x14ac:dyDescent="0.25"/>
    <row r="223" ht="11.25" customHeight="1" x14ac:dyDescent="0.25"/>
    <row r="224" ht="11.25" customHeight="1" x14ac:dyDescent="0.25"/>
    <row r="225" ht="11.25" customHeight="1" x14ac:dyDescent="0.25"/>
    <row r="226" ht="11.25" customHeight="1" x14ac:dyDescent="0.25"/>
    <row r="227" ht="11.25" customHeight="1" x14ac:dyDescent="0.25"/>
    <row r="228" ht="11.25" customHeight="1" x14ac:dyDescent="0.25"/>
    <row r="229" ht="11.25" customHeight="1" x14ac:dyDescent="0.25"/>
    <row r="230" ht="11.25" customHeight="1" x14ac:dyDescent="0.25"/>
    <row r="231" ht="11.25" customHeight="1" x14ac:dyDescent="0.25"/>
    <row r="232" ht="11.25" customHeight="1" x14ac:dyDescent="0.25"/>
    <row r="233" ht="11.25" customHeight="1" x14ac:dyDescent="0.25"/>
    <row r="234" ht="11.25" customHeight="1" x14ac:dyDescent="0.25"/>
    <row r="235" ht="11.25" customHeight="1" x14ac:dyDescent="0.25"/>
    <row r="236" ht="11.25" customHeight="1" x14ac:dyDescent="0.25"/>
    <row r="237" ht="11.25" customHeight="1" x14ac:dyDescent="0.25"/>
    <row r="238" ht="11.25" customHeight="1" x14ac:dyDescent="0.25"/>
    <row r="239" ht="11.25" customHeight="1" x14ac:dyDescent="0.25"/>
    <row r="240" ht="11.25" customHeight="1" x14ac:dyDescent="0.25"/>
    <row r="241" ht="11.25" customHeight="1" x14ac:dyDescent="0.25"/>
    <row r="242" ht="11.25" customHeight="1" x14ac:dyDescent="0.25"/>
    <row r="243" ht="11.25" customHeight="1" x14ac:dyDescent="0.25"/>
    <row r="244" ht="11.25" customHeight="1" x14ac:dyDescent="0.25"/>
    <row r="245" ht="11.25" customHeight="1" x14ac:dyDescent="0.25"/>
    <row r="246" ht="11.25" customHeight="1" x14ac:dyDescent="0.25"/>
    <row r="247" ht="11.25" customHeight="1" x14ac:dyDescent="0.25"/>
    <row r="248" ht="11.25" customHeight="1" x14ac:dyDescent="0.25"/>
    <row r="249" ht="11.25" customHeight="1" x14ac:dyDescent="0.25"/>
    <row r="250" ht="11.25" customHeight="1" x14ac:dyDescent="0.25"/>
    <row r="251" ht="11.25" customHeight="1" x14ac:dyDescent="0.25"/>
    <row r="252" ht="11.25" customHeight="1" x14ac:dyDescent="0.25"/>
    <row r="253" ht="11.25" customHeight="1" x14ac:dyDescent="0.25"/>
    <row r="254" ht="11.25" customHeight="1" x14ac:dyDescent="0.25"/>
    <row r="255" ht="11.25" customHeight="1" x14ac:dyDescent="0.25"/>
    <row r="256" ht="11.25" customHeight="1" x14ac:dyDescent="0.25"/>
    <row r="257" ht="11.25" customHeight="1" x14ac:dyDescent="0.25"/>
    <row r="258" ht="11.25" customHeight="1" x14ac:dyDescent="0.25"/>
    <row r="259" ht="11.25" customHeight="1" x14ac:dyDescent="0.25"/>
    <row r="260" ht="11.25" customHeight="1" x14ac:dyDescent="0.25"/>
    <row r="261" ht="11.25" customHeight="1" x14ac:dyDescent="0.25"/>
    <row r="262" ht="11.25" customHeight="1" x14ac:dyDescent="0.25"/>
    <row r="263" ht="11.25" customHeight="1" x14ac:dyDescent="0.25"/>
    <row r="264" ht="11.25" customHeight="1" x14ac:dyDescent="0.25"/>
    <row r="265" ht="11.25" customHeight="1" x14ac:dyDescent="0.25"/>
    <row r="266" ht="11.25" customHeight="1" x14ac:dyDescent="0.25"/>
    <row r="267" ht="11.25" customHeight="1" x14ac:dyDescent="0.25"/>
    <row r="268" ht="11.25" customHeight="1" x14ac:dyDescent="0.25"/>
    <row r="269" ht="11.25" customHeight="1" x14ac:dyDescent="0.25"/>
    <row r="270" ht="11.25" customHeight="1" x14ac:dyDescent="0.25"/>
    <row r="271" ht="11.25" customHeight="1" x14ac:dyDescent="0.25"/>
    <row r="272" ht="11.25" customHeight="1" x14ac:dyDescent="0.25"/>
    <row r="273" ht="11.25" customHeight="1" x14ac:dyDescent="0.25"/>
    <row r="274" ht="11.25" customHeight="1" x14ac:dyDescent="0.25"/>
    <row r="275" ht="11.25" customHeight="1" x14ac:dyDescent="0.25"/>
    <row r="276" ht="11.25" customHeight="1" x14ac:dyDescent="0.25"/>
    <row r="277" ht="11.25" customHeight="1" x14ac:dyDescent="0.25"/>
    <row r="278" ht="11.25" customHeight="1" x14ac:dyDescent="0.25"/>
    <row r="279" ht="11.25" customHeight="1" x14ac:dyDescent="0.25"/>
    <row r="280" ht="11.25" customHeight="1" x14ac:dyDescent="0.25"/>
    <row r="281" ht="11.25" customHeight="1" x14ac:dyDescent="0.25"/>
    <row r="282" ht="11.25" customHeight="1" x14ac:dyDescent="0.25"/>
    <row r="283" ht="11.25" customHeight="1" x14ac:dyDescent="0.25"/>
    <row r="284" ht="11.25" customHeight="1" x14ac:dyDescent="0.25"/>
    <row r="285" ht="11.25" customHeight="1" x14ac:dyDescent="0.25"/>
    <row r="286" ht="11.25" customHeight="1" x14ac:dyDescent="0.25"/>
    <row r="287" ht="11.25" customHeight="1" x14ac:dyDescent="0.25"/>
    <row r="288" ht="11.25" customHeight="1" x14ac:dyDescent="0.25"/>
    <row r="289" ht="11.25" customHeight="1" x14ac:dyDescent="0.25"/>
    <row r="290" ht="11.25" customHeight="1" x14ac:dyDescent="0.25"/>
    <row r="291" ht="11.25" customHeight="1" x14ac:dyDescent="0.25"/>
    <row r="292" ht="11.25" customHeight="1" x14ac:dyDescent="0.25"/>
    <row r="293" ht="11.25" customHeight="1" x14ac:dyDescent="0.25"/>
    <row r="294" ht="11.25" customHeight="1" x14ac:dyDescent="0.25"/>
    <row r="295" ht="11.25" customHeight="1" x14ac:dyDescent="0.25"/>
    <row r="296" ht="11.25" customHeight="1" x14ac:dyDescent="0.25"/>
    <row r="297" ht="11.25" customHeight="1" x14ac:dyDescent="0.25"/>
    <row r="298" ht="11.25" customHeight="1" x14ac:dyDescent="0.25"/>
    <row r="299" ht="11.25" customHeight="1" x14ac:dyDescent="0.25"/>
    <row r="300" ht="11.25" customHeight="1" x14ac:dyDescent="0.25"/>
    <row r="301" ht="11.25" customHeight="1" x14ac:dyDescent="0.25"/>
    <row r="302" ht="11.25" customHeight="1" x14ac:dyDescent="0.25"/>
    <row r="303" ht="11.25" customHeight="1" x14ac:dyDescent="0.25"/>
    <row r="304" ht="11.25" customHeight="1" x14ac:dyDescent="0.25"/>
    <row r="305" ht="11.25" customHeight="1" x14ac:dyDescent="0.25"/>
    <row r="306" ht="11.25" customHeight="1" x14ac:dyDescent="0.25"/>
    <row r="307" ht="11.25" customHeight="1" x14ac:dyDescent="0.25"/>
    <row r="308" ht="11.25" customHeight="1" x14ac:dyDescent="0.25"/>
    <row r="309" ht="11.25" customHeight="1" x14ac:dyDescent="0.25"/>
    <row r="310" ht="11.25" customHeight="1" x14ac:dyDescent="0.25"/>
    <row r="311" ht="11.25" customHeight="1" x14ac:dyDescent="0.25"/>
    <row r="312" ht="11.25" customHeight="1" x14ac:dyDescent="0.25"/>
    <row r="313" ht="11.25" customHeight="1" x14ac:dyDescent="0.25"/>
    <row r="314" ht="11.25" customHeight="1" x14ac:dyDescent="0.25"/>
    <row r="315" ht="11.25" customHeight="1" x14ac:dyDescent="0.25"/>
    <row r="316" ht="11.25" customHeight="1" x14ac:dyDescent="0.25"/>
    <row r="317" ht="11.25" customHeight="1" x14ac:dyDescent="0.25"/>
    <row r="318" ht="11.25" customHeight="1" x14ac:dyDescent="0.25"/>
    <row r="319" ht="11.25" customHeight="1" x14ac:dyDescent="0.25"/>
    <row r="320" ht="11.25" customHeight="1" x14ac:dyDescent="0.25"/>
    <row r="321" ht="11.25" customHeight="1" x14ac:dyDescent="0.25"/>
    <row r="322" ht="11.25" customHeight="1" x14ac:dyDescent="0.25"/>
    <row r="323" ht="11.25" customHeight="1" x14ac:dyDescent="0.25"/>
    <row r="324" ht="11.25" customHeight="1" x14ac:dyDescent="0.25"/>
    <row r="325" ht="11.25" customHeight="1" x14ac:dyDescent="0.25"/>
    <row r="326" ht="11.25" customHeight="1" x14ac:dyDescent="0.25"/>
    <row r="327" ht="11.25" customHeight="1" x14ac:dyDescent="0.25"/>
    <row r="328" ht="11.25" customHeight="1" x14ac:dyDescent="0.25"/>
    <row r="329" ht="11.25" customHeight="1" x14ac:dyDescent="0.25"/>
    <row r="330" ht="11.25" customHeight="1" x14ac:dyDescent="0.25"/>
    <row r="331" ht="11.25" customHeight="1" x14ac:dyDescent="0.25"/>
    <row r="332" ht="11.25" customHeight="1" x14ac:dyDescent="0.25"/>
    <row r="333" ht="11.25" customHeight="1" x14ac:dyDescent="0.25"/>
    <row r="334" ht="11.25" customHeight="1" x14ac:dyDescent="0.25"/>
    <row r="335" ht="11.25" customHeight="1" x14ac:dyDescent="0.25"/>
    <row r="336" ht="11.25" customHeight="1" x14ac:dyDescent="0.25"/>
    <row r="337" ht="11.25" customHeight="1" x14ac:dyDescent="0.25"/>
    <row r="338" ht="11.25" customHeight="1" x14ac:dyDescent="0.25"/>
    <row r="339" ht="11.25" customHeight="1" x14ac:dyDescent="0.25"/>
    <row r="340" ht="11.25" customHeight="1" x14ac:dyDescent="0.25"/>
    <row r="341" ht="11.25" customHeight="1" x14ac:dyDescent="0.25"/>
    <row r="342" ht="11.25" customHeight="1" x14ac:dyDescent="0.25"/>
    <row r="343" ht="11.25" customHeight="1" x14ac:dyDescent="0.25"/>
    <row r="344" ht="11.25" customHeight="1" x14ac:dyDescent="0.25"/>
    <row r="345" ht="11.25" customHeight="1" x14ac:dyDescent="0.25"/>
    <row r="346" ht="11.25" customHeight="1" x14ac:dyDescent="0.25"/>
    <row r="347" ht="11.25" customHeight="1" x14ac:dyDescent="0.25"/>
    <row r="348" ht="11.25" customHeight="1" x14ac:dyDescent="0.25"/>
    <row r="349" ht="11.25" customHeight="1" x14ac:dyDescent="0.25"/>
    <row r="350" ht="11.25" customHeight="1" x14ac:dyDescent="0.25"/>
    <row r="351" ht="11.25" customHeight="1" x14ac:dyDescent="0.25"/>
    <row r="352" ht="11.25" customHeight="1" x14ac:dyDescent="0.25"/>
    <row r="353" ht="11.25" customHeight="1" x14ac:dyDescent="0.25"/>
    <row r="354" ht="11.25" customHeight="1" x14ac:dyDescent="0.25"/>
    <row r="355" ht="11.25" customHeight="1" x14ac:dyDescent="0.25"/>
    <row r="356" ht="11.25" customHeight="1" x14ac:dyDescent="0.25"/>
    <row r="357" ht="11.25" customHeight="1" x14ac:dyDescent="0.25"/>
    <row r="358" ht="11.25" customHeight="1" x14ac:dyDescent="0.25"/>
    <row r="359" ht="11.25" customHeight="1" x14ac:dyDescent="0.25"/>
    <row r="360" ht="11.25" customHeight="1" x14ac:dyDescent="0.25"/>
    <row r="361" ht="11.25" customHeight="1" x14ac:dyDescent="0.25"/>
    <row r="362" ht="11.25" customHeight="1" x14ac:dyDescent="0.25"/>
    <row r="363" ht="11.25" customHeight="1" x14ac:dyDescent="0.25"/>
    <row r="364" ht="11.25" customHeight="1" x14ac:dyDescent="0.25"/>
    <row r="365" ht="11.25" customHeight="1" x14ac:dyDescent="0.25"/>
    <row r="366" ht="11.25" customHeight="1" x14ac:dyDescent="0.25"/>
    <row r="367" ht="11.25" customHeight="1" x14ac:dyDescent="0.25"/>
    <row r="368" ht="11.25" customHeight="1" x14ac:dyDescent="0.25"/>
    <row r="369" ht="11.25" customHeight="1" x14ac:dyDescent="0.25"/>
    <row r="370" ht="11.25" customHeight="1" x14ac:dyDescent="0.25"/>
    <row r="371" ht="11.25" customHeight="1" x14ac:dyDescent="0.25"/>
    <row r="372" ht="11.25" customHeight="1" x14ac:dyDescent="0.25"/>
    <row r="373" ht="11.25" customHeight="1" x14ac:dyDescent="0.25"/>
    <row r="374" ht="11.25" customHeight="1" x14ac:dyDescent="0.25"/>
    <row r="375" ht="11.25" customHeight="1" x14ac:dyDescent="0.25"/>
    <row r="376" ht="11.25" customHeight="1" x14ac:dyDescent="0.25"/>
    <row r="377" ht="11.25" customHeight="1" x14ac:dyDescent="0.25"/>
    <row r="378" ht="11.25" customHeight="1" x14ac:dyDescent="0.25"/>
    <row r="379" ht="11.25" customHeight="1" x14ac:dyDescent="0.25"/>
    <row r="380" ht="11.25" customHeight="1" x14ac:dyDescent="0.25"/>
    <row r="381" ht="11.25" customHeight="1" x14ac:dyDescent="0.25"/>
    <row r="382" ht="11.25" customHeight="1" x14ac:dyDescent="0.25"/>
    <row r="383" ht="11.25" customHeight="1" x14ac:dyDescent="0.25"/>
    <row r="384" ht="11.25" customHeight="1" x14ac:dyDescent="0.25"/>
    <row r="385" ht="11.25" customHeight="1" x14ac:dyDescent="0.25"/>
    <row r="386" ht="11.25" customHeight="1" x14ac:dyDescent="0.25"/>
    <row r="387" ht="11.25" customHeight="1" x14ac:dyDescent="0.25"/>
    <row r="388" ht="11.25" customHeight="1" x14ac:dyDescent="0.25"/>
    <row r="389" ht="11.25" customHeight="1" x14ac:dyDescent="0.25"/>
    <row r="390" ht="11.25" customHeight="1" x14ac:dyDescent="0.25"/>
    <row r="391" ht="11.25" customHeight="1" x14ac:dyDescent="0.25"/>
    <row r="392" ht="11.25" customHeight="1" x14ac:dyDescent="0.25"/>
    <row r="393" ht="11.25" customHeight="1" x14ac:dyDescent="0.25"/>
    <row r="394" ht="11.25" customHeight="1" x14ac:dyDescent="0.25"/>
    <row r="395" ht="11.25" customHeight="1" x14ac:dyDescent="0.25"/>
    <row r="396" ht="11.25" customHeight="1" x14ac:dyDescent="0.25"/>
    <row r="397" ht="11.25" customHeight="1" x14ac:dyDescent="0.25"/>
    <row r="398" ht="11.25" customHeight="1" x14ac:dyDescent="0.25"/>
    <row r="399" ht="11.25" customHeight="1" x14ac:dyDescent="0.25"/>
    <row r="400" ht="11.25" customHeight="1" x14ac:dyDescent="0.25"/>
    <row r="401" ht="11.25" customHeight="1" x14ac:dyDescent="0.25"/>
    <row r="402" ht="11.25" customHeight="1" x14ac:dyDescent="0.25"/>
    <row r="403" ht="11.25" customHeight="1" x14ac:dyDescent="0.25"/>
    <row r="404" ht="11.25" customHeight="1" x14ac:dyDescent="0.25"/>
    <row r="405" ht="11.25" customHeight="1" x14ac:dyDescent="0.25"/>
    <row r="406" ht="11.25" customHeight="1" x14ac:dyDescent="0.25"/>
    <row r="407" ht="11.25" customHeight="1" x14ac:dyDescent="0.25"/>
    <row r="408" ht="11.25" customHeight="1" x14ac:dyDescent="0.25"/>
    <row r="409" ht="11.25" customHeight="1" x14ac:dyDescent="0.25"/>
    <row r="410" ht="11.25" customHeight="1" x14ac:dyDescent="0.25"/>
    <row r="411" ht="11.25" customHeight="1" x14ac:dyDescent="0.25"/>
    <row r="412" ht="11.25" customHeight="1" x14ac:dyDescent="0.25"/>
    <row r="413" ht="11.25" customHeight="1" x14ac:dyDescent="0.25"/>
    <row r="414" ht="11.25" customHeight="1" x14ac:dyDescent="0.25"/>
    <row r="415" ht="11.25" customHeight="1" x14ac:dyDescent="0.25"/>
    <row r="416" ht="11.25" customHeight="1" x14ac:dyDescent="0.25"/>
    <row r="417" ht="11.25" customHeight="1" x14ac:dyDescent="0.25"/>
    <row r="418" ht="11.25" customHeight="1" x14ac:dyDescent="0.25"/>
    <row r="419" ht="11.25" customHeight="1" x14ac:dyDescent="0.25"/>
    <row r="420" ht="11.25" customHeight="1" x14ac:dyDescent="0.25"/>
    <row r="421" ht="11.25" customHeight="1" x14ac:dyDescent="0.25"/>
    <row r="422" ht="11.25" customHeight="1" x14ac:dyDescent="0.25"/>
    <row r="423" ht="11.25" customHeight="1" x14ac:dyDescent="0.25"/>
    <row r="424" ht="11.25" customHeight="1" x14ac:dyDescent="0.25"/>
    <row r="425" ht="11.25" customHeight="1" x14ac:dyDescent="0.25"/>
    <row r="426" ht="11.25" customHeight="1" x14ac:dyDescent="0.25"/>
    <row r="427" ht="11.25" customHeight="1" x14ac:dyDescent="0.25"/>
    <row r="428" ht="11.25" customHeight="1" x14ac:dyDescent="0.25"/>
    <row r="429" ht="11.25" customHeight="1" x14ac:dyDescent="0.25"/>
    <row r="430" ht="11.25" customHeight="1" x14ac:dyDescent="0.25"/>
    <row r="431" ht="11.25" customHeight="1" x14ac:dyDescent="0.25"/>
    <row r="432" ht="11.25" customHeight="1" x14ac:dyDescent="0.25"/>
    <row r="433" ht="11.25" customHeight="1" x14ac:dyDescent="0.25"/>
    <row r="434" ht="11.25" customHeight="1" x14ac:dyDescent="0.25"/>
    <row r="435" ht="11.25" customHeight="1" x14ac:dyDescent="0.25"/>
    <row r="436" ht="11.25" customHeight="1" x14ac:dyDescent="0.25"/>
    <row r="437" ht="11.25" customHeight="1" x14ac:dyDescent="0.25"/>
    <row r="438" ht="11.25" customHeight="1" x14ac:dyDescent="0.25"/>
    <row r="439" ht="11.25" customHeight="1" x14ac:dyDescent="0.25"/>
    <row r="440" ht="11.25" customHeight="1" x14ac:dyDescent="0.25"/>
    <row r="441" ht="11.25" customHeight="1" x14ac:dyDescent="0.25"/>
    <row r="442" ht="11.25" customHeight="1" x14ac:dyDescent="0.25"/>
    <row r="443" ht="11.25" customHeight="1" x14ac:dyDescent="0.25"/>
    <row r="444" ht="11.25" customHeight="1" x14ac:dyDescent="0.25"/>
    <row r="445" ht="11.25" customHeight="1" x14ac:dyDescent="0.25"/>
    <row r="446" ht="11.25" customHeight="1" x14ac:dyDescent="0.25"/>
    <row r="447" ht="11.25" customHeight="1" x14ac:dyDescent="0.25"/>
    <row r="448" ht="11.25" customHeight="1" x14ac:dyDescent="0.25"/>
    <row r="449" ht="11.25" customHeight="1" x14ac:dyDescent="0.25"/>
    <row r="450" ht="11.25" customHeight="1" x14ac:dyDescent="0.25"/>
    <row r="451" ht="11.25" customHeight="1" x14ac:dyDescent="0.25"/>
    <row r="452" ht="11.25" customHeight="1" x14ac:dyDescent="0.25"/>
    <row r="453" ht="11.25" customHeight="1" x14ac:dyDescent="0.25"/>
    <row r="454" ht="11.25" customHeight="1" x14ac:dyDescent="0.25"/>
    <row r="455" ht="11.25" customHeight="1" x14ac:dyDescent="0.25"/>
    <row r="456" ht="11.25" customHeight="1" x14ac:dyDescent="0.25"/>
    <row r="457" ht="11.25" customHeight="1" x14ac:dyDescent="0.25"/>
    <row r="458" ht="11.25" customHeight="1" x14ac:dyDescent="0.25"/>
    <row r="459" ht="11.25" customHeight="1" x14ac:dyDescent="0.25"/>
    <row r="460" ht="11.25" customHeight="1" x14ac:dyDescent="0.25"/>
    <row r="461" ht="11.25" customHeight="1" x14ac:dyDescent="0.25"/>
    <row r="462" ht="11.25" customHeight="1" x14ac:dyDescent="0.25"/>
    <row r="463" ht="11.25" customHeight="1" x14ac:dyDescent="0.25"/>
    <row r="464" ht="11.25" customHeight="1" x14ac:dyDescent="0.25"/>
    <row r="465" ht="11.25" customHeight="1" x14ac:dyDescent="0.25"/>
    <row r="466" ht="11.25" customHeight="1" x14ac:dyDescent="0.25"/>
    <row r="467" ht="11.25" customHeight="1" x14ac:dyDescent="0.25"/>
    <row r="468" ht="11.25" customHeight="1" x14ac:dyDescent="0.25"/>
    <row r="469" ht="11.25" customHeight="1" x14ac:dyDescent="0.25"/>
    <row r="470" ht="11.25" customHeight="1" x14ac:dyDescent="0.25"/>
    <row r="471" ht="11.25" customHeight="1" x14ac:dyDescent="0.25"/>
    <row r="472" ht="11.25" customHeight="1" x14ac:dyDescent="0.25"/>
    <row r="473" ht="11.25" customHeight="1" x14ac:dyDescent="0.25"/>
    <row r="474" ht="11.25" customHeight="1" x14ac:dyDescent="0.25"/>
    <row r="475" ht="11.25" customHeight="1" x14ac:dyDescent="0.25"/>
    <row r="476" ht="11.25" customHeight="1" x14ac:dyDescent="0.25"/>
    <row r="477" ht="11.25" customHeight="1" x14ac:dyDescent="0.25"/>
    <row r="478" ht="11.25" customHeight="1" x14ac:dyDescent="0.25"/>
    <row r="479" ht="11.25" customHeight="1" x14ac:dyDescent="0.25"/>
    <row r="480" ht="11.25" customHeight="1" x14ac:dyDescent="0.25"/>
    <row r="481" ht="11.25" customHeight="1" x14ac:dyDescent="0.25"/>
    <row r="482" ht="11.25" customHeight="1" x14ac:dyDescent="0.25"/>
    <row r="483" ht="11.25" customHeight="1" x14ac:dyDescent="0.25"/>
    <row r="484" ht="11.25" customHeight="1" x14ac:dyDescent="0.25"/>
    <row r="485" ht="11.25" customHeight="1" x14ac:dyDescent="0.25"/>
    <row r="486" ht="11.25" customHeight="1" x14ac:dyDescent="0.25"/>
    <row r="487" ht="11.25" customHeight="1" x14ac:dyDescent="0.25"/>
    <row r="488" ht="11.25" customHeight="1" x14ac:dyDescent="0.25"/>
    <row r="489" ht="11.25" customHeight="1" x14ac:dyDescent="0.25"/>
    <row r="490" ht="11.25" customHeight="1" x14ac:dyDescent="0.25"/>
    <row r="491" ht="11.25" customHeight="1" x14ac:dyDescent="0.25"/>
    <row r="492" ht="11.25" customHeight="1" x14ac:dyDescent="0.25"/>
    <row r="493" ht="11.25" customHeight="1" x14ac:dyDescent="0.25"/>
    <row r="494" ht="11.25" customHeight="1" x14ac:dyDescent="0.25"/>
    <row r="495" ht="11.25" customHeight="1" x14ac:dyDescent="0.25"/>
    <row r="496" ht="11.25" customHeight="1" x14ac:dyDescent="0.25"/>
    <row r="497" ht="11.25" customHeight="1" x14ac:dyDescent="0.25"/>
    <row r="498" ht="11.25" customHeight="1" x14ac:dyDescent="0.25"/>
    <row r="499" ht="11.25" customHeight="1" x14ac:dyDescent="0.25"/>
    <row r="500" ht="11.25" customHeight="1" x14ac:dyDescent="0.25"/>
  </sheetData>
  <mergeCells count="21">
    <mergeCell ref="A10:AH10"/>
    <mergeCell ref="A11:AH11"/>
    <mergeCell ref="A13:AH13"/>
    <mergeCell ref="A14:AH14"/>
    <mergeCell ref="J9:S9"/>
    <mergeCell ref="A9:I9"/>
    <mergeCell ref="Z9:AA9"/>
    <mergeCell ref="AB9:AC9"/>
    <mergeCell ref="AD9:AE9"/>
    <mergeCell ref="AF9:AH9"/>
    <mergeCell ref="A5:AH5"/>
    <mergeCell ref="A4:AH4"/>
    <mergeCell ref="B1:I2"/>
    <mergeCell ref="AF7:AH8"/>
    <mergeCell ref="AB7:AC8"/>
    <mergeCell ref="Z7:AA8"/>
    <mergeCell ref="A7:I8"/>
    <mergeCell ref="J7:S8"/>
    <mergeCell ref="AD7:AE8"/>
    <mergeCell ref="T7:V7"/>
    <mergeCell ref="W7:Y7"/>
  </mergeCells>
  <pageMargins left="0.7" right="0.7" top="0" bottom="0" header="0" footer="0"/>
  <pageSetup scale="66" fitToHeight="0"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1">
    <pageSetUpPr fitToPage="1"/>
  </sheetPr>
  <dimension ref="A1:AI62"/>
  <sheetViews>
    <sheetView showGridLines="0" zoomScaleNormal="100" workbookViewId="0"/>
  </sheetViews>
  <sheetFormatPr defaultRowHeight="15" x14ac:dyDescent="0.25"/>
  <cols>
    <col min="1" max="35" width="5" style="41" customWidth="1"/>
    <col min="36" max="16384" width="9.140625" style="41"/>
  </cols>
  <sheetData>
    <row r="1" spans="1:35" x14ac:dyDescent="0.25">
      <c r="B1" s="386"/>
      <c r="C1" s="386"/>
      <c r="D1" s="386"/>
      <c r="E1" s="386"/>
      <c r="F1" s="386"/>
      <c r="G1" s="386"/>
      <c r="H1" s="386"/>
      <c r="I1" s="386"/>
      <c r="J1" s="386"/>
    </row>
    <row r="2" spans="1:35" x14ac:dyDescent="0.25">
      <c r="B2" s="386"/>
      <c r="C2" s="386"/>
      <c r="D2" s="386"/>
      <c r="E2" s="386"/>
      <c r="F2" s="386"/>
      <c r="G2" s="386"/>
      <c r="H2" s="386"/>
      <c r="I2" s="386"/>
      <c r="J2" s="386"/>
    </row>
    <row r="3" spans="1:35" ht="6.75" customHeight="1" x14ac:dyDescent="0.25">
      <c r="B3" s="98"/>
      <c r="C3" s="98"/>
      <c r="D3" s="98"/>
      <c r="E3" s="98"/>
      <c r="F3" s="98"/>
      <c r="G3" s="98"/>
      <c r="H3" s="98"/>
      <c r="I3" s="98"/>
      <c r="J3" s="98"/>
    </row>
    <row r="4" spans="1:35" ht="12.75" customHeight="1" x14ac:dyDescent="0.25">
      <c r="A4" s="656" t="s">
        <v>159</v>
      </c>
      <c r="B4" s="656"/>
      <c r="C4" s="656"/>
      <c r="D4" s="656"/>
      <c r="E4" s="656"/>
      <c r="F4" s="656"/>
      <c r="G4" s="656"/>
      <c r="H4" s="656"/>
      <c r="I4" s="656"/>
      <c r="J4" s="656"/>
      <c r="K4" s="656"/>
      <c r="L4" s="656"/>
      <c r="M4" s="656"/>
      <c r="N4" s="656"/>
      <c r="O4" s="656"/>
      <c r="P4" s="656"/>
      <c r="Q4" s="656"/>
      <c r="R4" s="656"/>
      <c r="S4" s="656"/>
      <c r="T4" s="656"/>
      <c r="U4" s="656"/>
      <c r="V4" s="656"/>
      <c r="W4" s="656"/>
      <c r="X4" s="656"/>
      <c r="Y4" s="656"/>
      <c r="Z4" s="656"/>
      <c r="AA4" s="656"/>
      <c r="AB4" s="656"/>
      <c r="AC4" s="656"/>
      <c r="AD4" s="656"/>
      <c r="AE4" s="656"/>
      <c r="AF4" s="656"/>
      <c r="AG4" s="656"/>
      <c r="AH4" s="656"/>
      <c r="AI4" s="656"/>
    </row>
    <row r="5" spans="1:35" ht="15" customHeight="1" x14ac:dyDescent="0.25">
      <c r="A5" s="648" t="s">
        <v>125</v>
      </c>
      <c r="B5" s="648"/>
      <c r="C5" s="648"/>
      <c r="D5" s="648"/>
      <c r="E5" s="650" t="s">
        <v>19</v>
      </c>
      <c r="F5" s="650"/>
      <c r="G5" s="650"/>
      <c r="H5" s="650"/>
      <c r="I5" s="650"/>
      <c r="J5" s="650"/>
      <c r="L5" s="649" t="s">
        <v>148</v>
      </c>
      <c r="M5" s="649"/>
      <c r="N5" s="649"/>
      <c r="O5" s="649"/>
      <c r="P5" s="649"/>
      <c r="Q5" s="649"/>
      <c r="R5" s="649"/>
      <c r="S5" s="649"/>
      <c r="T5" s="649"/>
      <c r="U5" s="649"/>
      <c r="V5" s="649"/>
      <c r="W5" s="649"/>
      <c r="X5" s="649"/>
      <c r="Y5" s="649"/>
      <c r="Z5" s="649"/>
      <c r="AA5" s="649"/>
      <c r="AB5" s="649"/>
      <c r="AC5" s="649"/>
      <c r="AD5" s="649"/>
      <c r="AE5" s="649"/>
      <c r="AF5" s="649"/>
      <c r="AG5" s="649"/>
      <c r="AH5" s="649"/>
      <c r="AI5" s="649"/>
    </row>
    <row r="6" spans="1:35" ht="15" customHeight="1" x14ac:dyDescent="0.25">
      <c r="A6" s="648"/>
      <c r="B6" s="648"/>
      <c r="C6" s="648"/>
      <c r="D6" s="648"/>
      <c r="E6" s="650"/>
      <c r="F6" s="650"/>
      <c r="G6" s="650"/>
      <c r="H6" s="650"/>
      <c r="I6" s="650"/>
      <c r="J6" s="650"/>
      <c r="K6" s="92"/>
      <c r="L6" s="649"/>
      <c r="M6" s="649"/>
      <c r="N6" s="649"/>
      <c r="O6" s="649"/>
      <c r="P6" s="649"/>
      <c r="Q6" s="649"/>
      <c r="R6" s="649"/>
      <c r="S6" s="649"/>
      <c r="T6" s="649"/>
      <c r="U6" s="649"/>
      <c r="V6" s="649"/>
      <c r="W6" s="649"/>
      <c r="X6" s="649"/>
      <c r="Y6" s="649"/>
      <c r="Z6" s="649"/>
      <c r="AA6" s="649"/>
      <c r="AB6" s="649"/>
      <c r="AC6" s="649"/>
      <c r="AD6" s="649"/>
      <c r="AE6" s="649"/>
      <c r="AF6" s="649"/>
      <c r="AG6" s="649"/>
      <c r="AH6" s="649"/>
      <c r="AI6" s="649"/>
    </row>
    <row r="7" spans="1:35" ht="15" customHeight="1" x14ac:dyDescent="0.25">
      <c r="A7" s="648" t="s">
        <v>0</v>
      </c>
      <c r="B7" s="648"/>
      <c r="C7" s="648"/>
      <c r="D7" s="648"/>
      <c r="E7" s="653" t="s">
        <v>21</v>
      </c>
      <c r="F7" s="653"/>
      <c r="G7" s="653"/>
      <c r="H7" s="653"/>
      <c r="I7" s="653"/>
      <c r="J7" s="653"/>
      <c r="L7" s="649" t="s">
        <v>153</v>
      </c>
      <c r="M7" s="649"/>
      <c r="N7" s="649"/>
      <c r="O7" s="649"/>
      <c r="P7" s="649"/>
      <c r="Q7" s="649"/>
      <c r="R7" s="649"/>
      <c r="S7" s="649"/>
      <c r="T7" s="649"/>
      <c r="U7" s="649"/>
      <c r="V7" s="649"/>
      <c r="W7" s="649"/>
      <c r="X7" s="649"/>
      <c r="Y7" s="649"/>
      <c r="Z7" s="649"/>
      <c r="AA7" s="649"/>
      <c r="AB7" s="649"/>
      <c r="AC7" s="649"/>
      <c r="AD7" s="649"/>
      <c r="AE7" s="649"/>
      <c r="AF7" s="649"/>
      <c r="AG7" s="649"/>
      <c r="AH7" s="649"/>
      <c r="AI7" s="649"/>
    </row>
    <row r="8" spans="1:35" ht="15" customHeight="1" x14ac:dyDescent="0.25">
      <c r="A8" s="648"/>
      <c r="B8" s="648"/>
      <c r="C8" s="648"/>
      <c r="D8" s="648"/>
      <c r="E8" s="653"/>
      <c r="F8" s="653"/>
      <c r="G8" s="653"/>
      <c r="H8" s="653"/>
      <c r="I8" s="653"/>
      <c r="J8" s="653"/>
      <c r="L8" s="649"/>
      <c r="M8" s="649"/>
      <c r="N8" s="649"/>
      <c r="O8" s="649"/>
      <c r="P8" s="649"/>
      <c r="Q8" s="649"/>
      <c r="R8" s="649"/>
      <c r="S8" s="649"/>
      <c r="T8" s="649"/>
      <c r="U8" s="649"/>
      <c r="V8" s="649"/>
      <c r="W8" s="649"/>
      <c r="X8" s="649"/>
      <c r="Y8" s="649"/>
      <c r="Z8" s="649"/>
      <c r="AA8" s="649"/>
      <c r="AB8" s="649"/>
      <c r="AC8" s="649"/>
      <c r="AD8" s="649"/>
      <c r="AE8" s="649"/>
      <c r="AF8" s="649"/>
      <c r="AG8" s="649"/>
      <c r="AH8" s="649"/>
      <c r="AI8" s="649"/>
    </row>
    <row r="9" spans="1:35" ht="15" customHeight="1" x14ac:dyDescent="0.25">
      <c r="A9" s="648" t="s">
        <v>1</v>
      </c>
      <c r="B9" s="648"/>
      <c r="C9" s="648"/>
      <c r="D9" s="648"/>
      <c r="E9" s="653" t="s">
        <v>22</v>
      </c>
      <c r="F9" s="653"/>
      <c r="G9" s="653"/>
      <c r="H9" s="653"/>
      <c r="I9" s="653"/>
      <c r="J9" s="653"/>
      <c r="L9" s="649" t="s">
        <v>152</v>
      </c>
      <c r="M9" s="649"/>
      <c r="N9" s="649"/>
      <c r="O9" s="649"/>
      <c r="P9" s="649"/>
      <c r="Q9" s="649"/>
      <c r="R9" s="649"/>
      <c r="S9" s="649"/>
      <c r="T9" s="649"/>
      <c r="U9" s="649"/>
      <c r="V9" s="649"/>
      <c r="W9" s="649"/>
      <c r="X9" s="649"/>
      <c r="Y9" s="649"/>
      <c r="Z9" s="649"/>
      <c r="AA9" s="649"/>
      <c r="AB9" s="649"/>
      <c r="AC9" s="649"/>
      <c r="AD9" s="649"/>
      <c r="AE9" s="649"/>
      <c r="AF9" s="649"/>
      <c r="AG9" s="649"/>
      <c r="AH9" s="649"/>
      <c r="AI9" s="649"/>
    </row>
    <row r="10" spans="1:35" ht="15" customHeight="1" x14ac:dyDescent="0.25">
      <c r="A10" s="652"/>
      <c r="B10" s="652"/>
      <c r="C10" s="652"/>
      <c r="D10" s="652"/>
      <c r="E10" s="654"/>
      <c r="F10" s="654"/>
      <c r="G10" s="654"/>
      <c r="H10" s="654"/>
      <c r="I10" s="654"/>
      <c r="J10" s="654"/>
      <c r="K10" s="101"/>
      <c r="L10" s="655"/>
      <c r="M10" s="655"/>
      <c r="N10" s="655"/>
      <c r="O10" s="655"/>
      <c r="P10" s="655"/>
      <c r="Q10" s="655"/>
      <c r="R10" s="655"/>
      <c r="S10" s="655"/>
      <c r="T10" s="655"/>
      <c r="U10" s="655"/>
      <c r="V10" s="655"/>
      <c r="W10" s="655"/>
      <c r="X10" s="655"/>
      <c r="Y10" s="655"/>
      <c r="Z10" s="655"/>
      <c r="AA10" s="655"/>
      <c r="AB10" s="655"/>
      <c r="AC10" s="655"/>
      <c r="AD10" s="655"/>
      <c r="AE10" s="655"/>
      <c r="AF10" s="655"/>
      <c r="AG10" s="655"/>
      <c r="AH10" s="655"/>
      <c r="AI10" s="655"/>
    </row>
    <row r="11" spans="1:35" ht="12.75" customHeight="1" x14ac:dyDescent="0.25">
      <c r="A11" s="657" t="s">
        <v>160</v>
      </c>
      <c r="B11" s="657"/>
      <c r="C11" s="657"/>
      <c r="D11" s="657"/>
      <c r="E11" s="657"/>
      <c r="F11" s="657"/>
      <c r="G11" s="657"/>
      <c r="H11" s="657"/>
      <c r="I11" s="657"/>
      <c r="J11" s="657"/>
      <c r="K11" s="657"/>
      <c r="L11" s="657"/>
      <c r="M11" s="657"/>
      <c r="N11" s="657"/>
      <c r="O11" s="657"/>
      <c r="P11" s="657"/>
      <c r="Q11" s="657"/>
      <c r="R11" s="657"/>
      <c r="S11" s="657"/>
      <c r="T11" s="657"/>
      <c r="U11" s="657"/>
      <c r="V11" s="657"/>
      <c r="W11" s="657"/>
      <c r="X11" s="657"/>
      <c r="Y11" s="657"/>
      <c r="Z11" s="657"/>
      <c r="AA11" s="657"/>
      <c r="AB11" s="657"/>
      <c r="AC11" s="657"/>
      <c r="AD11" s="657"/>
      <c r="AE11" s="657"/>
      <c r="AF11" s="657"/>
      <c r="AG11" s="657"/>
      <c r="AH11" s="657"/>
      <c r="AI11" s="657"/>
    </row>
    <row r="12" spans="1:35" ht="15" customHeight="1" x14ac:dyDescent="0.25">
      <c r="A12" s="648" t="s">
        <v>18</v>
      </c>
      <c r="B12" s="648"/>
      <c r="C12" s="648"/>
      <c r="D12" s="648"/>
      <c r="E12" s="650" t="s">
        <v>190</v>
      </c>
      <c r="F12" s="650"/>
      <c r="G12" s="650"/>
      <c r="H12" s="650"/>
      <c r="I12" s="650"/>
      <c r="J12" s="650"/>
      <c r="L12" s="649" t="s">
        <v>243</v>
      </c>
      <c r="M12" s="649"/>
      <c r="N12" s="649"/>
      <c r="O12" s="649"/>
      <c r="P12" s="649"/>
      <c r="Q12" s="649"/>
      <c r="R12" s="649"/>
      <c r="S12" s="649"/>
      <c r="T12" s="649"/>
      <c r="U12" s="649"/>
      <c r="V12" s="649"/>
      <c r="W12" s="649"/>
      <c r="X12" s="649"/>
      <c r="Y12" s="649"/>
      <c r="Z12" s="649"/>
      <c r="AA12" s="649"/>
      <c r="AB12" s="649"/>
      <c r="AC12" s="649"/>
      <c r="AD12" s="649"/>
      <c r="AE12" s="649"/>
      <c r="AF12" s="649"/>
      <c r="AG12" s="649"/>
      <c r="AH12" s="649"/>
      <c r="AI12" s="649"/>
    </row>
    <row r="13" spans="1:35" ht="15" customHeight="1" x14ac:dyDescent="0.25">
      <c r="A13" s="648"/>
      <c r="B13" s="648"/>
      <c r="C13" s="648"/>
      <c r="D13" s="648"/>
      <c r="E13" s="650"/>
      <c r="F13" s="650"/>
      <c r="G13" s="650"/>
      <c r="H13" s="650"/>
      <c r="I13" s="650"/>
      <c r="J13" s="650"/>
      <c r="L13" s="649"/>
      <c r="M13" s="649"/>
      <c r="N13" s="649"/>
      <c r="O13" s="649"/>
      <c r="P13" s="649"/>
      <c r="Q13" s="649"/>
      <c r="R13" s="649"/>
      <c r="S13" s="649"/>
      <c r="T13" s="649"/>
      <c r="U13" s="649"/>
      <c r="V13" s="649"/>
      <c r="W13" s="649"/>
      <c r="X13" s="649"/>
      <c r="Y13" s="649"/>
      <c r="Z13" s="649"/>
      <c r="AA13" s="649"/>
      <c r="AB13" s="649"/>
      <c r="AC13" s="649"/>
      <c r="AD13" s="649"/>
      <c r="AE13" s="649"/>
      <c r="AF13" s="649"/>
      <c r="AG13" s="649"/>
      <c r="AH13" s="649"/>
      <c r="AI13" s="649"/>
    </row>
    <row r="14" spans="1:35" ht="15" customHeight="1" x14ac:dyDescent="0.25">
      <c r="A14" s="648" t="s">
        <v>2</v>
      </c>
      <c r="B14" s="648"/>
      <c r="C14" s="648"/>
      <c r="D14" s="648"/>
      <c r="E14" s="653" t="s">
        <v>23</v>
      </c>
      <c r="F14" s="653"/>
      <c r="G14" s="653"/>
      <c r="H14" s="653"/>
      <c r="I14" s="653"/>
      <c r="J14" s="653"/>
      <c r="L14" s="649" t="s">
        <v>154</v>
      </c>
      <c r="M14" s="649"/>
      <c r="N14" s="649"/>
      <c r="O14" s="649"/>
      <c r="P14" s="649"/>
      <c r="Q14" s="649"/>
      <c r="R14" s="649"/>
      <c r="S14" s="649"/>
      <c r="T14" s="649"/>
      <c r="U14" s="649"/>
      <c r="V14" s="649"/>
      <c r="W14" s="649"/>
      <c r="X14" s="649"/>
      <c r="Y14" s="649"/>
      <c r="Z14" s="649"/>
      <c r="AA14" s="649"/>
      <c r="AB14" s="649"/>
      <c r="AC14" s="649"/>
      <c r="AD14" s="649"/>
      <c r="AE14" s="649"/>
      <c r="AF14" s="649"/>
      <c r="AG14" s="649"/>
      <c r="AH14" s="649"/>
      <c r="AI14" s="649"/>
    </row>
    <row r="15" spans="1:35" ht="15" customHeight="1" x14ac:dyDescent="0.25">
      <c r="A15" s="652"/>
      <c r="B15" s="652"/>
      <c r="C15" s="652"/>
      <c r="D15" s="652"/>
      <c r="E15" s="654"/>
      <c r="F15" s="654"/>
      <c r="G15" s="654"/>
      <c r="H15" s="654"/>
      <c r="I15" s="654"/>
      <c r="J15" s="654"/>
      <c r="K15" s="101"/>
      <c r="L15" s="655"/>
      <c r="M15" s="655"/>
      <c r="N15" s="655"/>
      <c r="O15" s="655"/>
      <c r="P15" s="655"/>
      <c r="Q15" s="655"/>
      <c r="R15" s="655"/>
      <c r="S15" s="655"/>
      <c r="T15" s="655"/>
      <c r="U15" s="655"/>
      <c r="V15" s="655"/>
      <c r="W15" s="655"/>
      <c r="X15" s="655"/>
      <c r="Y15" s="655"/>
      <c r="Z15" s="655"/>
      <c r="AA15" s="655"/>
      <c r="AB15" s="655"/>
      <c r="AC15" s="655"/>
      <c r="AD15" s="655"/>
      <c r="AE15" s="655"/>
      <c r="AF15" s="655"/>
      <c r="AG15" s="655"/>
      <c r="AH15" s="655"/>
      <c r="AI15" s="655"/>
    </row>
    <row r="16" spans="1:35" ht="12.75" customHeight="1" x14ac:dyDescent="0.25">
      <c r="A16" s="658" t="s">
        <v>161</v>
      </c>
      <c r="B16" s="658"/>
      <c r="C16" s="658"/>
      <c r="D16" s="658"/>
      <c r="E16" s="658"/>
      <c r="F16" s="658"/>
      <c r="G16" s="658"/>
      <c r="H16" s="658"/>
      <c r="I16" s="658"/>
      <c r="J16" s="658"/>
      <c r="K16" s="658"/>
      <c r="L16" s="658"/>
      <c r="M16" s="658"/>
      <c r="N16" s="658"/>
      <c r="O16" s="658"/>
      <c r="P16" s="658"/>
      <c r="Q16" s="658"/>
      <c r="R16" s="658"/>
      <c r="S16" s="658"/>
      <c r="T16" s="658"/>
      <c r="U16" s="658"/>
      <c r="V16" s="658"/>
      <c r="W16" s="658"/>
      <c r="X16" s="658"/>
      <c r="Y16" s="658"/>
      <c r="Z16" s="658"/>
      <c r="AA16" s="658"/>
      <c r="AB16" s="658"/>
      <c r="AC16" s="658"/>
      <c r="AD16" s="658"/>
      <c r="AE16" s="658"/>
      <c r="AF16" s="658"/>
      <c r="AG16" s="658"/>
      <c r="AH16" s="658"/>
      <c r="AI16" s="658"/>
    </row>
    <row r="17" spans="1:35" ht="15" customHeight="1" x14ac:dyDescent="0.25">
      <c r="A17" s="648" t="s">
        <v>53</v>
      </c>
      <c r="B17" s="648"/>
      <c r="C17" s="648"/>
      <c r="D17" s="648"/>
      <c r="E17" s="650" t="s">
        <v>106</v>
      </c>
      <c r="F17" s="650"/>
      <c r="G17" s="650"/>
      <c r="H17" s="650"/>
      <c r="I17" s="650"/>
      <c r="J17" s="650"/>
      <c r="K17" s="92"/>
      <c r="L17" s="649" t="s">
        <v>140</v>
      </c>
      <c r="M17" s="649"/>
      <c r="N17" s="649"/>
      <c r="O17" s="649"/>
      <c r="P17" s="649"/>
      <c r="Q17" s="649"/>
      <c r="R17" s="649"/>
      <c r="S17" s="649"/>
      <c r="T17" s="649"/>
      <c r="U17" s="649"/>
      <c r="V17" s="649"/>
      <c r="W17" s="649"/>
      <c r="X17" s="649"/>
      <c r="Y17" s="649"/>
      <c r="Z17" s="649"/>
      <c r="AA17" s="649"/>
      <c r="AB17" s="649"/>
      <c r="AC17" s="649"/>
      <c r="AD17" s="649"/>
      <c r="AE17" s="649"/>
      <c r="AF17" s="649"/>
      <c r="AG17" s="649"/>
      <c r="AH17" s="649"/>
      <c r="AI17" s="649"/>
    </row>
    <row r="18" spans="1:35" ht="15" customHeight="1" x14ac:dyDescent="0.25">
      <c r="A18" s="648"/>
      <c r="B18" s="648"/>
      <c r="C18" s="648"/>
      <c r="D18" s="648"/>
      <c r="E18" s="650"/>
      <c r="F18" s="650"/>
      <c r="G18" s="650"/>
      <c r="H18" s="650"/>
      <c r="I18" s="650"/>
      <c r="J18" s="650"/>
      <c r="K18" s="92"/>
      <c r="L18" s="649"/>
      <c r="M18" s="649"/>
      <c r="N18" s="649"/>
      <c r="O18" s="649"/>
      <c r="P18" s="649"/>
      <c r="Q18" s="649"/>
      <c r="R18" s="649"/>
      <c r="S18" s="649"/>
      <c r="T18" s="649"/>
      <c r="U18" s="649"/>
      <c r="V18" s="649"/>
      <c r="W18" s="649"/>
      <c r="X18" s="649"/>
      <c r="Y18" s="649"/>
      <c r="Z18" s="649"/>
      <c r="AA18" s="649"/>
      <c r="AB18" s="649"/>
      <c r="AC18" s="649"/>
      <c r="AD18" s="649"/>
      <c r="AE18" s="649"/>
      <c r="AF18" s="649"/>
      <c r="AG18" s="649"/>
      <c r="AH18" s="649"/>
      <c r="AI18" s="649"/>
    </row>
    <row r="19" spans="1:35" ht="15" customHeight="1" x14ac:dyDescent="0.25">
      <c r="A19" s="648" t="s">
        <v>280</v>
      </c>
      <c r="B19" s="648"/>
      <c r="C19" s="648"/>
      <c r="D19" s="648"/>
      <c r="E19" s="650" t="s">
        <v>107</v>
      </c>
      <c r="F19" s="650"/>
      <c r="G19" s="650"/>
      <c r="H19" s="650"/>
      <c r="I19" s="650"/>
      <c r="J19" s="650"/>
      <c r="K19" s="92"/>
      <c r="L19" s="649" t="s">
        <v>141</v>
      </c>
      <c r="M19" s="649"/>
      <c r="N19" s="649"/>
      <c r="O19" s="649"/>
      <c r="P19" s="649"/>
      <c r="Q19" s="649"/>
      <c r="R19" s="649"/>
      <c r="S19" s="649"/>
      <c r="T19" s="649"/>
      <c r="U19" s="649"/>
      <c r="V19" s="649"/>
      <c r="W19" s="649"/>
      <c r="X19" s="649"/>
      <c r="Y19" s="649"/>
      <c r="Z19" s="649"/>
      <c r="AA19" s="649"/>
      <c r="AB19" s="649"/>
      <c r="AC19" s="649"/>
      <c r="AD19" s="649"/>
      <c r="AE19" s="649"/>
      <c r="AF19" s="649"/>
      <c r="AG19" s="649"/>
      <c r="AH19" s="649"/>
      <c r="AI19" s="649"/>
    </row>
    <row r="20" spans="1:35" ht="15" customHeight="1" x14ac:dyDescent="0.25">
      <c r="A20" s="648"/>
      <c r="B20" s="648"/>
      <c r="C20" s="648"/>
      <c r="D20" s="648"/>
      <c r="E20" s="650"/>
      <c r="F20" s="650"/>
      <c r="G20" s="650"/>
      <c r="H20" s="650"/>
      <c r="I20" s="650"/>
      <c r="J20" s="650"/>
      <c r="K20" s="92"/>
      <c r="L20" s="649"/>
      <c r="M20" s="649"/>
      <c r="N20" s="649"/>
      <c r="O20" s="649"/>
      <c r="P20" s="649"/>
      <c r="Q20" s="649"/>
      <c r="R20" s="649"/>
      <c r="S20" s="649"/>
      <c r="T20" s="649"/>
      <c r="U20" s="649"/>
      <c r="V20" s="649"/>
      <c r="W20" s="649"/>
      <c r="X20" s="649"/>
      <c r="Y20" s="649"/>
      <c r="Z20" s="649"/>
      <c r="AA20" s="649"/>
      <c r="AB20" s="649"/>
      <c r="AC20" s="649"/>
      <c r="AD20" s="649"/>
      <c r="AE20" s="649"/>
      <c r="AF20" s="649"/>
      <c r="AG20" s="649"/>
      <c r="AH20" s="649"/>
      <c r="AI20" s="649"/>
    </row>
    <row r="21" spans="1:35" ht="15" customHeight="1" x14ac:dyDescent="0.25">
      <c r="A21" s="648" t="s">
        <v>281</v>
      </c>
      <c r="B21" s="648"/>
      <c r="C21" s="648"/>
      <c r="D21" s="648"/>
      <c r="E21" s="650" t="s">
        <v>108</v>
      </c>
      <c r="F21" s="650"/>
      <c r="G21" s="650"/>
      <c r="H21" s="650"/>
      <c r="I21" s="650"/>
      <c r="J21" s="650"/>
      <c r="K21" s="92"/>
      <c r="L21" s="649" t="s">
        <v>142</v>
      </c>
      <c r="M21" s="649"/>
      <c r="N21" s="649"/>
      <c r="O21" s="649"/>
      <c r="P21" s="649"/>
      <c r="Q21" s="649"/>
      <c r="R21" s="649"/>
      <c r="S21" s="649"/>
      <c r="T21" s="649"/>
      <c r="U21" s="649"/>
      <c r="V21" s="649"/>
      <c r="W21" s="649"/>
      <c r="X21" s="649"/>
      <c r="Y21" s="649"/>
      <c r="Z21" s="649"/>
      <c r="AA21" s="649"/>
      <c r="AB21" s="649"/>
      <c r="AC21" s="649"/>
      <c r="AD21" s="649"/>
      <c r="AE21" s="649"/>
      <c r="AF21" s="649"/>
      <c r="AG21" s="649"/>
      <c r="AH21" s="649"/>
      <c r="AI21" s="649"/>
    </row>
    <row r="22" spans="1:35" ht="15" customHeight="1" x14ac:dyDescent="0.25">
      <c r="A22" s="652"/>
      <c r="B22" s="652"/>
      <c r="C22" s="652"/>
      <c r="D22" s="652"/>
      <c r="E22" s="660"/>
      <c r="F22" s="660"/>
      <c r="G22" s="660"/>
      <c r="H22" s="660"/>
      <c r="I22" s="660"/>
      <c r="J22" s="660"/>
      <c r="K22" s="161"/>
      <c r="L22" s="655"/>
      <c r="M22" s="655"/>
      <c r="N22" s="655"/>
      <c r="O22" s="655"/>
      <c r="P22" s="655"/>
      <c r="Q22" s="655"/>
      <c r="R22" s="655"/>
      <c r="S22" s="655"/>
      <c r="T22" s="655"/>
      <c r="U22" s="655"/>
      <c r="V22" s="655"/>
      <c r="W22" s="655"/>
      <c r="X22" s="655"/>
      <c r="Y22" s="655"/>
      <c r="Z22" s="655"/>
      <c r="AA22" s="655"/>
      <c r="AB22" s="655"/>
      <c r="AC22" s="655"/>
      <c r="AD22" s="655"/>
      <c r="AE22" s="655"/>
      <c r="AF22" s="655"/>
      <c r="AG22" s="655"/>
      <c r="AH22" s="655"/>
      <c r="AI22" s="655"/>
    </row>
    <row r="23" spans="1:35" ht="12.75" customHeight="1" x14ac:dyDescent="0.25">
      <c r="A23" s="659" t="s">
        <v>162</v>
      </c>
      <c r="B23" s="659"/>
      <c r="C23" s="659"/>
      <c r="D23" s="659"/>
      <c r="E23" s="659"/>
      <c r="F23" s="659"/>
      <c r="G23" s="659"/>
      <c r="H23" s="659"/>
      <c r="I23" s="659"/>
      <c r="J23" s="659"/>
      <c r="K23" s="659"/>
      <c r="L23" s="659"/>
      <c r="M23" s="659"/>
      <c r="N23" s="659"/>
      <c r="O23" s="659"/>
      <c r="P23" s="659"/>
      <c r="Q23" s="659"/>
      <c r="R23" s="659"/>
      <c r="S23" s="659"/>
      <c r="T23" s="659"/>
      <c r="U23" s="659"/>
      <c r="V23" s="659"/>
      <c r="W23" s="659"/>
      <c r="X23" s="659"/>
      <c r="Y23" s="659"/>
      <c r="Z23" s="659"/>
      <c r="AA23" s="659"/>
      <c r="AB23" s="659"/>
      <c r="AC23" s="659"/>
      <c r="AD23" s="659"/>
      <c r="AE23" s="659"/>
      <c r="AF23" s="659"/>
      <c r="AG23" s="659"/>
      <c r="AH23" s="659"/>
      <c r="AI23" s="659"/>
    </row>
    <row r="24" spans="1:35" ht="15" customHeight="1" x14ac:dyDescent="0.25">
      <c r="A24" s="648" t="s">
        <v>30</v>
      </c>
      <c r="B24" s="648"/>
      <c r="C24" s="648"/>
      <c r="D24" s="648"/>
      <c r="E24" s="650" t="s">
        <v>279</v>
      </c>
      <c r="F24" s="650"/>
      <c r="G24" s="650"/>
      <c r="H24" s="650"/>
      <c r="I24" s="650"/>
      <c r="J24" s="650"/>
      <c r="K24" s="92"/>
      <c r="L24" s="649" t="s">
        <v>151</v>
      </c>
      <c r="M24" s="649"/>
      <c r="N24" s="649"/>
      <c r="O24" s="649"/>
      <c r="P24" s="649"/>
      <c r="Q24" s="649"/>
      <c r="R24" s="649"/>
      <c r="S24" s="649"/>
      <c r="T24" s="649"/>
      <c r="U24" s="649"/>
      <c r="V24" s="649"/>
      <c r="W24" s="649"/>
      <c r="X24" s="649"/>
      <c r="Y24" s="649"/>
      <c r="Z24" s="649"/>
      <c r="AA24" s="649"/>
      <c r="AB24" s="649"/>
      <c r="AC24" s="649"/>
      <c r="AD24" s="649"/>
      <c r="AE24" s="649"/>
      <c r="AF24" s="649"/>
      <c r="AG24" s="649"/>
      <c r="AH24" s="649"/>
      <c r="AI24" s="649"/>
    </row>
    <row r="25" spans="1:35" ht="15" customHeight="1" x14ac:dyDescent="0.25">
      <c r="A25" s="648"/>
      <c r="B25" s="648"/>
      <c r="C25" s="648"/>
      <c r="D25" s="648"/>
      <c r="E25" s="650"/>
      <c r="F25" s="650"/>
      <c r="G25" s="650"/>
      <c r="H25" s="650"/>
      <c r="I25" s="650"/>
      <c r="J25" s="650"/>
      <c r="K25" s="92"/>
      <c r="L25" s="649"/>
      <c r="M25" s="649"/>
      <c r="N25" s="649"/>
      <c r="O25" s="649"/>
      <c r="P25" s="649"/>
      <c r="Q25" s="649"/>
      <c r="R25" s="649"/>
      <c r="S25" s="649"/>
      <c r="T25" s="649"/>
      <c r="U25" s="649"/>
      <c r="V25" s="649"/>
      <c r="W25" s="649"/>
      <c r="X25" s="649"/>
      <c r="Y25" s="649"/>
      <c r="Z25" s="649"/>
      <c r="AA25" s="649"/>
      <c r="AB25" s="649"/>
      <c r="AC25" s="649"/>
      <c r="AD25" s="649"/>
      <c r="AE25" s="649"/>
      <c r="AF25" s="649"/>
      <c r="AG25" s="649"/>
      <c r="AH25" s="649"/>
      <c r="AI25" s="649"/>
    </row>
    <row r="26" spans="1:35" ht="15" customHeight="1" x14ac:dyDescent="0.25">
      <c r="A26" s="648" t="s">
        <v>131</v>
      </c>
      <c r="B26" s="648"/>
      <c r="C26" s="648"/>
      <c r="D26" s="648"/>
      <c r="E26" s="653" t="s">
        <v>24</v>
      </c>
      <c r="F26" s="653"/>
      <c r="G26" s="653"/>
      <c r="H26" s="653"/>
      <c r="I26" s="653"/>
      <c r="J26" s="653"/>
      <c r="L26" s="649" t="s">
        <v>244</v>
      </c>
      <c r="M26" s="649"/>
      <c r="N26" s="649"/>
      <c r="O26" s="649"/>
      <c r="P26" s="649"/>
      <c r="Q26" s="649"/>
      <c r="R26" s="649"/>
      <c r="S26" s="649"/>
      <c r="T26" s="649"/>
      <c r="U26" s="649"/>
      <c r="V26" s="649"/>
      <c r="W26" s="649"/>
      <c r="X26" s="649"/>
      <c r="Y26" s="649"/>
      <c r="Z26" s="649"/>
      <c r="AA26" s="649"/>
      <c r="AB26" s="649"/>
      <c r="AC26" s="649"/>
      <c r="AD26" s="649"/>
      <c r="AE26" s="649"/>
      <c r="AF26" s="649"/>
      <c r="AG26" s="649"/>
      <c r="AH26" s="649"/>
      <c r="AI26" s="649"/>
    </row>
    <row r="27" spans="1:35" ht="15" customHeight="1" x14ac:dyDescent="0.25">
      <c r="A27" s="648"/>
      <c r="B27" s="648"/>
      <c r="C27" s="648"/>
      <c r="D27" s="648"/>
      <c r="E27" s="653"/>
      <c r="F27" s="653"/>
      <c r="G27" s="653"/>
      <c r="H27" s="653"/>
      <c r="I27" s="653"/>
      <c r="J27" s="653"/>
      <c r="L27" s="649"/>
      <c r="M27" s="649"/>
      <c r="N27" s="649"/>
      <c r="O27" s="649"/>
      <c r="P27" s="649"/>
      <c r="Q27" s="649"/>
      <c r="R27" s="649"/>
      <c r="S27" s="649"/>
      <c r="T27" s="649"/>
      <c r="U27" s="649"/>
      <c r="V27" s="649"/>
      <c r="W27" s="649"/>
      <c r="X27" s="649"/>
      <c r="Y27" s="649"/>
      <c r="Z27" s="649"/>
      <c r="AA27" s="649"/>
      <c r="AB27" s="649"/>
      <c r="AC27" s="649"/>
      <c r="AD27" s="649"/>
      <c r="AE27" s="649"/>
      <c r="AF27" s="649"/>
      <c r="AG27" s="649"/>
      <c r="AH27" s="649"/>
      <c r="AI27" s="649"/>
    </row>
    <row r="28" spans="1:35" ht="15" customHeight="1" x14ac:dyDescent="0.25">
      <c r="A28" s="648" t="s">
        <v>132</v>
      </c>
      <c r="B28" s="648"/>
      <c r="C28" s="648"/>
      <c r="D28" s="648"/>
      <c r="E28" s="653" t="s">
        <v>25</v>
      </c>
      <c r="F28" s="653"/>
      <c r="G28" s="653"/>
      <c r="H28" s="653"/>
      <c r="I28" s="653"/>
      <c r="J28" s="653"/>
      <c r="L28" s="649" t="s">
        <v>245</v>
      </c>
      <c r="M28" s="649"/>
      <c r="N28" s="649"/>
      <c r="O28" s="649"/>
      <c r="P28" s="649"/>
      <c r="Q28" s="649"/>
      <c r="R28" s="649"/>
      <c r="S28" s="649"/>
      <c r="T28" s="649"/>
      <c r="U28" s="649"/>
      <c r="V28" s="649"/>
      <c r="W28" s="649"/>
      <c r="X28" s="649"/>
      <c r="Y28" s="649"/>
      <c r="Z28" s="649"/>
      <c r="AA28" s="649"/>
      <c r="AB28" s="649"/>
      <c r="AC28" s="649"/>
      <c r="AD28" s="649"/>
      <c r="AE28" s="649"/>
      <c r="AF28" s="649"/>
      <c r="AG28" s="649"/>
      <c r="AH28" s="649"/>
      <c r="AI28" s="649"/>
    </row>
    <row r="29" spans="1:35" ht="15" customHeight="1" x14ac:dyDescent="0.25">
      <c r="A29" s="648"/>
      <c r="B29" s="648"/>
      <c r="C29" s="648"/>
      <c r="D29" s="648"/>
      <c r="E29" s="653"/>
      <c r="F29" s="653"/>
      <c r="G29" s="653"/>
      <c r="H29" s="653"/>
      <c r="I29" s="653"/>
      <c r="J29" s="653"/>
      <c r="L29" s="649"/>
      <c r="M29" s="649"/>
      <c r="N29" s="649"/>
      <c r="O29" s="649"/>
      <c r="P29" s="649"/>
      <c r="Q29" s="649"/>
      <c r="R29" s="649"/>
      <c r="S29" s="649"/>
      <c r="T29" s="649"/>
      <c r="U29" s="649"/>
      <c r="V29" s="649"/>
      <c r="W29" s="649"/>
      <c r="X29" s="649"/>
      <c r="Y29" s="649"/>
      <c r="Z29" s="649"/>
      <c r="AA29" s="649"/>
      <c r="AB29" s="649"/>
      <c r="AC29" s="649"/>
      <c r="AD29" s="649"/>
      <c r="AE29" s="649"/>
      <c r="AF29" s="649"/>
      <c r="AG29" s="649"/>
      <c r="AH29" s="649"/>
      <c r="AI29" s="649"/>
    </row>
    <row r="30" spans="1:35" ht="15" customHeight="1" x14ac:dyDescent="0.25">
      <c r="A30" s="648" t="s">
        <v>59</v>
      </c>
      <c r="B30" s="648"/>
      <c r="C30" s="648"/>
      <c r="D30" s="648"/>
      <c r="E30" s="653" t="s">
        <v>26</v>
      </c>
      <c r="F30" s="653"/>
      <c r="G30" s="653"/>
      <c r="H30" s="653"/>
      <c r="I30" s="653"/>
      <c r="J30" s="653"/>
      <c r="L30" s="649" t="s">
        <v>246</v>
      </c>
      <c r="M30" s="649"/>
      <c r="N30" s="649"/>
      <c r="O30" s="649"/>
      <c r="P30" s="649"/>
      <c r="Q30" s="649"/>
      <c r="R30" s="649"/>
      <c r="S30" s="649"/>
      <c r="T30" s="649"/>
      <c r="U30" s="649"/>
      <c r="V30" s="649"/>
      <c r="W30" s="649"/>
      <c r="X30" s="649"/>
      <c r="Y30" s="649"/>
      <c r="Z30" s="649"/>
      <c r="AA30" s="649"/>
      <c r="AB30" s="649"/>
      <c r="AC30" s="649"/>
      <c r="AD30" s="649"/>
      <c r="AE30" s="649"/>
      <c r="AF30" s="649"/>
      <c r="AG30" s="649"/>
      <c r="AH30" s="649"/>
      <c r="AI30" s="649"/>
    </row>
    <row r="31" spans="1:35" ht="15" customHeight="1" x14ac:dyDescent="0.25">
      <c r="A31" s="648"/>
      <c r="B31" s="648"/>
      <c r="C31" s="648"/>
      <c r="D31" s="648"/>
      <c r="E31" s="653"/>
      <c r="F31" s="653"/>
      <c r="G31" s="653"/>
      <c r="H31" s="653"/>
      <c r="I31" s="653"/>
      <c r="J31" s="653"/>
      <c r="L31" s="649"/>
      <c r="M31" s="649"/>
      <c r="N31" s="649"/>
      <c r="O31" s="649"/>
      <c r="P31" s="649"/>
      <c r="Q31" s="649"/>
      <c r="R31" s="649"/>
      <c r="S31" s="649"/>
      <c r="T31" s="649"/>
      <c r="U31" s="649"/>
      <c r="V31" s="649"/>
      <c r="W31" s="649"/>
      <c r="X31" s="649"/>
      <c r="Y31" s="649"/>
      <c r="Z31" s="649"/>
      <c r="AA31" s="649"/>
      <c r="AB31" s="649"/>
      <c r="AC31" s="649"/>
      <c r="AD31" s="649"/>
      <c r="AE31" s="649"/>
      <c r="AF31" s="649"/>
      <c r="AG31" s="649"/>
      <c r="AH31" s="649"/>
      <c r="AI31" s="649"/>
    </row>
    <row r="32" spans="1:35" ht="15" customHeight="1" x14ac:dyDescent="0.25">
      <c r="A32" s="648" t="s">
        <v>64</v>
      </c>
      <c r="B32" s="648"/>
      <c r="C32" s="648"/>
      <c r="D32" s="648"/>
      <c r="E32" s="653" t="s">
        <v>27</v>
      </c>
      <c r="F32" s="653"/>
      <c r="G32" s="653"/>
      <c r="H32" s="653"/>
      <c r="I32" s="653"/>
      <c r="J32" s="653"/>
      <c r="L32" s="649" t="s">
        <v>247</v>
      </c>
      <c r="M32" s="649"/>
      <c r="N32" s="649"/>
      <c r="O32" s="649"/>
      <c r="P32" s="649"/>
      <c r="Q32" s="649"/>
      <c r="R32" s="649"/>
      <c r="S32" s="649"/>
      <c r="T32" s="649"/>
      <c r="U32" s="649"/>
      <c r="V32" s="649"/>
      <c r="W32" s="649"/>
      <c r="X32" s="649"/>
      <c r="Y32" s="649"/>
      <c r="Z32" s="649"/>
      <c r="AA32" s="649"/>
      <c r="AB32" s="649"/>
      <c r="AC32" s="649"/>
      <c r="AD32" s="649"/>
      <c r="AE32" s="649"/>
      <c r="AF32" s="649"/>
      <c r="AG32" s="649"/>
      <c r="AH32" s="649"/>
      <c r="AI32" s="649"/>
    </row>
    <row r="33" spans="1:35" ht="15" customHeight="1" x14ac:dyDescent="0.25">
      <c r="A33" s="648"/>
      <c r="B33" s="648"/>
      <c r="C33" s="648"/>
      <c r="D33" s="648"/>
      <c r="E33" s="653"/>
      <c r="F33" s="653"/>
      <c r="G33" s="653"/>
      <c r="H33" s="653"/>
      <c r="I33" s="653"/>
      <c r="J33" s="653"/>
      <c r="L33" s="649"/>
      <c r="M33" s="649"/>
      <c r="N33" s="649"/>
      <c r="O33" s="649"/>
      <c r="P33" s="649"/>
      <c r="Q33" s="649"/>
      <c r="R33" s="649"/>
      <c r="S33" s="649"/>
      <c r="T33" s="649"/>
      <c r="U33" s="649"/>
      <c r="V33" s="649"/>
      <c r="W33" s="649"/>
      <c r="X33" s="649"/>
      <c r="Y33" s="649"/>
      <c r="Z33" s="649"/>
      <c r="AA33" s="649"/>
      <c r="AB33" s="649"/>
      <c r="AC33" s="649"/>
      <c r="AD33" s="649"/>
      <c r="AE33" s="649"/>
      <c r="AF33" s="649"/>
      <c r="AG33" s="649"/>
      <c r="AH33" s="649"/>
      <c r="AI33" s="649"/>
    </row>
    <row r="34" spans="1:35" ht="15" customHeight="1" x14ac:dyDescent="0.25">
      <c r="A34" s="648" t="s">
        <v>109</v>
      </c>
      <c r="B34" s="648"/>
      <c r="C34" s="648"/>
      <c r="D34" s="648"/>
      <c r="E34" s="653" t="s">
        <v>28</v>
      </c>
      <c r="F34" s="653"/>
      <c r="G34" s="653"/>
      <c r="H34" s="653"/>
      <c r="I34" s="653"/>
      <c r="J34" s="653"/>
      <c r="L34" s="649" t="s">
        <v>248</v>
      </c>
      <c r="M34" s="649"/>
      <c r="N34" s="649"/>
      <c r="O34" s="649"/>
      <c r="P34" s="649"/>
      <c r="Q34" s="649"/>
      <c r="R34" s="649"/>
      <c r="S34" s="649"/>
      <c r="T34" s="649"/>
      <c r="U34" s="649"/>
      <c r="V34" s="649"/>
      <c r="W34" s="649"/>
      <c r="X34" s="649"/>
      <c r="Y34" s="649"/>
      <c r="Z34" s="649"/>
      <c r="AA34" s="649"/>
      <c r="AB34" s="649"/>
      <c r="AC34" s="649"/>
      <c r="AD34" s="649"/>
      <c r="AE34" s="649"/>
      <c r="AF34" s="649"/>
      <c r="AG34" s="649"/>
      <c r="AH34" s="649"/>
      <c r="AI34" s="649"/>
    </row>
    <row r="35" spans="1:35" ht="15" customHeight="1" x14ac:dyDescent="0.25">
      <c r="A35" s="648"/>
      <c r="B35" s="648"/>
      <c r="C35" s="648"/>
      <c r="D35" s="648"/>
      <c r="E35" s="653"/>
      <c r="F35" s="653"/>
      <c r="G35" s="653"/>
      <c r="H35" s="653"/>
      <c r="I35" s="653"/>
      <c r="J35" s="653"/>
      <c r="L35" s="649"/>
      <c r="M35" s="649"/>
      <c r="N35" s="649"/>
      <c r="O35" s="649"/>
      <c r="P35" s="649"/>
      <c r="Q35" s="649"/>
      <c r="R35" s="649"/>
      <c r="S35" s="649"/>
      <c r="T35" s="649"/>
      <c r="U35" s="649"/>
      <c r="V35" s="649"/>
      <c r="W35" s="649"/>
      <c r="X35" s="649"/>
      <c r="Y35" s="649"/>
      <c r="Z35" s="649"/>
      <c r="AA35" s="649"/>
      <c r="AB35" s="649"/>
      <c r="AC35" s="649"/>
      <c r="AD35" s="649"/>
      <c r="AE35" s="649"/>
      <c r="AF35" s="649"/>
      <c r="AG35" s="649"/>
      <c r="AH35" s="649"/>
      <c r="AI35" s="649"/>
    </row>
    <row r="36" spans="1:35" ht="15" customHeight="1" x14ac:dyDescent="0.25">
      <c r="A36" s="648" t="s">
        <v>110</v>
      </c>
      <c r="B36" s="648"/>
      <c r="C36" s="648"/>
      <c r="D36" s="648"/>
      <c r="E36" s="653" t="s">
        <v>29</v>
      </c>
      <c r="F36" s="653"/>
      <c r="G36" s="653"/>
      <c r="H36" s="653"/>
      <c r="I36" s="653"/>
      <c r="J36" s="653"/>
      <c r="L36" s="649" t="s">
        <v>249</v>
      </c>
      <c r="M36" s="649"/>
      <c r="N36" s="649"/>
      <c r="O36" s="649"/>
      <c r="P36" s="649"/>
      <c r="Q36" s="649"/>
      <c r="R36" s="649"/>
      <c r="S36" s="649"/>
      <c r="T36" s="649"/>
      <c r="U36" s="649"/>
      <c r="V36" s="649"/>
      <c r="W36" s="649"/>
      <c r="X36" s="649"/>
      <c r="Y36" s="649"/>
      <c r="Z36" s="649"/>
      <c r="AA36" s="649"/>
      <c r="AB36" s="649"/>
      <c r="AC36" s="649"/>
      <c r="AD36" s="649"/>
      <c r="AE36" s="649"/>
      <c r="AF36" s="649"/>
      <c r="AG36" s="649"/>
      <c r="AH36" s="649"/>
      <c r="AI36" s="649"/>
    </row>
    <row r="37" spans="1:35" ht="15" customHeight="1" x14ac:dyDescent="0.25">
      <c r="A37" s="648"/>
      <c r="B37" s="648"/>
      <c r="C37" s="648"/>
      <c r="D37" s="648"/>
      <c r="E37" s="653"/>
      <c r="F37" s="653"/>
      <c r="G37" s="653"/>
      <c r="H37" s="653"/>
      <c r="I37" s="653"/>
      <c r="J37" s="653"/>
      <c r="L37" s="649"/>
      <c r="M37" s="649"/>
      <c r="N37" s="649"/>
      <c r="O37" s="649"/>
      <c r="P37" s="649"/>
      <c r="Q37" s="649"/>
      <c r="R37" s="649"/>
      <c r="S37" s="649"/>
      <c r="T37" s="649"/>
      <c r="U37" s="649"/>
      <c r="V37" s="649"/>
      <c r="W37" s="649"/>
      <c r="X37" s="649"/>
      <c r="Y37" s="649"/>
      <c r="Z37" s="649"/>
      <c r="AA37" s="649"/>
      <c r="AB37" s="649"/>
      <c r="AC37" s="649"/>
      <c r="AD37" s="649"/>
      <c r="AE37" s="649"/>
      <c r="AF37" s="649"/>
      <c r="AG37" s="649"/>
      <c r="AH37" s="649"/>
      <c r="AI37" s="649"/>
    </row>
    <row r="38" spans="1:35" ht="15" customHeight="1" x14ac:dyDescent="0.25">
      <c r="A38" s="648" t="s">
        <v>128</v>
      </c>
      <c r="B38" s="648"/>
      <c r="C38" s="648"/>
      <c r="D38" s="648"/>
      <c r="E38" s="653" t="s">
        <v>144</v>
      </c>
      <c r="F38" s="653"/>
      <c r="G38" s="653"/>
      <c r="H38" s="653"/>
      <c r="I38" s="653"/>
      <c r="J38" s="653"/>
      <c r="K38" s="92"/>
      <c r="L38" s="649" t="s">
        <v>155</v>
      </c>
      <c r="M38" s="649"/>
      <c r="N38" s="649"/>
      <c r="O38" s="649"/>
      <c r="P38" s="649"/>
      <c r="Q38" s="649"/>
      <c r="R38" s="649"/>
      <c r="S38" s="649"/>
      <c r="T38" s="649"/>
      <c r="U38" s="649"/>
      <c r="V38" s="649"/>
      <c r="W38" s="649"/>
      <c r="X38" s="649"/>
      <c r="Y38" s="649"/>
      <c r="Z38" s="649"/>
      <c r="AA38" s="649"/>
      <c r="AB38" s="649"/>
      <c r="AC38" s="649"/>
      <c r="AD38" s="649"/>
      <c r="AE38" s="649"/>
      <c r="AF38" s="649"/>
      <c r="AG38" s="649"/>
      <c r="AH38" s="649"/>
      <c r="AI38" s="649"/>
    </row>
    <row r="39" spans="1:35" ht="15" customHeight="1" x14ac:dyDescent="0.25">
      <c r="A39" s="648"/>
      <c r="B39" s="648"/>
      <c r="C39" s="648"/>
      <c r="D39" s="648"/>
      <c r="E39" s="653"/>
      <c r="F39" s="653"/>
      <c r="G39" s="653"/>
      <c r="H39" s="653"/>
      <c r="I39" s="653"/>
      <c r="J39" s="653"/>
      <c r="K39" s="92"/>
      <c r="L39" s="649"/>
      <c r="M39" s="649"/>
      <c r="N39" s="649"/>
      <c r="O39" s="649"/>
      <c r="P39" s="649"/>
      <c r="Q39" s="649"/>
      <c r="R39" s="649"/>
      <c r="S39" s="649"/>
      <c r="T39" s="649"/>
      <c r="U39" s="649"/>
      <c r="V39" s="649"/>
      <c r="W39" s="649"/>
      <c r="X39" s="649"/>
      <c r="Y39" s="649"/>
      <c r="Z39" s="649"/>
      <c r="AA39" s="649"/>
      <c r="AB39" s="649"/>
      <c r="AC39" s="649"/>
      <c r="AD39" s="649"/>
      <c r="AE39" s="649"/>
      <c r="AF39" s="649"/>
      <c r="AG39" s="649"/>
      <c r="AH39" s="649"/>
      <c r="AI39" s="649"/>
    </row>
    <row r="40" spans="1:35" ht="15" customHeight="1" x14ac:dyDescent="0.25">
      <c r="A40" s="648" t="s">
        <v>127</v>
      </c>
      <c r="B40" s="648"/>
      <c r="C40" s="648"/>
      <c r="D40" s="648"/>
      <c r="E40" s="653" t="s">
        <v>145</v>
      </c>
      <c r="F40" s="653"/>
      <c r="G40" s="653"/>
      <c r="H40" s="653"/>
      <c r="I40" s="653"/>
      <c r="J40" s="653"/>
      <c r="K40" s="92"/>
      <c r="L40" s="649" t="s">
        <v>156</v>
      </c>
      <c r="M40" s="649"/>
      <c r="N40" s="649"/>
      <c r="O40" s="649"/>
      <c r="P40" s="649"/>
      <c r="Q40" s="649"/>
      <c r="R40" s="649"/>
      <c r="S40" s="649"/>
      <c r="T40" s="649"/>
      <c r="U40" s="649"/>
      <c r="V40" s="649"/>
      <c r="W40" s="649"/>
      <c r="X40" s="649"/>
      <c r="Y40" s="649"/>
      <c r="Z40" s="649"/>
      <c r="AA40" s="649"/>
      <c r="AB40" s="649"/>
      <c r="AC40" s="649"/>
      <c r="AD40" s="649"/>
      <c r="AE40" s="649"/>
      <c r="AF40" s="649"/>
      <c r="AG40" s="649"/>
      <c r="AH40" s="649"/>
      <c r="AI40" s="649"/>
    </row>
    <row r="41" spans="1:35" ht="15" customHeight="1" x14ac:dyDescent="0.25">
      <c r="A41" s="648"/>
      <c r="B41" s="648"/>
      <c r="C41" s="648"/>
      <c r="D41" s="648"/>
      <c r="E41" s="653"/>
      <c r="F41" s="653"/>
      <c r="G41" s="653"/>
      <c r="H41" s="653"/>
      <c r="I41" s="653"/>
      <c r="J41" s="653"/>
      <c r="K41" s="92"/>
      <c r="L41" s="649"/>
      <c r="M41" s="649"/>
      <c r="N41" s="649"/>
      <c r="O41" s="649"/>
      <c r="P41" s="649"/>
      <c r="Q41" s="649"/>
      <c r="R41" s="649"/>
      <c r="S41" s="649"/>
      <c r="T41" s="649"/>
      <c r="U41" s="649"/>
      <c r="V41" s="649"/>
      <c r="W41" s="649"/>
      <c r="X41" s="649"/>
      <c r="Y41" s="649"/>
      <c r="Z41" s="649"/>
      <c r="AA41" s="649"/>
      <c r="AB41" s="649"/>
      <c r="AC41" s="649"/>
      <c r="AD41" s="649"/>
      <c r="AE41" s="649"/>
      <c r="AF41" s="649"/>
      <c r="AG41" s="649"/>
      <c r="AH41" s="649"/>
      <c r="AI41" s="649"/>
    </row>
    <row r="42" spans="1:35" ht="15" customHeight="1" x14ac:dyDescent="0.25">
      <c r="A42" s="648" t="s">
        <v>129</v>
      </c>
      <c r="B42" s="648"/>
      <c r="C42" s="648"/>
      <c r="D42" s="648"/>
      <c r="E42" s="653" t="s">
        <v>146</v>
      </c>
      <c r="F42" s="653"/>
      <c r="G42" s="653"/>
      <c r="H42" s="653"/>
      <c r="I42" s="653"/>
      <c r="J42" s="653"/>
      <c r="K42" s="92"/>
      <c r="L42" s="649" t="s">
        <v>157</v>
      </c>
      <c r="M42" s="649"/>
      <c r="N42" s="649"/>
      <c r="O42" s="649"/>
      <c r="P42" s="649"/>
      <c r="Q42" s="649"/>
      <c r="R42" s="649"/>
      <c r="S42" s="649"/>
      <c r="T42" s="649"/>
      <c r="U42" s="649"/>
      <c r="V42" s="649"/>
      <c r="W42" s="649"/>
      <c r="X42" s="649"/>
      <c r="Y42" s="649"/>
      <c r="Z42" s="649"/>
      <c r="AA42" s="649"/>
      <c r="AB42" s="649"/>
      <c r="AC42" s="649"/>
      <c r="AD42" s="649"/>
      <c r="AE42" s="649"/>
      <c r="AF42" s="649"/>
      <c r="AG42" s="649"/>
      <c r="AH42" s="649"/>
      <c r="AI42" s="649"/>
    </row>
    <row r="43" spans="1:35" ht="15" customHeight="1" x14ac:dyDescent="0.25">
      <c r="A43" s="648"/>
      <c r="B43" s="648"/>
      <c r="C43" s="648"/>
      <c r="D43" s="648"/>
      <c r="E43" s="653"/>
      <c r="F43" s="653"/>
      <c r="G43" s="653"/>
      <c r="H43" s="653"/>
      <c r="I43" s="653"/>
      <c r="J43" s="653"/>
      <c r="K43" s="92"/>
      <c r="L43" s="649"/>
      <c r="M43" s="649"/>
      <c r="N43" s="649"/>
      <c r="O43" s="649"/>
      <c r="P43" s="649"/>
      <c r="Q43" s="649"/>
      <c r="R43" s="649"/>
      <c r="S43" s="649"/>
      <c r="T43" s="649"/>
      <c r="U43" s="649"/>
      <c r="V43" s="649"/>
      <c r="W43" s="649"/>
      <c r="X43" s="649"/>
      <c r="Y43" s="649"/>
      <c r="Z43" s="649"/>
      <c r="AA43" s="649"/>
      <c r="AB43" s="649"/>
      <c r="AC43" s="649"/>
      <c r="AD43" s="649"/>
      <c r="AE43" s="649"/>
      <c r="AF43" s="649"/>
      <c r="AG43" s="649"/>
      <c r="AH43" s="649"/>
      <c r="AI43" s="649"/>
    </row>
    <row r="44" spans="1:35" ht="15" customHeight="1" x14ac:dyDescent="0.25">
      <c r="A44" s="648" t="s">
        <v>143</v>
      </c>
      <c r="B44" s="648"/>
      <c r="C44" s="648"/>
      <c r="D44" s="648"/>
      <c r="E44" s="653" t="s">
        <v>147</v>
      </c>
      <c r="F44" s="653"/>
      <c r="G44" s="653"/>
      <c r="H44" s="653"/>
      <c r="I44" s="653"/>
      <c r="J44" s="653"/>
      <c r="K44" s="93"/>
      <c r="L44" s="649" t="s">
        <v>158</v>
      </c>
      <c r="M44" s="649"/>
      <c r="N44" s="649"/>
      <c r="O44" s="649"/>
      <c r="P44" s="649"/>
      <c r="Q44" s="649"/>
      <c r="R44" s="649"/>
      <c r="S44" s="649"/>
      <c r="T44" s="649"/>
      <c r="U44" s="649"/>
      <c r="V44" s="649"/>
      <c r="W44" s="649"/>
      <c r="X44" s="649"/>
      <c r="Y44" s="649"/>
      <c r="Z44" s="649"/>
      <c r="AA44" s="649"/>
      <c r="AB44" s="649"/>
      <c r="AC44" s="649"/>
      <c r="AD44" s="649"/>
      <c r="AE44" s="649"/>
      <c r="AF44" s="649"/>
      <c r="AG44" s="649"/>
      <c r="AH44" s="649"/>
      <c r="AI44" s="649"/>
    </row>
    <row r="45" spans="1:35" ht="15" customHeight="1" x14ac:dyDescent="0.25">
      <c r="A45" s="652"/>
      <c r="B45" s="652"/>
      <c r="C45" s="652"/>
      <c r="D45" s="652"/>
      <c r="E45" s="654"/>
      <c r="F45" s="654"/>
      <c r="G45" s="654"/>
      <c r="H45" s="654"/>
      <c r="I45" s="654"/>
      <c r="J45" s="654"/>
      <c r="K45" s="162"/>
      <c r="L45" s="655"/>
      <c r="M45" s="655"/>
      <c r="N45" s="655"/>
      <c r="O45" s="655"/>
      <c r="P45" s="655"/>
      <c r="Q45" s="655"/>
      <c r="R45" s="655"/>
      <c r="S45" s="655"/>
      <c r="T45" s="655"/>
      <c r="U45" s="655"/>
      <c r="V45" s="655"/>
      <c r="W45" s="655"/>
      <c r="X45" s="655"/>
      <c r="Y45" s="655"/>
      <c r="Z45" s="655"/>
      <c r="AA45" s="655"/>
      <c r="AB45" s="655"/>
      <c r="AC45" s="655"/>
      <c r="AD45" s="655"/>
      <c r="AE45" s="655"/>
      <c r="AF45" s="655"/>
      <c r="AG45" s="655"/>
      <c r="AH45" s="655"/>
      <c r="AI45" s="655"/>
    </row>
    <row r="46" spans="1:35" ht="12.75" customHeight="1" x14ac:dyDescent="0.25">
      <c r="A46" s="658" t="s">
        <v>163</v>
      </c>
      <c r="B46" s="658"/>
      <c r="C46" s="658"/>
      <c r="D46" s="658"/>
      <c r="E46" s="658"/>
      <c r="F46" s="658"/>
      <c r="G46" s="658"/>
      <c r="H46" s="658"/>
      <c r="I46" s="658"/>
      <c r="J46" s="658"/>
      <c r="K46" s="658"/>
      <c r="L46" s="658"/>
      <c r="M46" s="658"/>
      <c r="N46" s="658"/>
      <c r="O46" s="658"/>
      <c r="P46" s="658"/>
      <c r="Q46" s="658"/>
      <c r="R46" s="658"/>
      <c r="S46" s="658"/>
      <c r="T46" s="658"/>
      <c r="U46" s="658"/>
      <c r="V46" s="658"/>
      <c r="W46" s="658"/>
      <c r="X46" s="658"/>
      <c r="Y46" s="658"/>
      <c r="Z46" s="658"/>
      <c r="AA46" s="658"/>
      <c r="AB46" s="658"/>
      <c r="AC46" s="658"/>
      <c r="AD46" s="658"/>
      <c r="AE46" s="658"/>
      <c r="AF46" s="658"/>
      <c r="AG46" s="658"/>
      <c r="AH46" s="658"/>
      <c r="AI46" s="658"/>
    </row>
    <row r="47" spans="1:35" ht="15" customHeight="1" x14ac:dyDescent="0.25">
      <c r="A47" s="648" t="s">
        <v>105</v>
      </c>
      <c r="B47" s="648"/>
      <c r="C47" s="648"/>
      <c r="D47" s="648"/>
      <c r="E47" s="650"/>
      <c r="F47" s="650"/>
      <c r="G47" s="650"/>
      <c r="H47" s="650"/>
      <c r="I47" s="650"/>
      <c r="J47" s="650"/>
      <c r="K47" s="92"/>
      <c r="L47" s="649" t="s">
        <v>149</v>
      </c>
      <c r="M47" s="649"/>
      <c r="N47" s="649"/>
      <c r="O47" s="649"/>
      <c r="P47" s="649"/>
      <c r="Q47" s="649"/>
      <c r="R47" s="649"/>
      <c r="S47" s="649"/>
      <c r="T47" s="649"/>
      <c r="U47" s="649"/>
      <c r="V47" s="649"/>
      <c r="W47" s="649"/>
      <c r="X47" s="649"/>
      <c r="Y47" s="649"/>
      <c r="Z47" s="649"/>
      <c r="AA47" s="649"/>
      <c r="AB47" s="649"/>
      <c r="AC47" s="649"/>
      <c r="AD47" s="649"/>
      <c r="AE47" s="649"/>
      <c r="AF47" s="649"/>
      <c r="AG47" s="649"/>
      <c r="AH47" s="649"/>
      <c r="AI47" s="649"/>
    </row>
    <row r="48" spans="1:35" ht="15" customHeight="1" x14ac:dyDescent="0.25">
      <c r="A48" s="648"/>
      <c r="B48" s="648"/>
      <c r="C48" s="648"/>
      <c r="D48" s="648"/>
      <c r="E48" s="650"/>
      <c r="F48" s="650"/>
      <c r="G48" s="650"/>
      <c r="H48" s="650"/>
      <c r="I48" s="650"/>
      <c r="J48" s="650"/>
      <c r="K48" s="92"/>
      <c r="L48" s="649"/>
      <c r="M48" s="649"/>
      <c r="N48" s="649"/>
      <c r="O48" s="649"/>
      <c r="P48" s="649"/>
      <c r="Q48" s="649"/>
      <c r="R48" s="649"/>
      <c r="S48" s="649"/>
      <c r="T48" s="649"/>
      <c r="U48" s="649"/>
      <c r="V48" s="649"/>
      <c r="W48" s="649"/>
      <c r="X48" s="649"/>
      <c r="Y48" s="649"/>
      <c r="Z48" s="649"/>
      <c r="AA48" s="649"/>
      <c r="AB48" s="649"/>
      <c r="AC48" s="649"/>
      <c r="AD48" s="649"/>
      <c r="AE48" s="649"/>
      <c r="AF48" s="649"/>
      <c r="AG48" s="649"/>
      <c r="AH48" s="649"/>
      <c r="AI48" s="649"/>
    </row>
    <row r="49" spans="1:35" ht="15" customHeight="1" x14ac:dyDescent="0.25">
      <c r="A49" s="648" t="s">
        <v>52</v>
      </c>
      <c r="B49" s="648"/>
      <c r="C49" s="648"/>
      <c r="D49" s="648"/>
      <c r="E49" s="650"/>
      <c r="F49" s="650"/>
      <c r="G49" s="650"/>
      <c r="H49" s="650"/>
      <c r="I49" s="650"/>
      <c r="J49" s="650"/>
      <c r="K49" s="92"/>
      <c r="L49" s="649" t="s">
        <v>150</v>
      </c>
      <c r="M49" s="649"/>
      <c r="N49" s="649"/>
      <c r="O49" s="649"/>
      <c r="P49" s="649"/>
      <c r="Q49" s="649"/>
      <c r="R49" s="649"/>
      <c r="S49" s="649"/>
      <c r="T49" s="649"/>
      <c r="U49" s="649"/>
      <c r="V49" s="649"/>
      <c r="W49" s="649"/>
      <c r="X49" s="649"/>
      <c r="Y49" s="649"/>
      <c r="Z49" s="649"/>
      <c r="AA49" s="649"/>
      <c r="AB49" s="649"/>
      <c r="AC49" s="649"/>
      <c r="AD49" s="649"/>
      <c r="AE49" s="649"/>
      <c r="AF49" s="649"/>
      <c r="AG49" s="649"/>
      <c r="AH49" s="649"/>
      <c r="AI49" s="649"/>
    </row>
    <row r="50" spans="1:35" ht="15" customHeight="1" x14ac:dyDescent="0.25">
      <c r="A50" s="648"/>
      <c r="B50" s="648"/>
      <c r="C50" s="648"/>
      <c r="D50" s="648"/>
      <c r="E50" s="650"/>
      <c r="F50" s="650"/>
      <c r="G50" s="650"/>
      <c r="H50" s="650"/>
      <c r="I50" s="650"/>
      <c r="J50" s="650"/>
      <c r="K50" s="92"/>
      <c r="L50" s="649"/>
      <c r="M50" s="649"/>
      <c r="N50" s="649"/>
      <c r="O50" s="649"/>
      <c r="P50" s="649"/>
      <c r="Q50" s="649"/>
      <c r="R50" s="649"/>
      <c r="S50" s="649"/>
      <c r="T50" s="649"/>
      <c r="U50" s="649"/>
      <c r="V50" s="649"/>
      <c r="W50" s="649"/>
      <c r="X50" s="649"/>
      <c r="Y50" s="649"/>
      <c r="Z50" s="649"/>
      <c r="AA50" s="649"/>
      <c r="AB50" s="649"/>
      <c r="AC50" s="649"/>
      <c r="AD50" s="649"/>
      <c r="AE50" s="649"/>
      <c r="AF50" s="649"/>
      <c r="AG50" s="649"/>
      <c r="AH50" s="649"/>
      <c r="AI50" s="649"/>
    </row>
    <row r="51" spans="1:35" ht="15" customHeight="1" x14ac:dyDescent="0.25">
      <c r="A51" s="648" t="s">
        <v>191</v>
      </c>
      <c r="B51" s="648"/>
      <c r="C51" s="648"/>
      <c r="D51" s="648"/>
      <c r="E51" s="650"/>
      <c r="F51" s="650"/>
      <c r="G51" s="650"/>
      <c r="H51" s="650"/>
      <c r="I51" s="650"/>
      <c r="J51" s="650"/>
      <c r="K51" s="92"/>
      <c r="L51" s="649" t="s">
        <v>253</v>
      </c>
      <c r="M51" s="649"/>
      <c r="N51" s="649"/>
      <c r="O51" s="649"/>
      <c r="P51" s="649"/>
      <c r="Q51" s="649"/>
      <c r="R51" s="649"/>
      <c r="S51" s="649"/>
      <c r="T51" s="649"/>
      <c r="U51" s="649"/>
      <c r="V51" s="649"/>
      <c r="W51" s="649"/>
      <c r="X51" s="649"/>
      <c r="Y51" s="649"/>
      <c r="Z51" s="649"/>
      <c r="AA51" s="649"/>
      <c r="AB51" s="649"/>
      <c r="AC51" s="649"/>
      <c r="AD51" s="649"/>
      <c r="AE51" s="649"/>
      <c r="AF51" s="649"/>
      <c r="AG51" s="649"/>
      <c r="AH51" s="649"/>
      <c r="AI51" s="649"/>
    </row>
    <row r="52" spans="1:35" ht="15" customHeight="1" x14ac:dyDescent="0.25">
      <c r="A52" s="648"/>
      <c r="B52" s="648"/>
      <c r="C52" s="648"/>
      <c r="D52" s="648"/>
      <c r="E52" s="650"/>
      <c r="F52" s="650"/>
      <c r="G52" s="650"/>
      <c r="H52" s="650"/>
      <c r="I52" s="650"/>
      <c r="J52" s="650"/>
      <c r="K52" s="92"/>
      <c r="L52" s="649"/>
      <c r="M52" s="649"/>
      <c r="N52" s="649"/>
      <c r="O52" s="649"/>
      <c r="P52" s="649"/>
      <c r="Q52" s="649"/>
      <c r="R52" s="649"/>
      <c r="S52" s="649"/>
      <c r="T52" s="649"/>
      <c r="U52" s="649"/>
      <c r="V52" s="649"/>
      <c r="W52" s="649"/>
      <c r="X52" s="649"/>
      <c r="Y52" s="649"/>
      <c r="Z52" s="649"/>
      <c r="AA52" s="649"/>
      <c r="AB52" s="649"/>
      <c r="AC52" s="649"/>
      <c r="AD52" s="649"/>
      <c r="AE52" s="649"/>
      <c r="AF52" s="649"/>
      <c r="AG52" s="649"/>
      <c r="AH52" s="649"/>
      <c r="AI52" s="649"/>
    </row>
    <row r="53" spans="1:35" ht="15" customHeight="1" x14ac:dyDescent="0.25">
      <c r="A53" s="648" t="s">
        <v>193</v>
      </c>
      <c r="B53" s="648"/>
      <c r="C53" s="648"/>
      <c r="D53" s="648"/>
      <c r="E53" s="650"/>
      <c r="F53" s="650"/>
      <c r="G53" s="650"/>
      <c r="H53" s="650"/>
      <c r="I53" s="650"/>
      <c r="J53" s="650"/>
      <c r="K53" s="92"/>
      <c r="L53" s="649" t="s">
        <v>254</v>
      </c>
      <c r="M53" s="649"/>
      <c r="N53" s="649"/>
      <c r="O53" s="649"/>
      <c r="P53" s="649"/>
      <c r="Q53" s="649"/>
      <c r="R53" s="649"/>
      <c r="S53" s="649"/>
      <c r="T53" s="649"/>
      <c r="U53" s="649"/>
      <c r="V53" s="649"/>
      <c r="W53" s="649"/>
      <c r="X53" s="649"/>
      <c r="Y53" s="649"/>
      <c r="Z53" s="649"/>
      <c r="AA53" s="649"/>
      <c r="AB53" s="649"/>
      <c r="AC53" s="649"/>
      <c r="AD53" s="649"/>
      <c r="AE53" s="649"/>
      <c r="AF53" s="649"/>
      <c r="AG53" s="649"/>
      <c r="AH53" s="649"/>
      <c r="AI53" s="649"/>
    </row>
    <row r="54" spans="1:35" ht="15" customHeight="1" x14ac:dyDescent="0.25">
      <c r="A54" s="648"/>
      <c r="B54" s="648"/>
      <c r="C54" s="648"/>
      <c r="D54" s="648"/>
      <c r="E54" s="650"/>
      <c r="F54" s="650"/>
      <c r="G54" s="650"/>
      <c r="H54" s="650"/>
      <c r="I54" s="650"/>
      <c r="J54" s="650"/>
      <c r="K54" s="92"/>
      <c r="L54" s="649"/>
      <c r="M54" s="649"/>
      <c r="N54" s="649"/>
      <c r="O54" s="649"/>
      <c r="P54" s="649"/>
      <c r="Q54" s="649"/>
      <c r="R54" s="649"/>
      <c r="S54" s="649"/>
      <c r="T54" s="649"/>
      <c r="U54" s="649"/>
      <c r="V54" s="649"/>
      <c r="W54" s="649"/>
      <c r="X54" s="649"/>
      <c r="Y54" s="649"/>
      <c r="Z54" s="649"/>
      <c r="AA54" s="649"/>
      <c r="AB54" s="649"/>
      <c r="AC54" s="649"/>
      <c r="AD54" s="649"/>
      <c r="AE54" s="649"/>
      <c r="AF54" s="649"/>
      <c r="AG54" s="649"/>
      <c r="AH54" s="649"/>
      <c r="AI54" s="649"/>
    </row>
    <row r="55" spans="1:35" ht="15" customHeight="1" x14ac:dyDescent="0.25">
      <c r="A55" s="648" t="s">
        <v>62</v>
      </c>
      <c r="B55" s="648"/>
      <c r="C55" s="648"/>
      <c r="D55" s="648"/>
      <c r="E55" s="650"/>
      <c r="F55" s="650"/>
      <c r="G55" s="650"/>
      <c r="H55" s="650"/>
      <c r="I55" s="650"/>
      <c r="J55" s="650"/>
      <c r="K55" s="92"/>
      <c r="L55" s="649" t="s">
        <v>251</v>
      </c>
      <c r="M55" s="649"/>
      <c r="N55" s="649"/>
      <c r="O55" s="649"/>
      <c r="P55" s="649"/>
      <c r="Q55" s="649"/>
      <c r="R55" s="649"/>
      <c r="S55" s="649"/>
      <c r="T55" s="649"/>
      <c r="U55" s="649"/>
      <c r="V55" s="649"/>
      <c r="W55" s="649"/>
      <c r="X55" s="649"/>
      <c r="Y55" s="649"/>
      <c r="Z55" s="649"/>
      <c r="AA55" s="649"/>
      <c r="AB55" s="649"/>
      <c r="AC55" s="649"/>
      <c r="AD55" s="649"/>
      <c r="AE55" s="649"/>
      <c r="AF55" s="649"/>
      <c r="AG55" s="649"/>
      <c r="AH55" s="649"/>
      <c r="AI55" s="649"/>
    </row>
    <row r="56" spans="1:35" ht="15" customHeight="1" x14ac:dyDescent="0.25">
      <c r="A56" s="648"/>
      <c r="B56" s="648"/>
      <c r="C56" s="648"/>
      <c r="D56" s="648"/>
      <c r="E56" s="650"/>
      <c r="F56" s="650"/>
      <c r="G56" s="650"/>
      <c r="H56" s="650"/>
      <c r="I56" s="650"/>
      <c r="J56" s="650"/>
      <c r="K56" s="92"/>
      <c r="L56" s="649"/>
      <c r="M56" s="649"/>
      <c r="N56" s="649"/>
      <c r="O56" s="649"/>
      <c r="P56" s="649"/>
      <c r="Q56" s="649"/>
      <c r="R56" s="649"/>
      <c r="S56" s="649"/>
      <c r="T56" s="649"/>
      <c r="U56" s="649"/>
      <c r="V56" s="649"/>
      <c r="W56" s="649"/>
      <c r="X56" s="649"/>
      <c r="Y56" s="649"/>
      <c r="Z56" s="649"/>
      <c r="AA56" s="649"/>
      <c r="AB56" s="649"/>
      <c r="AC56" s="649"/>
      <c r="AD56" s="649"/>
      <c r="AE56" s="649"/>
      <c r="AF56" s="649"/>
      <c r="AG56" s="649"/>
      <c r="AH56" s="649"/>
      <c r="AI56" s="649"/>
    </row>
    <row r="57" spans="1:35" ht="15" customHeight="1" x14ac:dyDescent="0.25">
      <c r="A57" s="651" t="s">
        <v>171</v>
      </c>
      <c r="B57" s="651"/>
      <c r="C57" s="651"/>
      <c r="D57" s="651"/>
      <c r="E57" s="83"/>
      <c r="F57" s="83"/>
      <c r="G57" s="83"/>
      <c r="H57" s="83"/>
      <c r="I57" s="83"/>
      <c r="J57" s="83"/>
      <c r="K57" s="83"/>
      <c r="L57" s="649" t="s">
        <v>252</v>
      </c>
      <c r="M57" s="649"/>
      <c r="N57" s="649"/>
      <c r="O57" s="649"/>
      <c r="P57" s="649"/>
      <c r="Q57" s="649"/>
      <c r="R57" s="649"/>
      <c r="S57" s="649"/>
      <c r="T57" s="649"/>
      <c r="U57" s="649"/>
      <c r="V57" s="649"/>
      <c r="W57" s="649"/>
      <c r="X57" s="649"/>
      <c r="Y57" s="649"/>
      <c r="Z57" s="649"/>
      <c r="AA57" s="649"/>
      <c r="AB57" s="649"/>
      <c r="AC57" s="649"/>
      <c r="AD57" s="649"/>
      <c r="AE57" s="649"/>
      <c r="AF57" s="649"/>
      <c r="AG57" s="649"/>
      <c r="AH57" s="649"/>
      <c r="AI57" s="649"/>
    </row>
    <row r="58" spans="1:35" ht="15" customHeight="1" x14ac:dyDescent="0.25">
      <c r="A58" s="651"/>
      <c r="B58" s="651"/>
      <c r="C58" s="651"/>
      <c r="D58" s="651"/>
      <c r="E58" s="83"/>
      <c r="F58" s="83"/>
      <c r="G58" s="83"/>
      <c r="H58" s="83"/>
      <c r="I58" s="83"/>
      <c r="J58" s="83"/>
      <c r="K58" s="83"/>
      <c r="L58" s="649"/>
      <c r="M58" s="649"/>
      <c r="N58" s="649"/>
      <c r="O58" s="649"/>
      <c r="P58" s="649"/>
      <c r="Q58" s="649"/>
      <c r="R58" s="649"/>
      <c r="S58" s="649"/>
      <c r="T58" s="649"/>
      <c r="U58" s="649"/>
      <c r="V58" s="649"/>
      <c r="W58" s="649"/>
      <c r="X58" s="649"/>
      <c r="Y58" s="649"/>
      <c r="Z58" s="649"/>
      <c r="AA58" s="649"/>
      <c r="AB58" s="649"/>
      <c r="AC58" s="649"/>
      <c r="AD58" s="649"/>
      <c r="AE58" s="649"/>
      <c r="AF58" s="649"/>
      <c r="AG58" s="649"/>
      <c r="AH58" s="649"/>
      <c r="AI58" s="649"/>
    </row>
    <row r="59" spans="1:35" ht="15" customHeight="1" x14ac:dyDescent="0.25">
      <c r="A59" s="648" t="s">
        <v>111</v>
      </c>
      <c r="B59" s="648"/>
      <c r="C59" s="648"/>
      <c r="D59" s="648"/>
      <c r="E59" s="83"/>
      <c r="F59" s="83"/>
      <c r="G59" s="83"/>
      <c r="H59" s="83"/>
      <c r="I59" s="83"/>
      <c r="J59" s="83"/>
      <c r="K59" s="83"/>
      <c r="L59" s="649" t="s">
        <v>250</v>
      </c>
      <c r="M59" s="649"/>
      <c r="N59" s="649"/>
      <c r="O59" s="649"/>
      <c r="P59" s="649"/>
      <c r="Q59" s="649"/>
      <c r="R59" s="649"/>
      <c r="S59" s="649"/>
      <c r="T59" s="649"/>
      <c r="U59" s="649"/>
      <c r="V59" s="649"/>
      <c r="W59" s="649"/>
      <c r="X59" s="649"/>
      <c r="Y59" s="649"/>
      <c r="Z59" s="649"/>
      <c r="AA59" s="649"/>
      <c r="AB59" s="649"/>
      <c r="AC59" s="649"/>
      <c r="AD59" s="649"/>
      <c r="AE59" s="649"/>
      <c r="AF59" s="649"/>
      <c r="AG59" s="649"/>
      <c r="AH59" s="649"/>
      <c r="AI59" s="649"/>
    </row>
    <row r="60" spans="1:35" ht="15" customHeight="1" x14ac:dyDescent="0.25">
      <c r="A60" s="648"/>
      <c r="B60" s="648"/>
      <c r="C60" s="648"/>
      <c r="D60" s="648"/>
      <c r="E60" s="83"/>
      <c r="F60" s="83"/>
      <c r="G60" s="83"/>
      <c r="H60" s="83"/>
      <c r="I60" s="83"/>
      <c r="J60" s="83"/>
      <c r="K60" s="83"/>
      <c r="L60" s="649"/>
      <c r="M60" s="649"/>
      <c r="N60" s="649"/>
      <c r="O60" s="649"/>
      <c r="P60" s="649"/>
      <c r="Q60" s="649"/>
      <c r="R60" s="649"/>
      <c r="S60" s="649"/>
      <c r="T60" s="649"/>
      <c r="U60" s="649"/>
      <c r="V60" s="649"/>
      <c r="W60" s="649"/>
      <c r="X60" s="649"/>
      <c r="Y60" s="649"/>
      <c r="Z60" s="649"/>
      <c r="AA60" s="649"/>
      <c r="AB60" s="649"/>
      <c r="AC60" s="649"/>
      <c r="AD60" s="649"/>
      <c r="AE60" s="649"/>
      <c r="AF60" s="649"/>
      <c r="AG60" s="649"/>
      <c r="AH60" s="649"/>
      <c r="AI60" s="649"/>
    </row>
    <row r="61" spans="1:35" x14ac:dyDescent="0.25">
      <c r="A61" s="648" t="s">
        <v>255</v>
      </c>
      <c r="B61" s="648"/>
      <c r="C61" s="648"/>
      <c r="D61" s="648"/>
      <c r="E61" s="83"/>
      <c r="F61" s="83"/>
      <c r="G61" s="83"/>
      <c r="H61" s="83"/>
      <c r="I61" s="83"/>
      <c r="J61" s="83"/>
      <c r="K61" s="83"/>
      <c r="L61" s="649" t="s">
        <v>256</v>
      </c>
      <c r="M61" s="649"/>
      <c r="N61" s="649"/>
      <c r="O61" s="649"/>
      <c r="P61" s="649"/>
      <c r="Q61" s="649"/>
      <c r="R61" s="649"/>
      <c r="S61" s="649"/>
      <c r="T61" s="649"/>
      <c r="U61" s="649"/>
      <c r="V61" s="649"/>
      <c r="W61" s="649"/>
      <c r="X61" s="649"/>
      <c r="Y61" s="649"/>
      <c r="Z61" s="649"/>
      <c r="AA61" s="649"/>
      <c r="AB61" s="649"/>
      <c r="AC61" s="649"/>
      <c r="AD61" s="649"/>
      <c r="AE61" s="649"/>
      <c r="AF61" s="649"/>
      <c r="AG61" s="649"/>
      <c r="AH61" s="649"/>
      <c r="AI61" s="649"/>
    </row>
    <row r="62" spans="1:35" x14ac:dyDescent="0.25">
      <c r="A62" s="648"/>
      <c r="B62" s="648"/>
      <c r="C62" s="648"/>
      <c r="D62" s="648"/>
      <c r="E62" s="83"/>
      <c r="F62" s="83"/>
      <c r="G62" s="83"/>
      <c r="H62" s="83"/>
      <c r="I62" s="83"/>
      <c r="J62" s="83"/>
      <c r="K62" s="83"/>
      <c r="L62" s="649"/>
      <c r="M62" s="649"/>
      <c r="N62" s="649"/>
      <c r="O62" s="649"/>
      <c r="P62" s="649"/>
      <c r="Q62" s="649"/>
      <c r="R62" s="649"/>
      <c r="S62" s="649"/>
      <c r="T62" s="649"/>
      <c r="U62" s="649"/>
      <c r="V62" s="649"/>
      <c r="W62" s="649"/>
      <c r="X62" s="649"/>
      <c r="Y62" s="649"/>
      <c r="Z62" s="649"/>
      <c r="AA62" s="649"/>
      <c r="AB62" s="649"/>
      <c r="AC62" s="649"/>
      <c r="AD62" s="649"/>
      <c r="AE62" s="649"/>
      <c r="AF62" s="649"/>
      <c r="AG62" s="649"/>
      <c r="AH62" s="649"/>
      <c r="AI62" s="649"/>
    </row>
  </sheetData>
  <mergeCells count="84">
    <mergeCell ref="L7:AI8"/>
    <mergeCell ref="L9:AI10"/>
    <mergeCell ref="L36:AI37"/>
    <mergeCell ref="L12:AI13"/>
    <mergeCell ref="L19:AI20"/>
    <mergeCell ref="L21:AI22"/>
    <mergeCell ref="L24:AI25"/>
    <mergeCell ref="E47:J48"/>
    <mergeCell ref="E49:J50"/>
    <mergeCell ref="L14:AI15"/>
    <mergeCell ref="L26:AI27"/>
    <mergeCell ref="L28:AI29"/>
    <mergeCell ref="E17:J18"/>
    <mergeCell ref="E19:J20"/>
    <mergeCell ref="E21:J22"/>
    <mergeCell ref="E24:J25"/>
    <mergeCell ref="L47:AI48"/>
    <mergeCell ref="L49:AI50"/>
    <mergeCell ref="L17:AI18"/>
    <mergeCell ref="L38:AI39"/>
    <mergeCell ref="L30:AI31"/>
    <mergeCell ref="L32:AI33"/>
    <mergeCell ref="L34:AI35"/>
    <mergeCell ref="A46:AI46"/>
    <mergeCell ref="A19:D20"/>
    <mergeCell ref="A21:D22"/>
    <mergeCell ref="A24:D25"/>
    <mergeCell ref="A55:D56"/>
    <mergeCell ref="A38:D39"/>
    <mergeCell ref="E30:J31"/>
    <mergeCell ref="E55:J56"/>
    <mergeCell ref="A47:D48"/>
    <mergeCell ref="A49:D50"/>
    <mergeCell ref="A26:D27"/>
    <mergeCell ref="A28:D29"/>
    <mergeCell ref="A30:D31"/>
    <mergeCell ref="A32:D33"/>
    <mergeCell ref="A34:D35"/>
    <mergeCell ref="E42:J43"/>
    <mergeCell ref="A4:AI4"/>
    <mergeCell ref="A11:AI11"/>
    <mergeCell ref="A16:AI16"/>
    <mergeCell ref="A23:AI23"/>
    <mergeCell ref="A40:D41"/>
    <mergeCell ref="E12:J13"/>
    <mergeCell ref="E5:J6"/>
    <mergeCell ref="A12:D13"/>
    <mergeCell ref="A5:D6"/>
    <mergeCell ref="A17:D18"/>
    <mergeCell ref="A7:D8"/>
    <mergeCell ref="A9:D10"/>
    <mergeCell ref="A14:D15"/>
    <mergeCell ref="E38:J39"/>
    <mergeCell ref="E40:J41"/>
    <mergeCell ref="L5:AI6"/>
    <mergeCell ref="B1:J2"/>
    <mergeCell ref="A42:D43"/>
    <mergeCell ref="A44:D45"/>
    <mergeCell ref="E44:J45"/>
    <mergeCell ref="L44:AI45"/>
    <mergeCell ref="E32:J33"/>
    <mergeCell ref="E34:J35"/>
    <mergeCell ref="E36:J37"/>
    <mergeCell ref="L40:AI41"/>
    <mergeCell ref="L42:AI43"/>
    <mergeCell ref="A36:D37"/>
    <mergeCell ref="E7:J8"/>
    <mergeCell ref="E9:J10"/>
    <mergeCell ref="E14:J15"/>
    <mergeCell ref="E26:J27"/>
    <mergeCell ref="E28:J29"/>
    <mergeCell ref="A61:D62"/>
    <mergeCell ref="L61:AI62"/>
    <mergeCell ref="A59:D60"/>
    <mergeCell ref="L59:AI60"/>
    <mergeCell ref="A51:D52"/>
    <mergeCell ref="E51:J52"/>
    <mergeCell ref="L51:AI52"/>
    <mergeCell ref="A53:D54"/>
    <mergeCell ref="E53:J54"/>
    <mergeCell ref="L53:AI54"/>
    <mergeCell ref="L57:AI58"/>
    <mergeCell ref="A57:D58"/>
    <mergeCell ref="L55:AI56"/>
  </mergeCells>
  <printOptions horizontalCentered="1"/>
  <pageMargins left="0.7" right="0.7" top="0" bottom="0" header="0" footer="0"/>
  <pageSetup scale="64"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0"/>
  <dimension ref="A1:C11"/>
  <sheetViews>
    <sheetView workbookViewId="0">
      <selection activeCell="B7" sqref="B7"/>
    </sheetView>
  </sheetViews>
  <sheetFormatPr defaultRowHeight="15" x14ac:dyDescent="0.25"/>
  <cols>
    <col min="1" max="3" width="24.85546875" customWidth="1"/>
  </cols>
  <sheetData>
    <row r="1" spans="1:3" x14ac:dyDescent="0.25">
      <c r="A1" s="120" t="s">
        <v>217</v>
      </c>
    </row>
    <row r="2" spans="1:3" x14ac:dyDescent="0.25">
      <c r="A2" s="254" t="s">
        <v>218</v>
      </c>
    </row>
    <row r="3" spans="1:3" x14ac:dyDescent="0.25">
      <c r="A3" s="255" t="s">
        <v>219</v>
      </c>
    </row>
    <row r="4" spans="1:3" x14ac:dyDescent="0.25">
      <c r="A4" s="253" t="s">
        <v>220</v>
      </c>
    </row>
    <row r="6" spans="1:3" x14ac:dyDescent="0.25">
      <c r="A6" s="302" t="s">
        <v>221</v>
      </c>
    </row>
    <row r="7" spans="1:3" x14ac:dyDescent="0.25">
      <c r="A7" s="269" t="s">
        <v>226</v>
      </c>
      <c r="B7" s="269" t="s">
        <v>226</v>
      </c>
      <c r="C7" s="270" t="s">
        <v>227</v>
      </c>
    </row>
    <row r="9" spans="1:3" x14ac:dyDescent="0.25">
      <c r="A9" s="301" t="s">
        <v>222</v>
      </c>
    </row>
    <row r="11" spans="1:3" x14ac:dyDescent="0.25">
      <c r="A11" s="258" t="s">
        <v>223</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W12"/>
  <sheetViews>
    <sheetView workbookViewId="0"/>
  </sheetViews>
  <sheetFormatPr defaultRowHeight="15" x14ac:dyDescent="0.25"/>
  <sheetData>
    <row r="1" spans="1:23" x14ac:dyDescent="0.25">
      <c r="A1" s="309" t="s">
        <v>371</v>
      </c>
      <c r="B1" s="309" t="s">
        <v>371</v>
      </c>
      <c r="C1" s="309" t="s">
        <v>372</v>
      </c>
      <c r="D1" s="309" t="s">
        <v>372</v>
      </c>
      <c r="E1" s="309" t="s">
        <v>373</v>
      </c>
      <c r="F1" s="309" t="s">
        <v>373</v>
      </c>
      <c r="G1" s="309" t="s">
        <v>374</v>
      </c>
      <c r="H1" s="309" t="s">
        <v>374</v>
      </c>
      <c r="I1" s="309" t="s">
        <v>375</v>
      </c>
      <c r="J1" s="309" t="s">
        <v>375</v>
      </c>
      <c r="K1" s="309" t="s">
        <v>376</v>
      </c>
      <c r="L1" s="309" t="s">
        <v>376</v>
      </c>
      <c r="M1" s="309" t="s">
        <v>377</v>
      </c>
      <c r="N1" s="309" t="s">
        <v>377</v>
      </c>
      <c r="O1" s="309" t="s">
        <v>378</v>
      </c>
      <c r="P1" s="309" t="s">
        <v>378</v>
      </c>
      <c r="Q1" s="309" t="s">
        <v>379</v>
      </c>
      <c r="R1" s="309" t="s">
        <v>379</v>
      </c>
      <c r="S1" s="309" t="s">
        <v>380</v>
      </c>
      <c r="T1" s="309" t="s">
        <v>380</v>
      </c>
      <c r="U1" s="309" t="s">
        <v>381</v>
      </c>
      <c r="V1" s="309" t="s">
        <v>381</v>
      </c>
      <c r="W1" s="313" t="s">
        <v>271</v>
      </c>
    </row>
    <row r="2" spans="1:23" x14ac:dyDescent="0.25">
      <c r="A2" s="310" t="s">
        <v>304</v>
      </c>
      <c r="B2" s="310">
        <v>-42.28932457139117</v>
      </c>
      <c r="C2" s="311" t="s">
        <v>306</v>
      </c>
      <c r="D2" s="311">
        <v>-26.684503637185941</v>
      </c>
      <c r="E2" s="310" t="s">
        <v>304</v>
      </c>
      <c r="F2" s="310">
        <v>-11.380305382180246</v>
      </c>
      <c r="G2" s="311" t="s">
        <v>304</v>
      </c>
      <c r="H2" s="311">
        <v>-28.416508124618026</v>
      </c>
      <c r="I2" s="310" t="s">
        <v>306</v>
      </c>
      <c r="J2" s="310">
        <v>-7.5970197633444698</v>
      </c>
      <c r="K2" s="311" t="s">
        <v>306</v>
      </c>
      <c r="L2" s="311">
        <v>-7.5670559385438514</v>
      </c>
      <c r="M2" s="310" t="s">
        <v>308</v>
      </c>
      <c r="N2" s="310">
        <v>-3.8341475083106547</v>
      </c>
      <c r="O2" s="311" t="s">
        <v>304</v>
      </c>
      <c r="P2" s="311">
        <v>-8.6402481033416763</v>
      </c>
      <c r="Q2" s="310" t="s">
        <v>306</v>
      </c>
      <c r="R2" s="310">
        <v>-2.7795679690313913</v>
      </c>
      <c r="S2" s="311" t="s">
        <v>345</v>
      </c>
      <c r="T2" s="311">
        <v>-7.6864085235347197</v>
      </c>
      <c r="U2" s="310" t="s">
        <v>304</v>
      </c>
      <c r="V2" s="310">
        <v>-2.8024160161237313</v>
      </c>
    </row>
    <row r="3" spans="1:23" x14ac:dyDescent="0.25">
      <c r="A3" s="310" t="s">
        <v>305</v>
      </c>
      <c r="B3" s="310">
        <v>-23.790872445042407</v>
      </c>
      <c r="C3" s="311" t="s">
        <v>304</v>
      </c>
      <c r="D3" s="311">
        <v>-23.438739688260057</v>
      </c>
      <c r="E3" s="310" t="s">
        <v>306</v>
      </c>
      <c r="F3" s="310">
        <v>-7.9984564303591066</v>
      </c>
      <c r="G3" s="311" t="s">
        <v>324</v>
      </c>
      <c r="H3" s="311">
        <v>-8.6444406835236638</v>
      </c>
      <c r="I3" s="310" t="s">
        <v>304</v>
      </c>
      <c r="J3" s="310">
        <v>-7.3458459597908004</v>
      </c>
      <c r="K3" s="311" t="s">
        <v>308</v>
      </c>
      <c r="L3" s="311">
        <v>-5.3643522202020755</v>
      </c>
      <c r="M3" s="310" t="s">
        <v>306</v>
      </c>
      <c r="N3" s="310">
        <v>-3.5451570564127977</v>
      </c>
      <c r="O3" s="311" t="s">
        <v>306</v>
      </c>
      <c r="P3" s="311">
        <v>-4.5800419162435357</v>
      </c>
      <c r="Q3" s="310" t="s">
        <v>324</v>
      </c>
      <c r="R3" s="310">
        <v>-1.5928982033935848</v>
      </c>
      <c r="S3" s="311" t="s">
        <v>306</v>
      </c>
      <c r="T3" s="311">
        <v>-6.1479653830193159</v>
      </c>
      <c r="U3" s="310" t="s">
        <v>306</v>
      </c>
      <c r="V3" s="310">
        <v>-1.2212106026756813</v>
      </c>
    </row>
    <row r="4" spans="1:23" x14ac:dyDescent="0.25">
      <c r="A4" s="310" t="s">
        <v>306</v>
      </c>
      <c r="B4" s="310">
        <v>-22.480781925735812</v>
      </c>
      <c r="C4" s="311" t="s">
        <v>345</v>
      </c>
      <c r="D4" s="311">
        <v>-17.907609047900781</v>
      </c>
      <c r="E4" s="310" t="s">
        <v>308</v>
      </c>
      <c r="F4" s="310">
        <v>-7.3312915726993149</v>
      </c>
      <c r="G4" s="311" t="s">
        <v>306</v>
      </c>
      <c r="H4" s="311">
        <v>-8.507815522386597</v>
      </c>
      <c r="I4" s="310" t="s">
        <v>308</v>
      </c>
      <c r="J4" s="310">
        <v>-7.1881349389475506</v>
      </c>
      <c r="K4" s="311" t="s">
        <v>304</v>
      </c>
      <c r="L4" s="311">
        <v>-4.52793397762842</v>
      </c>
      <c r="M4" s="310" t="s">
        <v>305</v>
      </c>
      <c r="N4" s="310">
        <v>-2.5716397596816423</v>
      </c>
      <c r="O4" s="311" t="s">
        <v>342</v>
      </c>
      <c r="P4" s="311">
        <v>-3.0934758921549279</v>
      </c>
      <c r="Q4" s="310" t="s">
        <v>345</v>
      </c>
      <c r="R4" s="310">
        <v>-1.3056845433300475</v>
      </c>
      <c r="S4" s="311" t="s">
        <v>324</v>
      </c>
      <c r="T4" s="311">
        <v>-2.9249690791846397</v>
      </c>
      <c r="U4" s="310" t="s">
        <v>324</v>
      </c>
      <c r="V4" s="310">
        <v>-1.1990010182602795</v>
      </c>
    </row>
    <row r="5" spans="1:23" x14ac:dyDescent="0.25">
      <c r="A5" s="310" t="s">
        <v>308</v>
      </c>
      <c r="B5" s="310">
        <v>-22.023036649229113</v>
      </c>
      <c r="C5" s="311" t="s">
        <v>308</v>
      </c>
      <c r="D5" s="311">
        <v>-12.305298847103748</v>
      </c>
      <c r="E5" s="310" t="s">
        <v>305</v>
      </c>
      <c r="F5" s="310">
        <v>-5.0703637247444595</v>
      </c>
      <c r="G5" s="311" t="s">
        <v>341</v>
      </c>
      <c r="H5" s="311">
        <v>-7.6120140886997891</v>
      </c>
      <c r="I5" s="310" t="s">
        <v>305</v>
      </c>
      <c r="J5" s="310">
        <v>-7.0528825004414815</v>
      </c>
      <c r="K5" s="311" t="s">
        <v>345</v>
      </c>
      <c r="L5" s="311">
        <v>-3.662776822609946</v>
      </c>
      <c r="M5" s="310" t="s">
        <v>342</v>
      </c>
      <c r="N5" s="310">
        <v>-2.3252195474876975</v>
      </c>
      <c r="O5" s="311" t="s">
        <v>337</v>
      </c>
      <c r="P5" s="311">
        <v>-2.3753221779039864</v>
      </c>
      <c r="Q5" s="310" t="s">
        <v>341</v>
      </c>
      <c r="R5" s="310">
        <v>-1.2404076188234707</v>
      </c>
      <c r="S5" s="311" t="s">
        <v>308</v>
      </c>
      <c r="T5" s="311">
        <v>-2.5962676454907765</v>
      </c>
      <c r="U5" s="310" t="s">
        <v>337</v>
      </c>
      <c r="V5" s="310">
        <v>-0.91281200259418671</v>
      </c>
    </row>
    <row r="6" spans="1:23" x14ac:dyDescent="0.25">
      <c r="A6" s="310" t="s">
        <v>307</v>
      </c>
      <c r="B6" s="310">
        <v>-16.977619762744329</v>
      </c>
      <c r="C6" s="311" t="s">
        <v>307</v>
      </c>
      <c r="D6" s="311">
        <v>-11.838912091075446</v>
      </c>
      <c r="E6" s="310" t="s">
        <v>307</v>
      </c>
      <c r="F6" s="310">
        <v>-4.7514883139514357</v>
      </c>
      <c r="G6" s="311" t="s">
        <v>308</v>
      </c>
      <c r="H6" s="311">
        <v>-7.5699808954907466</v>
      </c>
      <c r="I6" s="310" t="s">
        <v>307</v>
      </c>
      <c r="J6" s="310">
        <v>-5.4571407738563833</v>
      </c>
      <c r="K6" s="311" t="s">
        <v>337</v>
      </c>
      <c r="L6" s="311">
        <v>-3.2731405224161221</v>
      </c>
      <c r="M6" s="310" t="s">
        <v>324</v>
      </c>
      <c r="N6" s="310">
        <v>-2.2353650361554345</v>
      </c>
      <c r="O6" s="311" t="s">
        <v>308</v>
      </c>
      <c r="P6" s="311">
        <v>-2.1782198990995756</v>
      </c>
      <c r="Q6" s="310" t="s">
        <v>342</v>
      </c>
      <c r="R6" s="310">
        <v>-1.1603701184528736</v>
      </c>
      <c r="S6" s="311" t="s">
        <v>312</v>
      </c>
      <c r="T6" s="311">
        <v>-2.1274732421877425</v>
      </c>
      <c r="U6" s="310" t="s">
        <v>342</v>
      </c>
      <c r="V6" s="310">
        <v>-0.86863254144673596</v>
      </c>
    </row>
    <row r="7" spans="1:23" x14ac:dyDescent="0.25">
      <c r="A7" s="310" t="s">
        <v>342</v>
      </c>
      <c r="B7" s="310">
        <v>-16.879502644044148</v>
      </c>
      <c r="C7" s="311" t="s">
        <v>305</v>
      </c>
      <c r="D7" s="311">
        <v>-11.81770826487192</v>
      </c>
      <c r="E7" s="310" t="s">
        <v>342</v>
      </c>
      <c r="F7" s="310">
        <v>-4.4265950918537582</v>
      </c>
      <c r="G7" s="311" t="s">
        <v>307</v>
      </c>
      <c r="H7" s="311">
        <v>-7.5121472741717561</v>
      </c>
      <c r="I7" s="310" t="s">
        <v>341</v>
      </c>
      <c r="J7" s="310">
        <v>-4.299803979267466</v>
      </c>
      <c r="K7" s="311" t="s">
        <v>305</v>
      </c>
      <c r="L7" s="311">
        <v>-3.1157384119114937</v>
      </c>
      <c r="M7" s="310" t="s">
        <v>337</v>
      </c>
      <c r="N7" s="310">
        <v>-2.1878496864122039</v>
      </c>
      <c r="O7" s="311" t="s">
        <v>341</v>
      </c>
      <c r="P7" s="311">
        <v>-1.9508288438789056</v>
      </c>
      <c r="Q7" s="310" t="s">
        <v>307</v>
      </c>
      <c r="R7" s="310">
        <v>-0.99289453574083641</v>
      </c>
      <c r="S7" s="311" t="s">
        <v>347</v>
      </c>
      <c r="T7" s="311">
        <v>-2.0773846805142098</v>
      </c>
      <c r="U7" s="310" t="s">
        <v>340</v>
      </c>
      <c r="V7" s="310">
        <v>-0.73264088250035808</v>
      </c>
    </row>
    <row r="8" spans="1:23" x14ac:dyDescent="0.25">
      <c r="A8" s="310" t="s">
        <v>341</v>
      </c>
      <c r="B8" s="310">
        <v>-12.537968275147522</v>
      </c>
      <c r="C8" s="311" t="s">
        <v>341</v>
      </c>
      <c r="D8" s="311">
        <v>-9.1200007126399694</v>
      </c>
      <c r="E8" s="310" t="s">
        <v>337</v>
      </c>
      <c r="F8" s="310">
        <v>-3.707237742358954</v>
      </c>
      <c r="G8" s="311" t="s">
        <v>323</v>
      </c>
      <c r="H8" s="311">
        <v>-7.3918502905041965</v>
      </c>
      <c r="I8" s="310" t="s">
        <v>342</v>
      </c>
      <c r="J8" s="310">
        <v>-4.1492299716576122</v>
      </c>
      <c r="K8" s="311" t="s">
        <v>342</v>
      </c>
      <c r="L8" s="311">
        <v>-2.8373036559940381</v>
      </c>
      <c r="M8" s="310" t="s">
        <v>307</v>
      </c>
      <c r="N8" s="310">
        <v>-1.9894528564475957</v>
      </c>
      <c r="O8" s="311" t="s">
        <v>305</v>
      </c>
      <c r="P8" s="311">
        <v>-1.7613745190526677</v>
      </c>
      <c r="Q8" s="310" t="s">
        <v>308</v>
      </c>
      <c r="R8" s="310">
        <v>-0.9044658423210965</v>
      </c>
      <c r="S8" s="311" t="s">
        <v>341</v>
      </c>
      <c r="T8" s="311">
        <v>-1.6355197867162823</v>
      </c>
      <c r="U8" s="310" t="s">
        <v>308</v>
      </c>
      <c r="V8" s="310">
        <v>-0.18303597640621741</v>
      </c>
    </row>
    <row r="9" spans="1:23" x14ac:dyDescent="0.25">
      <c r="A9" s="310" t="s">
        <v>337</v>
      </c>
      <c r="B9" s="310">
        <v>-11.195901784560053</v>
      </c>
      <c r="C9" s="311" t="s">
        <v>342</v>
      </c>
      <c r="D9" s="311">
        <v>-8.5193266303453594</v>
      </c>
      <c r="E9" s="310" t="s">
        <v>341</v>
      </c>
      <c r="F9" s="310">
        <v>-3.5747142018442659</v>
      </c>
      <c r="G9" s="311" t="s">
        <v>305</v>
      </c>
      <c r="H9" s="311">
        <v>-4.6811003572911458</v>
      </c>
      <c r="I9" s="310" t="s">
        <v>324</v>
      </c>
      <c r="J9" s="310">
        <v>-3.952085567908687</v>
      </c>
      <c r="K9" s="311" t="s">
        <v>307</v>
      </c>
      <c r="L9" s="311">
        <v>-2.7260680580995862</v>
      </c>
      <c r="M9" s="310" t="s">
        <v>341</v>
      </c>
      <c r="N9" s="310">
        <v>-1.8782169227399705</v>
      </c>
      <c r="O9" s="311" t="s">
        <v>324</v>
      </c>
      <c r="P9" s="311">
        <v>-1.6731249200523914</v>
      </c>
      <c r="Q9" s="310" t="s">
        <v>337</v>
      </c>
      <c r="R9" s="310">
        <v>-0.76868295779815266</v>
      </c>
      <c r="S9" s="311" t="s">
        <v>330</v>
      </c>
      <c r="T9" s="311">
        <v>-1.5587522525899025</v>
      </c>
      <c r="U9" s="310" t="s">
        <v>341</v>
      </c>
      <c r="V9" s="310">
        <v>-0.15866768505998344</v>
      </c>
    </row>
    <row r="10" spans="1:23" x14ac:dyDescent="0.25">
      <c r="A10" s="310" t="s">
        <v>349</v>
      </c>
      <c r="B10" s="310">
        <v>-11.034804547462146</v>
      </c>
      <c r="C10" s="311" t="s">
        <v>337</v>
      </c>
      <c r="D10" s="311">
        <v>-7.2088594895851887</v>
      </c>
      <c r="E10" s="310" t="s">
        <v>345</v>
      </c>
      <c r="F10" s="310">
        <v>-3.4222911136872529</v>
      </c>
      <c r="G10" s="311" t="s">
        <v>348</v>
      </c>
      <c r="H10" s="311">
        <v>-4.5053065581845111</v>
      </c>
      <c r="I10" s="310" t="s">
        <v>337</v>
      </c>
      <c r="J10" s="310">
        <v>-3.1258403573455067</v>
      </c>
      <c r="K10" s="311" t="s">
        <v>341</v>
      </c>
      <c r="L10" s="311">
        <v>-2.12084464273503</v>
      </c>
      <c r="M10" s="310" t="s">
        <v>349</v>
      </c>
      <c r="N10" s="310">
        <v>-0.86936771555451731</v>
      </c>
      <c r="O10" s="311" t="s">
        <v>307</v>
      </c>
      <c r="P10" s="311">
        <v>-1.6232624351017801</v>
      </c>
      <c r="Q10" s="310" t="s">
        <v>348</v>
      </c>
      <c r="R10" s="310">
        <v>-0.47735815994663705</v>
      </c>
      <c r="S10" s="311" t="s">
        <v>337</v>
      </c>
      <c r="T10" s="311">
        <v>-1.4819288819841772</v>
      </c>
      <c r="U10" s="310" t="s">
        <v>305</v>
      </c>
      <c r="V10" s="310">
        <v>2.8230378647028254E-2</v>
      </c>
    </row>
    <row r="11" spans="1:23" x14ac:dyDescent="0.25">
      <c r="A11" s="310" t="s">
        <v>338</v>
      </c>
      <c r="B11" s="310">
        <v>-10.30476682862669</v>
      </c>
      <c r="C11" s="311" t="s">
        <v>324</v>
      </c>
      <c r="D11" s="311">
        <v>-5.5819151450637197</v>
      </c>
      <c r="E11" s="310" t="s">
        <v>349</v>
      </c>
      <c r="F11" s="310">
        <v>-2.7098063689377336</v>
      </c>
      <c r="G11" s="311" t="s">
        <v>337</v>
      </c>
      <c r="H11" s="311">
        <v>-3.3343309585217544</v>
      </c>
      <c r="I11" s="310" t="s">
        <v>349</v>
      </c>
      <c r="J11" s="310">
        <v>-2.9557736178442626</v>
      </c>
      <c r="K11" s="311" t="s">
        <v>324</v>
      </c>
      <c r="L11" s="311">
        <v>-1.6919120590381127</v>
      </c>
      <c r="M11" s="310" t="s">
        <v>332</v>
      </c>
      <c r="N11" s="310">
        <v>-0.73111112043249382</v>
      </c>
      <c r="O11" s="311" t="s">
        <v>348</v>
      </c>
      <c r="P11" s="311">
        <v>-1.4624458137414531</v>
      </c>
      <c r="Q11" s="310" t="s">
        <v>347</v>
      </c>
      <c r="R11" s="310">
        <v>-0.37912509398912941</v>
      </c>
      <c r="S11" s="311" t="s">
        <v>307</v>
      </c>
      <c r="T11" s="311">
        <v>-1.0988992592152995</v>
      </c>
      <c r="U11" s="310" t="s">
        <v>336</v>
      </c>
      <c r="V11" s="310">
        <v>0.20936444276679042</v>
      </c>
    </row>
    <row r="12" spans="1:23" x14ac:dyDescent="0.25">
      <c r="A12" s="312" t="s">
        <v>269</v>
      </c>
      <c r="B12" s="312" t="s">
        <v>270</v>
      </c>
      <c r="C12" s="312" t="s">
        <v>269</v>
      </c>
      <c r="D12" s="312" t="s">
        <v>270</v>
      </c>
      <c r="E12" s="312" t="s">
        <v>269</v>
      </c>
      <c r="F12" s="312" t="s">
        <v>270</v>
      </c>
      <c r="G12" s="312" t="s">
        <v>269</v>
      </c>
      <c r="H12" s="312" t="s">
        <v>270</v>
      </c>
      <c r="I12" s="312" t="s">
        <v>269</v>
      </c>
      <c r="J12" s="312" t="s">
        <v>270</v>
      </c>
      <c r="K12" s="312" t="s">
        <v>269</v>
      </c>
      <c r="L12" s="312" t="s">
        <v>270</v>
      </c>
      <c r="M12" s="312" t="s">
        <v>269</v>
      </c>
      <c r="N12" s="312" t="s">
        <v>270</v>
      </c>
      <c r="O12" s="312" t="s">
        <v>269</v>
      </c>
      <c r="P12" s="312" t="s">
        <v>270</v>
      </c>
      <c r="Q12" s="312" t="s">
        <v>269</v>
      </c>
      <c r="R12" s="312" t="s">
        <v>270</v>
      </c>
      <c r="S12" s="312" t="s">
        <v>269</v>
      </c>
      <c r="T12" s="312" t="s">
        <v>270</v>
      </c>
      <c r="U12" s="312" t="s">
        <v>269</v>
      </c>
      <c r="V12" s="312" t="s">
        <v>270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B3E334EB571F4298EC8977D0E9C1A9" ma:contentTypeVersion="8" ma:contentTypeDescription="Create a new document." ma:contentTypeScope="" ma:versionID="d46c5ce07fc0e40629a3cbd93fbf3660">
  <xsd:schema xmlns:xsd="http://www.w3.org/2001/XMLSchema" xmlns:xs="http://www.w3.org/2001/XMLSchema" xmlns:p="http://schemas.microsoft.com/office/2006/metadata/properties" xmlns:ns1="http://schemas.microsoft.com/sharepoint/v3" xmlns:ns3="38105f5c-ec26-451f-b025-7bac7578024d" xmlns:ns4="7ca4641a-885d-4c6d-9d19-7ecc7c3be167" targetNamespace="http://schemas.microsoft.com/office/2006/metadata/properties" ma:root="true" ma:fieldsID="438471443c64d690da51af9fbe9d566a" ns1:_="" ns3:_="" ns4:_="">
    <xsd:import namespace="http://schemas.microsoft.com/sharepoint/v3"/>
    <xsd:import namespace="38105f5c-ec26-451f-b025-7bac7578024d"/>
    <xsd:import namespace="7ca4641a-885d-4c6d-9d19-7ecc7c3be16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105f5c-ec26-451f-b025-7bac75780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a4641a-885d-4c6d-9d19-7ecc7c3be16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F99A6C-CE73-498F-AA52-4918FA07ED6C}">
  <ds:schemaRefs>
    <ds:schemaRef ds:uri="http://schemas.microsoft.com/sharepoint/v3/contenttype/forms"/>
  </ds:schemaRefs>
</ds:datastoreItem>
</file>

<file path=customXml/itemProps2.xml><?xml version="1.0" encoding="utf-8"?>
<ds:datastoreItem xmlns:ds="http://schemas.openxmlformats.org/officeDocument/2006/customXml" ds:itemID="{4DAE839C-40B7-4701-915D-9B41D57A7679}">
  <ds:schemaRefs>
    <ds:schemaRef ds:uri="http://purl.org/dc/terms/"/>
    <ds:schemaRef ds:uri="http://purl.org/dc/dcmitype/"/>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purl.org/dc/elements/1.1/"/>
    <ds:schemaRef ds:uri="7ca4641a-885d-4c6d-9d19-7ecc7c3be167"/>
    <ds:schemaRef ds:uri="38105f5c-ec26-451f-b025-7bac7578024d"/>
    <ds:schemaRef ds:uri="http://schemas.microsoft.com/sharepoint/v3"/>
  </ds:schemaRefs>
</ds:datastoreItem>
</file>

<file path=customXml/itemProps3.xml><?xml version="1.0" encoding="utf-8"?>
<ds:datastoreItem xmlns:ds="http://schemas.openxmlformats.org/officeDocument/2006/customXml" ds:itemID="{8F4529C9-EE1E-4576-BFAE-21E2E3F9A8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8105f5c-ec26-451f-b025-7bac7578024d"/>
    <ds:schemaRef ds:uri="7ca4641a-885d-4c6d-9d19-7ecc7c3be1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vt:i4>
      </vt:variant>
    </vt:vector>
  </HeadingPairs>
  <TitlesOfParts>
    <vt:vector size="30" baseType="lpstr">
      <vt:lpstr>INDEX</vt:lpstr>
      <vt:lpstr>Histogram</vt:lpstr>
      <vt:lpstr>SUMMARY</vt:lpstr>
      <vt:lpstr>SUMMARY_DATA</vt:lpstr>
      <vt:lpstr>HISTORICAL RISK</vt:lpstr>
      <vt:lpstr>SIMULATED RISK</vt:lpstr>
      <vt:lpstr>RISK BUDGETING (ETL)</vt:lpstr>
      <vt:lpstr>RB_ETL</vt:lpstr>
      <vt:lpstr>RISK BUDGETING (StDev)</vt:lpstr>
      <vt:lpstr>RB_STDEV</vt:lpstr>
      <vt:lpstr>FACTOR CONTRIBUTION</vt:lpstr>
      <vt:lpstr>FCTR_DATA</vt:lpstr>
      <vt:lpstr>EXPOSURE BY FACTOR BUCKET</vt:lpstr>
      <vt:lpstr>PORTFOLIO STRESS TEST</vt:lpstr>
      <vt:lpstr>ONE FACTOR REGRESSION</vt:lpstr>
      <vt:lpstr>PORTFOLIO_STRESS_TEST_LOSS_GAIN</vt:lpstr>
      <vt:lpstr>SCENARIOS_ORDERED_BY_PF_VALUE</vt:lpstr>
      <vt:lpstr>BOTTOM 10 MANAGERS</vt:lpstr>
      <vt:lpstr>BOTTOM 10 MANAGERS_OLD</vt:lpstr>
      <vt:lpstr>STRESSED FACTOR VALUES</vt:lpstr>
      <vt:lpstr>FACTOR ANALYSIS</vt:lpstr>
      <vt:lpstr>Sheet1</vt:lpstr>
      <vt:lpstr>ASSET CORRELATIONS</vt:lpstr>
      <vt:lpstr>FACTOR CORRELATIONS</vt:lpstr>
      <vt:lpstr>TIME SERIES</vt:lpstr>
      <vt:lpstr>GLOSSARY</vt:lpstr>
      <vt:lpstr>STYLES</vt:lpstr>
      <vt:lpstr>BottomManagersPerScenario_Data</vt:lpstr>
      <vt:lpstr>Histogram!LEFTVARBLUE</vt:lpstr>
      <vt:lpstr>Histogram!rightVARBlue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Vladimir Ganev</dc:creator>
  <cp:lastModifiedBy>Logan.Hash</cp:lastModifiedBy>
  <cp:lastPrinted>2021-09-27T11:03:40Z</cp:lastPrinted>
  <dcterms:created xsi:type="dcterms:W3CDTF">2011-11-22T14:32:30Z</dcterms:created>
  <dcterms:modified xsi:type="dcterms:W3CDTF">2026-06-25T19:34:49Z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8c53105-2268-48cc-bbbd-15c277f43ddd_Enabled">
    <vt:lpwstr>true</vt:lpwstr>
  </property>
  <property fmtid="{D5CDD505-2E9C-101B-9397-08002B2CF9AE}" pid="3" name="MSIP_Label_88c53105-2268-48cc-bbbd-15c277f43ddd_SetDate">
    <vt:lpwstr>2021-01-27T15:12:56Z</vt:lpwstr>
  </property>
  <property fmtid="{D5CDD505-2E9C-101B-9397-08002B2CF9AE}" pid="4" name="MSIP_Label_88c53105-2268-48cc-bbbd-15c277f43ddd_Method">
    <vt:lpwstr>Standard</vt:lpwstr>
  </property>
  <property fmtid="{D5CDD505-2E9C-101B-9397-08002B2CF9AE}" pid="5" name="MSIP_Label_88c53105-2268-48cc-bbbd-15c277f43ddd_Name">
    <vt:lpwstr>Public</vt:lpwstr>
  </property>
  <property fmtid="{D5CDD505-2E9C-101B-9397-08002B2CF9AE}" pid="6" name="MSIP_Label_88c53105-2268-48cc-bbbd-15c277f43ddd_SiteId">
    <vt:lpwstr>d0b75e95-684a-45e3-8d2d-53fa2a6a513f</vt:lpwstr>
  </property>
  <property fmtid="{D5CDD505-2E9C-101B-9397-08002B2CF9AE}" pid="7" name="MSIP_Label_88c53105-2268-48cc-bbbd-15c277f43ddd_ActionId">
    <vt:lpwstr>95a39b69-80ad-4e58-bcfa-3abd45d5d2d2</vt:lpwstr>
  </property>
  <property fmtid="{D5CDD505-2E9C-101B-9397-08002B2CF9AE}" pid="8" name="MSIP_Label_88c53105-2268-48cc-bbbd-15c277f43ddd_ContentBits">
    <vt:lpwstr>0</vt:lpwstr>
  </property>
  <property fmtid="{D5CDD505-2E9C-101B-9397-08002B2CF9AE}" pid="9" name="ContentTypeId">
    <vt:lpwstr>0x01010007B3E334EB571F4298EC8977D0E9C1A9</vt:lpwstr>
  </property>
</Properties>
</file>